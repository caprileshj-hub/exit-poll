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showHorizontalScroll="0" showVerticalScroll="0" showSheetTabs="0" xWindow="360" yWindow="360" windowWidth="1845" windowHeight="2235" activeTab="11"/>
  </bookViews>
  <sheets>
    <sheet name="PPrincipal" sheetId="1" r:id="rId1"/>
    <sheet name="Apure" sheetId="2" r:id="rId2"/>
    <sheet name="GApure" sheetId="3" r:id="rId3"/>
    <sheet name="CApure" sheetId="4" r:id="rId4"/>
    <sheet name="Bolivar" sheetId="5" r:id="rId5"/>
    <sheet name="GBolivar" sheetId="6" r:id="rId6"/>
    <sheet name="CBolivar" sheetId="7" r:id="rId7"/>
    <sheet name="Delta Amacuro" sheetId="8" r:id="rId8"/>
    <sheet name="GDelta Amacuro" sheetId="9" r:id="rId9"/>
    <sheet name="CDelta Amacuro" sheetId="10" r:id="rId10"/>
    <sheet name="Guarico" sheetId="11" r:id="rId11"/>
    <sheet name="GGuarico" sheetId="12" r:id="rId12"/>
    <sheet name="CGuarico" sheetId="13" r:id="rId13"/>
  </sheets>
  <definedNames>
    <definedName name="Andres_Velasquez">Bolivar!$F$9:$F$648</definedName>
    <definedName name="Antonio_Rojas_Suarez">Bolivar!$G$9:$G$648</definedName>
    <definedName name="CentroAp">Apure!$C$9:$C$229</definedName>
    <definedName name="CentroBO">Bolivar!$C$9:$C$648</definedName>
    <definedName name="CentroDA">'Delta Amacuro'!$C$9:$C$89</definedName>
    <definedName name="CentroGu">Guarico!$C$9:$C$348</definedName>
    <definedName name="Francisco_Rangel_Gomez">Bolivar!$E$9:$E$648</definedName>
    <definedName name="Jesus_Aguilarte">Apure!$E$9:$E$229</definedName>
    <definedName name="Lenny_Manuit">Guarico!$G$9:$G$348</definedName>
    <definedName name="Lizeta_Hernandez">'Delta Amacuro'!$E$9:$E$89</definedName>
    <definedName name="Mirian_de_Montilla">Apure!$F$9:$F$229</definedName>
    <definedName name="MunicipiosAP">CApure!$Y$9:$Y$19</definedName>
    <definedName name="MunicipiosBo">CBolivar!$X$9:$X$40</definedName>
    <definedName name="MunicipiosDA">'CDelta Amacuro'!$X$9:$X$12</definedName>
    <definedName name="MunicipiosGu">CGuarico!$X$9:$X$25</definedName>
    <definedName name="OtroAp">Apure!$G$9:$G$229</definedName>
    <definedName name="OtroBo">Bolivar!$H$9:$H$648</definedName>
    <definedName name="OtroDA">'Delta Amacuro'!$G$9:$G$89</definedName>
    <definedName name="OtroGu">Guarico!$H$9:$H$348</definedName>
    <definedName name="Reinaldo_Armas">Guarico!$F$9:$F$348</definedName>
    <definedName name="SumaAp">Apure!$M$9:$M$229</definedName>
    <definedName name="SumaBo">Bolivar!$M$9:$M$648</definedName>
    <definedName name="SumaDA">'Delta Amacuro'!$M$9:$M$89</definedName>
    <definedName name="SumaGu">Guarico!$M$9:$M$348</definedName>
    <definedName name="TurnoAp">Apure!$D$9:$D$229</definedName>
    <definedName name="TurnoBo">Bolivar!$D$9:$D$648</definedName>
    <definedName name="TurnoDA">'Delta Amacuro'!$D$9:$D$89</definedName>
    <definedName name="TurnoGu">Guarico!$D$9:$D$348</definedName>
    <definedName name="Victor_Cedeño">'Delta Amacuro'!$F$9:$F$89</definedName>
    <definedName name="Willian_Lara">Guarico!$E$9:$E$348</definedName>
    <definedName name="Z_56AFE396_18B0_4AF5_AE05_5CBE92BF4893_.wvu.PrintArea" localSheetId="2" hidden="1">GApure!$A$1:$L$21</definedName>
    <definedName name="Z_56AFE396_18B0_4AF5_AE05_5CBE92BF4893_.wvu.PrintArea" localSheetId="5" hidden="1">GBolivar!$A$1:$K$25</definedName>
  </definedNames>
  <calcPr calcId="125725"/>
  <customWorkbookViews>
    <customWorkbookView name="Hector Capriles - Vista personalizada" guid="{F92CD80A-2F20-447E-84B4-C32E1E2FE9A3}" mergeInterval="0" personalView="1" maximized="1" showHorizontalScroll="0" showVerticalScroll="0" showSheetTabs="0" xWindow="1" yWindow="1" windowWidth="1271" windowHeight="752" activeSheetId="12"/>
    <customWorkbookView name="equipo de trabajo 8 - Vista personalizada" guid="{6E31FC92-C3FF-4227-932A-BABD82E820B9}" autoUpdate="1" mergeInterval="5" personalView="1" maximized="1" windowWidth="1276" windowHeight="654" activeSheetId="4"/>
    <customWorkbookView name="equipo de trabajo 3 - Vista personalizada" guid="{57DF099C-2F69-48FA-8FC1-A9D4BE3C4B9B}" autoUpdate="1" mergeInterval="5" personalView="1" maximized="1" windowWidth="1020" windowHeight="622" activeSheetId="4"/>
    <customWorkbookView name="lenovo-4 - Vista personalizada" guid="{8533A692-1FDC-4EF0-90A0-99C037A6D79B}" autoUpdate="1" mergeInterval="5" personalView="1" maximized="1" windowWidth="1020" windowHeight="596" activeSheetId="2"/>
    <customWorkbookView name="equipo de trabajo 1 - Vista personalizada" guid="{CA2040AE-62FD-482F-B99E-D7687506BEE4}" autoUpdate="1" mergeInterval="5" personalView="1" maximized="1" showHorizontalScroll="0" showVerticalScroll="0" showSheetTabs="0" windowWidth="1020" windowHeight="739" activeSheetId="2" showFormulaBar="0" showStatusbar="0"/>
    <customWorkbookView name="equipo de trabajo 2 - Vista personalizada" guid="{9FEEFF71-DB18-450A-9C46-2600DEBD4C2F}" autoUpdate="1" mergeInterval="5" personalView="1" maximized="1" windowWidth="1276" windowHeight="622" activeSheetId="4"/>
    <customWorkbookView name="equipo de trabajo 6 - Vista personalizada" guid="{C985031D-D85E-4FDB-AC65-62493A942234}" autoUpdate="1" mergeInterval="5" personalView="1" maximized="1" windowWidth="1276" windowHeight="622" activeSheetId="4"/>
    <customWorkbookView name="equipo de trabajo4 - Vista personalizada" guid="{71ABA865-EF8A-4EB3-AA45-9433D0EFFA82}" autoUpdate="1" mergeInterval="5" personalView="1" maximized="1" windowWidth="1020" windowHeight="622" activeSheetId="4"/>
    <customWorkbookView name="equipo de trabajo 5 - Vista personalizada" guid="{A77EC4ED-03BF-4540-A476-D8F99E900844}" autoUpdate="1" mergeInterval="5" personalView="1" maximized="1" showHorizontalScroll="0" showVerticalScroll="0" showSheetTabs="0" windowWidth="1020" windowHeight="739" activeSheetId="3" showFormulaBar="0" showStatusbar="0"/>
    <customWorkbookView name="PLM - Vista personalizada" guid="{56AFE396-18B0-4AF5-AE05-5CBE92BF4893}" mergeInterval="0" personalView="1" maximized="1" showHorizontalScroll="0" showVerticalScroll="0" showSheetTabs="0" xWindow="1" yWindow="1" windowWidth="1280" windowHeight="545" activeSheetId="6"/>
    <customWorkbookView name="  - Vista personalizada" guid="{79B4DA94-8F3B-455B-B3D6-7A15488FD419}" autoUpdate="1" mergeInterval="5" personalView="1" maximized="1" showHorizontalScroll="0" showVerticalScroll="0" showSheetTabs="0" xWindow="1" yWindow="1" windowWidth="1280" windowHeight="579" activeSheetId="12"/>
    <customWorkbookView name="Usuario - Vista personalizada" guid="{4EA0FCF4-4E92-4FEF-BBB1-FFCF2D2846A6}" autoUpdate="1" mergeInterval="5" personalView="1" maximized="1" showHorizontalScroll="0" showVerticalScroll="0" showSheetTabs="0" xWindow="1" yWindow="1" windowWidth="1280" windowHeight="579" activeSheetId="12"/>
  </customWorkbookViews>
</workbook>
</file>

<file path=xl/calcChain.xml><?xml version="1.0" encoding="utf-8"?>
<calcChain xmlns="http://schemas.openxmlformats.org/spreadsheetml/2006/main">
  <c r="AB10" i="13"/>
  <c r="AB11"/>
  <c r="AB12"/>
  <c r="AB13"/>
  <c r="AB14"/>
  <c r="AB15"/>
  <c r="AB16"/>
  <c r="AB17"/>
  <c r="AB18"/>
  <c r="AB19"/>
  <c r="AB30" s="1"/>
  <c r="AB20"/>
  <c r="AB21"/>
  <c r="AB22"/>
  <c r="AB23"/>
  <c r="AB24"/>
  <c r="AB9"/>
  <c r="AA10"/>
  <c r="AA11"/>
  <c r="AA12"/>
  <c r="AA13"/>
  <c r="AA14"/>
  <c r="AA15"/>
  <c r="AA16"/>
  <c r="AA17"/>
  <c r="AA18"/>
  <c r="AA19"/>
  <c r="AA30" s="1"/>
  <c r="AA20"/>
  <c r="AA21"/>
  <c r="AA22"/>
  <c r="AA23"/>
  <c r="AA24"/>
  <c r="AA25"/>
  <c r="AA9"/>
  <c r="Z10"/>
  <c r="Z11"/>
  <c r="Z12"/>
  <c r="Z13"/>
  <c r="Z14"/>
  <c r="Z15"/>
  <c r="Z16"/>
  <c r="Z17"/>
  <c r="Z18"/>
  <c r="Z19"/>
  <c r="Z30" s="1"/>
  <c r="Z20"/>
  <c r="Z21"/>
  <c r="Z22"/>
  <c r="Z23"/>
  <c r="Z24"/>
  <c r="Z25"/>
  <c r="Z9"/>
  <c r="Y10"/>
  <c r="Y11"/>
  <c r="Y12"/>
  <c r="Y13"/>
  <c r="Y14"/>
  <c r="Y15"/>
  <c r="Y16"/>
  <c r="Y17"/>
  <c r="Y18"/>
  <c r="Y19"/>
  <c r="Y30" s="1"/>
  <c r="Y20"/>
  <c r="Y21"/>
  <c r="Y22"/>
  <c r="Y23"/>
  <c r="Y24"/>
  <c r="Y25"/>
  <c r="AB25"/>
  <c r="Y9"/>
  <c r="AA10" i="10"/>
  <c r="AA11"/>
  <c r="AA12"/>
  <c r="Z10"/>
  <c r="Z11"/>
  <c r="Z12"/>
  <c r="Y10"/>
  <c r="Y11"/>
  <c r="Y12"/>
  <c r="AA9"/>
  <c r="Z9"/>
  <c r="Y9"/>
  <c r="AB10" i="7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43" s="1"/>
  <c r="AB29"/>
  <c r="AB30"/>
  <c r="AB31"/>
  <c r="AB32"/>
  <c r="AB33"/>
  <c r="AB34"/>
  <c r="AB35"/>
  <c r="AB36"/>
  <c r="AB37"/>
  <c r="AB38"/>
  <c r="AB39"/>
  <c r="AB40"/>
  <c r="AB9"/>
  <c r="AA10"/>
  <c r="AA11"/>
  <c r="AA12"/>
  <c r="AA13"/>
  <c r="AA14"/>
  <c r="AA15"/>
  <c r="AA16"/>
  <c r="AA17"/>
  <c r="AA18"/>
  <c r="AA19"/>
  <c r="AA20"/>
  <c r="AA21"/>
  <c r="AA22"/>
  <c r="AA23"/>
  <c r="AA24"/>
  <c r="AA25"/>
  <c r="AA26"/>
  <c r="AA27"/>
  <c r="AA28"/>
  <c r="AA43" s="1"/>
  <c r="AA29"/>
  <c r="AA30"/>
  <c r="AA31"/>
  <c r="AA32"/>
  <c r="AA33"/>
  <c r="AA34"/>
  <c r="AA35"/>
  <c r="AA36"/>
  <c r="AA37"/>
  <c r="AA38"/>
  <c r="AA39"/>
  <c r="AA40"/>
  <c r="AA9"/>
  <c r="Z10"/>
  <c r="Z11"/>
  <c r="Z12"/>
  <c r="Z13"/>
  <c r="Z14"/>
  <c r="Z15"/>
  <c r="Z16"/>
  <c r="Z17"/>
  <c r="Z18"/>
  <c r="Z19"/>
  <c r="Z20"/>
  <c r="Z21"/>
  <c r="Z22"/>
  <c r="Z23"/>
  <c r="Z24"/>
  <c r="Z25"/>
  <c r="Z26"/>
  <c r="Z27"/>
  <c r="Z28"/>
  <c r="Z43" s="1"/>
  <c r="Z29"/>
  <c r="Z30"/>
  <c r="Z31"/>
  <c r="Z32"/>
  <c r="Z33"/>
  <c r="Z34"/>
  <c r="Z35"/>
  <c r="Z36"/>
  <c r="Z37"/>
  <c r="Z38"/>
  <c r="Z39"/>
  <c r="Z40"/>
  <c r="Z9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43" s="1"/>
  <c r="Y29"/>
  <c r="Y30"/>
  <c r="Y31"/>
  <c r="Y32"/>
  <c r="Y33"/>
  <c r="Y34"/>
  <c r="Y35"/>
  <c r="Y36"/>
  <c r="Y37"/>
  <c r="Y38"/>
  <c r="Y39"/>
  <c r="Y40"/>
  <c r="Y10"/>
  <c r="Y9"/>
  <c r="Z9" i="4"/>
  <c r="Z21" s="1"/>
  <c r="AA9"/>
  <c r="AA21" s="1"/>
  <c r="AB9"/>
  <c r="AB21" s="1"/>
  <c r="Z10"/>
  <c r="Z22" s="1"/>
  <c r="AA10"/>
  <c r="AA22" s="1"/>
  <c r="AB10"/>
  <c r="AB22" s="1"/>
  <c r="Z11"/>
  <c r="Z23" s="1"/>
  <c r="AA11"/>
  <c r="AA23" s="1"/>
  <c r="AB11"/>
  <c r="AB23" s="1"/>
  <c r="Z12"/>
  <c r="AA12"/>
  <c r="AB12"/>
  <c r="Z13"/>
  <c r="AA13"/>
  <c r="AB13"/>
  <c r="Z14"/>
  <c r="Z25" s="1"/>
  <c r="AA14"/>
  <c r="AA25" s="1"/>
  <c r="AB14"/>
  <c r="AB25" s="1"/>
  <c r="Z15"/>
  <c r="AA15"/>
  <c r="AB15"/>
  <c r="Z16"/>
  <c r="AA16"/>
  <c r="AB16"/>
  <c r="Z17"/>
  <c r="AA17"/>
  <c r="AB17"/>
  <c r="Z18"/>
  <c r="AA18"/>
  <c r="AB18"/>
  <c r="Z19"/>
  <c r="AA19"/>
  <c r="AB19"/>
  <c r="D9"/>
  <c r="E9"/>
  <c r="F9"/>
  <c r="G9"/>
  <c r="H9"/>
  <c r="I9"/>
  <c r="J9"/>
  <c r="K9"/>
  <c r="L9"/>
  <c r="M9"/>
  <c r="N9"/>
  <c r="O9"/>
  <c r="P9"/>
  <c r="Q9"/>
  <c r="R9"/>
  <c r="S9"/>
  <c r="T9"/>
  <c r="U9"/>
  <c r="V9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Y12" i="5"/>
  <c r="Y13"/>
  <c r="Y14"/>
  <c r="Y15"/>
  <c r="Y16"/>
  <c r="Y17"/>
  <c r="Y18"/>
  <c r="Y19"/>
  <c r="Y20"/>
  <c r="Y21"/>
  <c r="Y22"/>
  <c r="Y23"/>
  <c r="Y24"/>
  <c r="Y25"/>
  <c r="Y26"/>
  <c r="Y27"/>
  <c r="AA27" s="1"/>
  <c r="Y28"/>
  <c r="AA28" s="1"/>
  <c r="Y29"/>
  <c r="Y11"/>
  <c r="Y10"/>
  <c r="Z10" s="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11"/>
  <c r="V10"/>
  <c r="W10" s="1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10"/>
  <c r="T10" s="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11"/>
  <c r="P10"/>
  <c r="C10" i="13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C10" i="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C40" i="7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C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C31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C32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C33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C35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C36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C37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C38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C39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C19" i="4"/>
  <c r="C18"/>
  <c r="C17"/>
  <c r="C16"/>
  <c r="C15"/>
  <c r="C14"/>
  <c r="C13"/>
  <c r="C12"/>
  <c r="C11"/>
  <c r="C10"/>
  <c r="C9"/>
  <c r="V9" i="2"/>
  <c r="W9" s="1"/>
  <c r="P9" i="11"/>
  <c r="Q9" s="1"/>
  <c r="S9"/>
  <c r="T9" s="1"/>
  <c r="V9"/>
  <c r="W9" s="1"/>
  <c r="Y9"/>
  <c r="Z9" s="1"/>
  <c r="P10"/>
  <c r="Q10" s="1"/>
  <c r="S10"/>
  <c r="T10" s="1"/>
  <c r="V10"/>
  <c r="W10" s="1"/>
  <c r="Y10"/>
  <c r="Z10" s="1"/>
  <c r="P11"/>
  <c r="S11"/>
  <c r="V11"/>
  <c r="Y11"/>
  <c r="P12"/>
  <c r="S12"/>
  <c r="V12"/>
  <c r="Y12"/>
  <c r="P13"/>
  <c r="S13"/>
  <c r="V13"/>
  <c r="Y13"/>
  <c r="P14"/>
  <c r="S14"/>
  <c r="V14"/>
  <c r="Y14"/>
  <c r="P15"/>
  <c r="S15"/>
  <c r="V15"/>
  <c r="Y15"/>
  <c r="P16"/>
  <c r="S16"/>
  <c r="V16"/>
  <c r="Y16"/>
  <c r="P17"/>
  <c r="S17"/>
  <c r="V17"/>
  <c r="Y17"/>
  <c r="P18"/>
  <c r="S18"/>
  <c r="V18"/>
  <c r="Y18"/>
  <c r="P19"/>
  <c r="S19"/>
  <c r="V19"/>
  <c r="Y19"/>
  <c r="P20"/>
  <c r="S20"/>
  <c r="V20"/>
  <c r="Y20"/>
  <c r="P21"/>
  <c r="S21"/>
  <c r="V21"/>
  <c r="Y21"/>
  <c r="P22"/>
  <c r="S22"/>
  <c r="V22"/>
  <c r="Y22"/>
  <c r="P23"/>
  <c r="S23"/>
  <c r="V23"/>
  <c r="Y23"/>
  <c r="AA23" s="1"/>
  <c r="P24"/>
  <c r="S24"/>
  <c r="V24"/>
  <c r="Y24"/>
  <c r="P25"/>
  <c r="S25"/>
  <c r="V25"/>
  <c r="Y25"/>
  <c r="AA25" s="1"/>
  <c r="P26"/>
  <c r="S26"/>
  <c r="U26" s="1"/>
  <c r="V26"/>
  <c r="Y26"/>
  <c r="AA26" s="1"/>
  <c r="P27"/>
  <c r="R27" s="1"/>
  <c r="S27"/>
  <c r="U27" s="1"/>
  <c r="V27"/>
  <c r="X27" s="1"/>
  <c r="Y27"/>
  <c r="AA27" s="1"/>
  <c r="P28"/>
  <c r="R28" s="1"/>
  <c r="S28"/>
  <c r="U28" s="1"/>
  <c r="V28"/>
  <c r="X28" s="1"/>
  <c r="Y28"/>
  <c r="AA28" s="1"/>
  <c r="P29"/>
  <c r="R29" s="1"/>
  <c r="S29"/>
  <c r="U29" s="1"/>
  <c r="V29"/>
  <c r="X29" s="1"/>
  <c r="Y29"/>
  <c r="AA29" s="1"/>
  <c r="P9" i="2"/>
  <c r="Q9" s="1"/>
  <c r="S9"/>
  <c r="T9" s="1"/>
  <c r="P10"/>
  <c r="Q10" s="1"/>
  <c r="S10"/>
  <c r="T10" s="1"/>
  <c r="V10"/>
  <c r="W10" s="1"/>
  <c r="P11"/>
  <c r="S11"/>
  <c r="V11"/>
  <c r="P12"/>
  <c r="S12"/>
  <c r="V12"/>
  <c r="P13"/>
  <c r="S13"/>
  <c r="V13"/>
  <c r="P14"/>
  <c r="S14"/>
  <c r="V14"/>
  <c r="P15"/>
  <c r="S15"/>
  <c r="V15"/>
  <c r="P16"/>
  <c r="S16"/>
  <c r="V16"/>
  <c r="P17"/>
  <c r="S17"/>
  <c r="V17"/>
  <c r="P18"/>
  <c r="S18"/>
  <c r="V18"/>
  <c r="P19"/>
  <c r="S19"/>
  <c r="V19"/>
  <c r="P20"/>
  <c r="S20"/>
  <c r="V20"/>
  <c r="P21"/>
  <c r="S21"/>
  <c r="V21"/>
  <c r="P22"/>
  <c r="S22"/>
  <c r="V22"/>
  <c r="P23"/>
  <c r="S23"/>
  <c r="V23"/>
  <c r="P24"/>
  <c r="S24"/>
  <c r="V24"/>
  <c r="P25"/>
  <c r="S25"/>
  <c r="V25"/>
  <c r="P26"/>
  <c r="R26" s="1"/>
  <c r="S26"/>
  <c r="U26" s="1"/>
  <c r="V26"/>
  <c r="X26" s="1"/>
  <c r="P27"/>
  <c r="R27" s="1"/>
  <c r="S27"/>
  <c r="U27" s="1"/>
  <c r="V27"/>
  <c r="X27" s="1"/>
  <c r="P28"/>
  <c r="R28" s="1"/>
  <c r="S28"/>
  <c r="U28" s="1"/>
  <c r="V28"/>
  <c r="X28" s="1"/>
  <c r="P29"/>
  <c r="R29" s="1"/>
  <c r="S29"/>
  <c r="U29" s="1"/>
  <c r="V29"/>
  <c r="X29" s="1"/>
  <c r="P9" i="8"/>
  <c r="Q9" s="1"/>
  <c r="S9"/>
  <c r="T9" s="1"/>
  <c r="V9"/>
  <c r="P10"/>
  <c r="Q10" s="1"/>
  <c r="S10"/>
  <c r="T10" s="1"/>
  <c r="V10"/>
  <c r="W10" s="1"/>
  <c r="P11"/>
  <c r="S11"/>
  <c r="V11"/>
  <c r="P12"/>
  <c r="S12"/>
  <c r="V12"/>
  <c r="P13"/>
  <c r="S13"/>
  <c r="V13"/>
  <c r="P14"/>
  <c r="S14"/>
  <c r="V14"/>
  <c r="P15"/>
  <c r="S15"/>
  <c r="V15"/>
  <c r="P16"/>
  <c r="S16"/>
  <c r="V16"/>
  <c r="P17"/>
  <c r="S17"/>
  <c r="V17"/>
  <c r="P18"/>
  <c r="S18"/>
  <c r="V18"/>
  <c r="P19"/>
  <c r="S19"/>
  <c r="V19"/>
  <c r="P20"/>
  <c r="S20"/>
  <c r="V20"/>
  <c r="P21"/>
  <c r="S21"/>
  <c r="V21"/>
  <c r="P22"/>
  <c r="S22"/>
  <c r="V22"/>
  <c r="P23"/>
  <c r="S23"/>
  <c r="V23"/>
  <c r="P24"/>
  <c r="S24"/>
  <c r="V24"/>
  <c r="P25"/>
  <c r="R25" s="1"/>
  <c r="S25"/>
  <c r="U25" s="1"/>
  <c r="V25"/>
  <c r="X25" s="1"/>
  <c r="P26"/>
  <c r="R26" s="1"/>
  <c r="S26"/>
  <c r="U26" s="1"/>
  <c r="V26"/>
  <c r="X26" s="1"/>
  <c r="P27"/>
  <c r="R27" s="1"/>
  <c r="S27"/>
  <c r="U27" s="1"/>
  <c r="V27"/>
  <c r="X27" s="1"/>
  <c r="P28"/>
  <c r="R28" s="1"/>
  <c r="S28"/>
  <c r="U28" s="1"/>
  <c r="V28"/>
  <c r="X28" s="1"/>
  <c r="P29"/>
  <c r="R29" s="1"/>
  <c r="S29"/>
  <c r="U29" s="1"/>
  <c r="V29"/>
  <c r="X29" s="1"/>
  <c r="P9" i="5"/>
  <c r="Q9" s="1"/>
  <c r="S9"/>
  <c r="T9" s="1"/>
  <c r="V9"/>
  <c r="W9" s="1"/>
  <c r="Y9"/>
  <c r="Z9" s="1"/>
  <c r="Q10"/>
  <c r="R9" i="8" l="1"/>
  <c r="Q2" s="1"/>
  <c r="R9" i="2"/>
  <c r="Q3" s="1"/>
  <c r="Y14" i="10"/>
  <c r="AA27" i="13"/>
  <c r="AB27"/>
  <c r="W11" i="5"/>
  <c r="W12" s="1"/>
  <c r="W13" s="1"/>
  <c r="W14" s="1"/>
  <c r="AA42" i="7"/>
  <c r="AB42"/>
  <c r="Q11" i="5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Z11"/>
  <c r="Z12" s="1"/>
  <c r="Z13" s="1"/>
  <c r="Z14" s="1"/>
  <c r="T11"/>
  <c r="T12" s="1"/>
  <c r="T13" s="1"/>
  <c r="T14" s="1"/>
  <c r="T15" s="1"/>
  <c r="Z42" i="7"/>
  <c r="AA9" i="11"/>
  <c r="Q5" s="1"/>
  <c r="R9"/>
  <c r="Q2" s="1"/>
  <c r="Y42" i="7"/>
  <c r="Y27" i="13"/>
  <c r="Z27"/>
  <c r="W11" i="2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Q1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T1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W11" i="1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Q1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Z1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T1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11" i="8"/>
  <c r="T12" s="1"/>
  <c r="T13" s="1"/>
  <c r="W11"/>
  <c r="W12" s="1"/>
  <c r="W13" s="1"/>
  <c r="W14" s="1"/>
  <c r="W15" s="1"/>
  <c r="Q11"/>
  <c r="Q12" s="1"/>
  <c r="Q13" s="1"/>
  <c r="Q14" s="1"/>
  <c r="Q15" s="1"/>
  <c r="Q16" s="1"/>
  <c r="Q17" s="1"/>
  <c r="Q18" s="1"/>
  <c r="Q19" s="1"/>
  <c r="Q20" s="1"/>
  <c r="Q21" s="1"/>
  <c r="R10" i="5"/>
  <c r="U10"/>
  <c r="X10"/>
  <c r="AA10"/>
  <c r="R10" i="11"/>
  <c r="X10"/>
  <c r="AA10"/>
  <c r="U10"/>
  <c r="U9" i="8"/>
  <c r="Q3" s="1"/>
  <c r="R10"/>
  <c r="U10"/>
  <c r="X10"/>
  <c r="AA9" i="5"/>
  <c r="Q5" s="1"/>
  <c r="R9"/>
  <c r="Q2" s="1"/>
  <c r="AB24" i="4"/>
  <c r="R10" i="2"/>
  <c r="U10"/>
  <c r="X10"/>
  <c r="W15" i="5"/>
  <c r="T14" i="8"/>
  <c r="W16"/>
  <c r="W17" s="1"/>
  <c r="W18" s="1"/>
  <c r="W19" s="1"/>
  <c r="AB26" i="4"/>
  <c r="Z26"/>
  <c r="AA24"/>
  <c r="Y44" i="7"/>
  <c r="Z45"/>
  <c r="AA45"/>
  <c r="AB45"/>
  <c r="Z14" i="10"/>
  <c r="AA14"/>
  <c r="X9" i="2"/>
  <c r="Q5" s="1"/>
  <c r="U9" i="5"/>
  <c r="Q3" s="1"/>
  <c r="X9"/>
  <c r="Q4" s="1"/>
  <c r="U9" i="11"/>
  <c r="Q3" s="1"/>
  <c r="X9"/>
  <c r="Q4" s="1"/>
  <c r="U9" i="2"/>
  <c r="Q4" s="1"/>
  <c r="X9" i="8"/>
  <c r="Q4" s="1"/>
  <c r="W9"/>
  <c r="AA26" i="4"/>
  <c r="Z24"/>
  <c r="Y45" i="7"/>
  <c r="Z44"/>
  <c r="AA44"/>
  <c r="AB44"/>
  <c r="AA29" i="13"/>
  <c r="Z29"/>
  <c r="AB29"/>
  <c r="AB31"/>
  <c r="AB28"/>
  <c r="AA32"/>
  <c r="AA31"/>
  <c r="AA28"/>
  <c r="Z28"/>
  <c r="Z32"/>
  <c r="Z31"/>
  <c r="Y32"/>
  <c r="Y31"/>
  <c r="AB32"/>
  <c r="Y29"/>
  <c r="Y28"/>
  <c r="R25" i="2" l="1"/>
  <c r="U25"/>
  <c r="X25"/>
  <c r="X25" i="11"/>
  <c r="U25"/>
  <c r="R25"/>
  <c r="X26"/>
  <c r="R26"/>
  <c r="U24" i="2"/>
  <c r="X24"/>
  <c r="R24"/>
  <c r="AA24" i="11"/>
  <c r="R23" i="2"/>
  <c r="U23"/>
  <c r="X23"/>
  <c r="X22"/>
  <c r="U22"/>
  <c r="R22"/>
  <c r="R21"/>
  <c r="U21"/>
  <c r="X21"/>
  <c r="AA22" i="11"/>
  <c r="X21"/>
  <c r="X23"/>
  <c r="U23"/>
  <c r="R23"/>
  <c r="X22"/>
  <c r="U22"/>
  <c r="X19" i="2"/>
  <c r="AA21" i="11"/>
  <c r="U21"/>
  <c r="R21"/>
  <c r="AA19"/>
  <c r="AA17"/>
  <c r="X24"/>
  <c r="U24"/>
  <c r="R24"/>
  <c r="AA20"/>
  <c r="R19" i="2"/>
  <c r="U19"/>
  <c r="X20"/>
  <c r="U20"/>
  <c r="R20"/>
  <c r="R22" i="11"/>
  <c r="X20"/>
  <c r="U20"/>
  <c r="R20"/>
  <c r="R17" i="2"/>
  <c r="U18"/>
  <c r="U17"/>
  <c r="X18"/>
  <c r="X17"/>
  <c r="R18"/>
  <c r="X19" i="11"/>
  <c r="U19"/>
  <c r="R19"/>
  <c r="X14" i="8"/>
  <c r="U17" i="11"/>
  <c r="AA18"/>
  <c r="X18"/>
  <c r="U18"/>
  <c r="R18"/>
  <c r="X17"/>
  <c r="R17"/>
  <c r="AA16"/>
  <c r="AA15"/>
  <c r="X16" i="2"/>
  <c r="U16"/>
  <c r="R16"/>
  <c r="X15"/>
  <c r="U15"/>
  <c r="R15"/>
  <c r="X15" i="11"/>
  <c r="U15"/>
  <c r="R15"/>
  <c r="X16"/>
  <c r="U16"/>
  <c r="R16"/>
  <c r="X13" i="8"/>
  <c r="X11" i="5"/>
  <c r="X12" i="8"/>
  <c r="R11" i="5"/>
  <c r="X14"/>
  <c r="AA11"/>
  <c r="U13"/>
  <c r="X13"/>
  <c r="R14"/>
  <c r="R13"/>
  <c r="AA14"/>
  <c r="Z15"/>
  <c r="X15" s="1"/>
  <c r="AA12"/>
  <c r="X12"/>
  <c r="U11"/>
  <c r="R12"/>
  <c r="AA13"/>
  <c r="U12"/>
  <c r="U14"/>
  <c r="AA14" i="11"/>
  <c r="X13" i="2"/>
  <c r="R14" i="11"/>
  <c r="U13" i="2"/>
  <c r="U12" i="8"/>
  <c r="U14" i="11"/>
  <c r="R13" i="2"/>
  <c r="R12" i="8"/>
  <c r="X14" i="11"/>
  <c r="X14" i="2"/>
  <c r="U14" i="8"/>
  <c r="R14"/>
  <c r="U13"/>
  <c r="U14" i="2"/>
  <c r="R14"/>
  <c r="X12"/>
  <c r="U11"/>
  <c r="R12"/>
  <c r="U13" i="11"/>
  <c r="X13"/>
  <c r="AA13"/>
  <c r="U12" i="2"/>
  <c r="R13" i="8"/>
  <c r="R13" i="11"/>
  <c r="X11" i="2"/>
  <c r="R11"/>
  <c r="AA11" i="11"/>
  <c r="X11"/>
  <c r="U11"/>
  <c r="R11"/>
  <c r="X11" i="8"/>
  <c r="U11"/>
  <c r="R11"/>
  <c r="T29" i="2"/>
  <c r="W16" i="5"/>
  <c r="T16"/>
  <c r="W20" i="8"/>
  <c r="T15"/>
  <c r="U15" s="1"/>
  <c r="Q22"/>
  <c r="AA15" i="5" l="1"/>
  <c r="X15" i="8"/>
  <c r="R15"/>
  <c r="R15" i="5"/>
  <c r="Z16"/>
  <c r="U15"/>
  <c r="T17"/>
  <c r="W17"/>
  <c r="T16" i="8"/>
  <c r="X16" s="1"/>
  <c r="W21"/>
  <c r="Q23"/>
  <c r="U12" i="11"/>
  <c r="X12"/>
  <c r="AA12"/>
  <c r="R12"/>
  <c r="U16" i="8" l="1"/>
  <c r="R16"/>
  <c r="Z17" i="5"/>
  <c r="AA17" s="1"/>
  <c r="AA16"/>
  <c r="X16"/>
  <c r="R16"/>
  <c r="U16"/>
  <c r="W18"/>
  <c r="Z18"/>
  <c r="T18"/>
  <c r="W22" i="8"/>
  <c r="T17"/>
  <c r="X17" s="1"/>
  <c r="Q24"/>
  <c r="X18" i="5" l="1"/>
  <c r="AA18"/>
  <c r="U18"/>
  <c r="R18"/>
  <c r="X17"/>
  <c r="U17" i="8"/>
  <c r="R17"/>
  <c r="R17" i="5"/>
  <c r="U17"/>
  <c r="T19"/>
  <c r="Z19"/>
  <c r="W19"/>
  <c r="T18" i="8"/>
  <c r="X18" s="1"/>
  <c r="W23"/>
  <c r="Q25"/>
  <c r="U18" l="1"/>
  <c r="R18"/>
  <c r="X19" i="5"/>
  <c r="AA19"/>
  <c r="U19"/>
  <c r="R19"/>
  <c r="W20"/>
  <c r="Z20"/>
  <c r="T20"/>
  <c r="W24" i="8"/>
  <c r="T19"/>
  <c r="X19" s="1"/>
  <c r="Q26"/>
  <c r="AA20" i="5" l="1"/>
  <c r="U19" i="8"/>
  <c r="R19"/>
  <c r="U20" i="5"/>
  <c r="R20"/>
  <c r="X20"/>
  <c r="T21"/>
  <c r="Z21"/>
  <c r="W21"/>
  <c r="T20" i="8"/>
  <c r="X20" s="1"/>
  <c r="W25"/>
  <c r="Q27"/>
  <c r="X21" i="5" l="1"/>
  <c r="U20" i="8"/>
  <c r="R20"/>
  <c r="U21" i="5"/>
  <c r="R21"/>
  <c r="AA21"/>
  <c r="W22"/>
  <c r="Z22"/>
  <c r="T22"/>
  <c r="W26" i="8"/>
  <c r="T21"/>
  <c r="X21" s="1"/>
  <c r="Q28"/>
  <c r="U21" l="1"/>
  <c r="R21"/>
  <c r="AA22" i="5"/>
  <c r="U22"/>
  <c r="R22"/>
  <c r="X22"/>
  <c r="T23"/>
  <c r="Z23"/>
  <c r="W23"/>
  <c r="T22" i="8"/>
  <c r="X22" s="1"/>
  <c r="W27"/>
  <c r="Q29"/>
  <c r="AA23" i="5" l="1"/>
  <c r="U23"/>
  <c r="R23"/>
  <c r="X23"/>
  <c r="U22" i="8"/>
  <c r="R22"/>
  <c r="W24" i="5"/>
  <c r="Z24"/>
  <c r="AA24" s="1"/>
  <c r="T24"/>
  <c r="W28" i="8"/>
  <c r="T23"/>
  <c r="X23" s="1"/>
  <c r="U23" l="1"/>
  <c r="R23"/>
  <c r="U24" i="5"/>
  <c r="R24"/>
  <c r="X24"/>
  <c r="T25"/>
  <c r="Z25"/>
  <c r="W25"/>
  <c r="X25" s="1"/>
  <c r="T24" i="8"/>
  <c r="X24" s="1"/>
  <c r="W29"/>
  <c r="AA25" i="5" l="1"/>
  <c r="U25"/>
  <c r="R25"/>
  <c r="U24" i="8"/>
  <c r="R24"/>
  <c r="W26" i="5"/>
  <c r="Z26"/>
  <c r="T26"/>
  <c r="T25" i="8"/>
  <c r="AA26" i="5" l="1"/>
  <c r="U26"/>
  <c r="R26"/>
  <c r="X26"/>
  <c r="T27"/>
  <c r="Z27"/>
  <c r="W27"/>
  <c r="T26" i="8"/>
  <c r="X27" i="5" l="1"/>
  <c r="U27"/>
  <c r="R27"/>
  <c r="W28"/>
  <c r="Z28"/>
  <c r="T28"/>
  <c r="T27" i="8"/>
  <c r="U28" i="5" l="1"/>
  <c r="R28"/>
  <c r="X28"/>
  <c r="T29"/>
  <c r="Z29"/>
  <c r="W29"/>
  <c r="X29" s="1"/>
  <c r="T28" i="8"/>
  <c r="U29" i="5" l="1"/>
  <c r="R29"/>
  <c r="AA29"/>
  <c r="T29" i="8"/>
</calcChain>
</file>

<file path=xl/sharedStrings.xml><?xml version="1.0" encoding="utf-8"?>
<sst xmlns="http://schemas.openxmlformats.org/spreadsheetml/2006/main" count="275" uniqueCount="77">
  <si>
    <t>Turno</t>
  </si>
  <si>
    <t>Entidad</t>
  </si>
  <si>
    <t>Centro</t>
  </si>
  <si>
    <t>.</t>
  </si>
  <si>
    <t>Bolivar</t>
  </si>
  <si>
    <t>Delta Amacuro</t>
  </si>
  <si>
    <t>Francisco Rangel Gomez</t>
  </si>
  <si>
    <t>Andres Velasquez</t>
  </si>
  <si>
    <t>Antonio Rojas Suarez</t>
  </si>
  <si>
    <t>Otro</t>
  </si>
  <si>
    <t>Lizeta Hernandez</t>
  </si>
  <si>
    <t>Victor Cedeño</t>
  </si>
  <si>
    <t>Region Guayana - Los Llanos</t>
  </si>
  <si>
    <t>Guarico</t>
  </si>
  <si>
    <t>Estado Bolivar</t>
  </si>
  <si>
    <t>Estado Delta Amacuro</t>
  </si>
  <si>
    <t>Estado Apure</t>
  </si>
  <si>
    <t>Estado Guarico</t>
  </si>
  <si>
    <t>Jesus Aguilarte</t>
  </si>
  <si>
    <t>Mirian de Montilla</t>
  </si>
  <si>
    <t>Willian Lara</t>
  </si>
  <si>
    <t>Reinaldo Armas</t>
  </si>
  <si>
    <t>Lenny Manuit</t>
  </si>
  <si>
    <t>Apure</t>
  </si>
  <si>
    <t>Exit Poll Regional Noviembre 2.008</t>
  </si>
  <si>
    <t xml:space="preserve"> </t>
  </si>
  <si>
    <t>GOBERNACION DE BOLIVAR</t>
  </si>
  <si>
    <t>GOBERNACION DE APURE</t>
  </si>
  <si>
    <t>GOBERNACION DE DELTA AMACURO</t>
  </si>
  <si>
    <t>GOBERNACION DE GUARICO</t>
  </si>
  <si>
    <t>Achaguas</t>
  </si>
  <si>
    <t>Biruaca</t>
  </si>
  <si>
    <t>Muñoz</t>
  </si>
  <si>
    <t>Paez</t>
  </si>
  <si>
    <t>Pedro Camejo</t>
  </si>
  <si>
    <t>San Fernando</t>
  </si>
  <si>
    <t>Municipio</t>
  </si>
  <si>
    <t>APURE</t>
  </si>
  <si>
    <t>SumaAp</t>
  </si>
  <si>
    <t>Pagina Principal</t>
  </si>
  <si>
    <t>BOLIVAR</t>
  </si>
  <si>
    <t>SumaBO</t>
  </si>
  <si>
    <t>Supervisor Apure</t>
  </si>
  <si>
    <t>Supervisor de Delta Amacuro</t>
  </si>
  <si>
    <t>Transcripción Apure</t>
  </si>
  <si>
    <t>Gráficos de Apure</t>
  </si>
  <si>
    <t>Transcripción Bolívar</t>
  </si>
  <si>
    <t>Supervisor de Bolívar</t>
  </si>
  <si>
    <t>Gráficos de Bolívar</t>
  </si>
  <si>
    <t>Transcripción Delta Amacuro</t>
  </si>
  <si>
    <t>Gráficos de Delta Amacuro</t>
  </si>
  <si>
    <t>Transcripción Guárico</t>
  </si>
  <si>
    <t>Supervisor de Guárico</t>
  </si>
  <si>
    <t>Gráficos de Guárico</t>
  </si>
  <si>
    <t>SumaDA</t>
  </si>
  <si>
    <t>SumaGu</t>
  </si>
  <si>
    <t>DELTA AMACURO</t>
  </si>
  <si>
    <t>Supervisor de Bolivar</t>
  </si>
  <si>
    <t>Supervisor de Apure</t>
  </si>
  <si>
    <t>Supervisor de Guarico</t>
  </si>
  <si>
    <t>GUARICO</t>
  </si>
  <si>
    <t>Graficos de Bolivar</t>
  </si>
  <si>
    <t>Graficos de Delta Amacuro</t>
  </si>
  <si>
    <t>Graficos de Guarico</t>
  </si>
  <si>
    <t>Graficos de Apure</t>
  </si>
  <si>
    <t>CARONI</t>
  </si>
  <si>
    <t>CEDEÑO</t>
  </si>
  <si>
    <t>HERES</t>
  </si>
  <si>
    <t>PIAR</t>
  </si>
  <si>
    <t>TUCUPITA</t>
  </si>
  <si>
    <t>INFANTE</t>
  </si>
  <si>
    <t>MIRANDA</t>
  </si>
  <si>
    <t>MONAGAS</t>
  </si>
  <si>
    <t>RIBAS</t>
  </si>
  <si>
    <t>ROSCIO</t>
  </si>
  <si>
    <t>ZARAZA</t>
  </si>
  <si>
    <t>9-</t>
  </si>
</sst>
</file>

<file path=xl/styles.xml><?xml version="1.0" encoding="utf-8"?>
<styleSheet xmlns="http://schemas.openxmlformats.org/spreadsheetml/2006/main">
  <numFmts count="1">
    <numFmt numFmtId="164" formatCode="0.0%"/>
  </numFmts>
  <fonts count="40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4"/>
      <name val="Arial"/>
      <family val="2"/>
    </font>
    <font>
      <sz val="22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b/>
      <i/>
      <u/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i/>
      <sz val="10"/>
      <color rgb="FF006600"/>
      <name val="Arial"/>
      <family val="2"/>
    </font>
    <font>
      <i/>
      <sz val="26"/>
      <color rgb="FF7030A0"/>
      <name val="Arial"/>
      <family val="2"/>
    </font>
    <font>
      <i/>
      <sz val="26"/>
      <color rgb="FFFF0000"/>
      <name val="Arial"/>
      <family val="2"/>
    </font>
    <font>
      <i/>
      <sz val="26"/>
      <color theme="9" tint="-0.249977111117893"/>
      <name val="Arial"/>
      <family val="2"/>
    </font>
    <font>
      <i/>
      <sz val="26"/>
      <color rgb="FF00B05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i/>
      <sz val="20"/>
      <color theme="3" tint="-0.249977111117893"/>
      <name val="Arial"/>
      <family val="2"/>
    </font>
    <font>
      <i/>
      <sz val="18"/>
      <color theme="3" tint="-0.249977111117893"/>
      <name val="Arial"/>
      <family val="2"/>
    </font>
    <font>
      <i/>
      <sz val="10"/>
      <color rgb="FF19B533"/>
      <name val="Arial"/>
      <family val="2"/>
    </font>
    <font>
      <i/>
      <sz val="10"/>
      <color theme="9" tint="-0.249977111117893"/>
      <name val="Arial"/>
      <family val="2"/>
    </font>
    <font>
      <i/>
      <sz val="10"/>
      <color rgb="FF7030A0"/>
      <name val="Arial"/>
      <family val="2"/>
    </font>
    <font>
      <b/>
      <sz val="11"/>
      <color theme="3" tint="-0.249977111117893"/>
      <name val="Arial"/>
      <family val="2"/>
    </font>
    <font>
      <b/>
      <i/>
      <sz val="11"/>
      <color theme="3" tint="-0.249977111117893"/>
      <name val="Arial"/>
      <family val="2"/>
    </font>
    <font>
      <sz val="36"/>
      <color theme="3" tint="-0.249977111117893"/>
      <name val="Arial"/>
      <family val="2"/>
    </font>
    <font>
      <b/>
      <i/>
      <sz val="10"/>
      <color rgb="FF009900"/>
      <name val="Arial"/>
      <family val="2"/>
    </font>
    <font>
      <b/>
      <i/>
      <u/>
      <sz val="10"/>
      <color rgb="FF009900"/>
      <name val="Arial"/>
      <family val="2"/>
    </font>
    <font>
      <sz val="10"/>
      <color rgb="FF002060"/>
      <name val="Arial"/>
      <family val="2"/>
    </font>
    <font>
      <b/>
      <i/>
      <u/>
      <sz val="11"/>
      <color rgb="FF002060"/>
      <name val="Arial"/>
      <family val="2"/>
    </font>
    <font>
      <b/>
      <sz val="11"/>
      <color rgb="FF002060"/>
      <name val="Arial"/>
      <family val="2"/>
    </font>
    <font>
      <i/>
      <sz val="16"/>
      <color rgb="FF002060"/>
      <name val="Arial"/>
      <family val="2"/>
    </font>
    <font>
      <b/>
      <i/>
      <sz val="11"/>
      <color rgb="FF002060"/>
      <name val="Arial"/>
      <family val="2"/>
    </font>
    <font>
      <b/>
      <i/>
      <sz val="22"/>
      <color rgb="FF002060"/>
      <name val="Arial"/>
      <family val="2"/>
    </font>
    <font>
      <i/>
      <sz val="36"/>
      <color rgb="FF002060"/>
      <name val="Arial"/>
      <family val="2"/>
    </font>
    <font>
      <b/>
      <i/>
      <sz val="20"/>
      <color rgb="FFFF0000"/>
      <name val="Arial"/>
      <family val="2"/>
    </font>
    <font>
      <b/>
      <i/>
      <u/>
      <sz val="10"/>
      <color rgb="FFFF0000"/>
      <name val="Arial"/>
      <family val="2"/>
    </font>
    <font>
      <b/>
      <i/>
      <u/>
      <sz val="10"/>
      <color rgb="FF009900"/>
      <name val="Arial"/>
      <family val="2"/>
    </font>
    <font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dashed">
        <color indexed="64"/>
      </bottom>
      <diagonal/>
    </border>
    <border>
      <left style="medium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85">
    <xf numFmtId="0" fontId="0" fillId="0" borderId="0" xfId="0"/>
    <xf numFmtId="1" fontId="2" fillId="0" borderId="0" xfId="0" applyNumberFormat="1" applyFont="1" applyBorder="1" applyAlignment="1">
      <alignment horizontal="center" vertical="center" wrapText="1"/>
    </xf>
    <xf numFmtId="1" fontId="3" fillId="0" borderId="0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 indent="1"/>
    </xf>
    <xf numFmtId="1" fontId="0" fillId="0" borderId="2" xfId="0" applyNumberFormat="1" applyBorder="1" applyAlignment="1">
      <alignment horizontal="right" vertical="center" indent="1"/>
    </xf>
    <xf numFmtId="1" fontId="0" fillId="0" borderId="0" xfId="0" applyNumberFormat="1" applyBorder="1" applyAlignment="1">
      <alignment horizontal="right" vertical="center" indent="1"/>
    </xf>
    <xf numFmtId="20" fontId="0" fillId="0" borderId="0" xfId="0" applyNumberFormat="1" applyAlignment="1">
      <alignment vertical="center"/>
    </xf>
    <xf numFmtId="1" fontId="0" fillId="0" borderId="3" xfId="0" applyNumberFormat="1" applyBorder="1" applyAlignment="1">
      <alignment horizontal="right" vertical="center" indent="1"/>
    </xf>
    <xf numFmtId="1" fontId="0" fillId="0" borderId="4" xfId="0" applyNumberFormat="1" applyBorder="1" applyAlignment="1">
      <alignment horizontal="right" vertical="center" indent="1"/>
    </xf>
    <xf numFmtId="2" fontId="0" fillId="0" borderId="5" xfId="0" applyNumberFormat="1" applyBorder="1" applyAlignment="1">
      <alignment horizontal="right" vertical="center" indent="1"/>
    </xf>
    <xf numFmtId="2" fontId="0" fillId="0" borderId="0" xfId="0" applyNumberFormat="1" applyBorder="1" applyAlignment="1">
      <alignment horizontal="right" vertical="center" indent="1"/>
    </xf>
    <xf numFmtId="2" fontId="0" fillId="0" borderId="4" xfId="0" applyNumberFormat="1" applyBorder="1" applyAlignment="1">
      <alignment horizontal="right" vertical="center" indent="1"/>
    </xf>
    <xf numFmtId="0" fontId="2" fillId="0" borderId="0" xfId="0" applyFont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6" fillId="3" borderId="7" xfId="0" applyNumberFormat="1" applyFont="1" applyFill="1" applyBorder="1" applyAlignment="1" applyProtection="1">
      <alignment horizontal="center" vertical="center"/>
      <protection locked="0"/>
    </xf>
    <xf numFmtId="0" fontId="6" fillId="3" borderId="7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6" fillId="0" borderId="0" xfId="0" applyFont="1" applyAlignment="1">
      <alignment horizontal="right" vertical="center"/>
    </xf>
    <xf numFmtId="0" fontId="7" fillId="2" borderId="6" xfId="0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6" fillId="4" borderId="7" xfId="0" applyNumberFormat="1" applyFont="1" applyFill="1" applyBorder="1" applyAlignment="1" applyProtection="1">
      <alignment horizontal="center" vertical="center"/>
      <protection locked="0"/>
    </xf>
    <xf numFmtId="0" fontId="6" fillId="4" borderId="7" xfId="0" applyNumberFormat="1" applyFont="1" applyFill="1" applyBorder="1" applyAlignment="1" applyProtection="1">
      <alignment horizontal="center" vertical="center"/>
      <protection locked="0"/>
    </xf>
    <xf numFmtId="0" fontId="6" fillId="4" borderId="9" xfId="0" applyNumberFormat="1" applyFont="1" applyFill="1" applyBorder="1" applyAlignment="1" applyProtection="1">
      <alignment horizontal="center" vertical="center"/>
      <protection locked="0"/>
    </xf>
    <xf numFmtId="49" fontId="6" fillId="5" borderId="7" xfId="0" applyNumberFormat="1" applyFont="1" applyFill="1" applyBorder="1" applyAlignment="1" applyProtection="1">
      <alignment horizontal="center" vertical="center"/>
      <protection locked="0"/>
    </xf>
    <xf numFmtId="0" fontId="6" fillId="5" borderId="7" xfId="0" applyNumberFormat="1" applyFont="1" applyFill="1" applyBorder="1" applyAlignment="1" applyProtection="1">
      <alignment horizontal="center" vertical="center"/>
      <protection locked="0"/>
    </xf>
    <xf numFmtId="1" fontId="0" fillId="0" borderId="0" xfId="0" applyNumberFormat="1" applyAlignment="1">
      <alignment horizontal="center"/>
    </xf>
    <xf numFmtId="1" fontId="5" fillId="3" borderId="11" xfId="0" applyNumberFormat="1" applyFont="1" applyFill="1" applyBorder="1" applyAlignment="1" applyProtection="1">
      <alignment horizontal="right" vertical="center" indent="2"/>
      <protection locked="0"/>
    </xf>
    <xf numFmtId="1" fontId="0" fillId="0" borderId="12" xfId="0" quotePrefix="1" applyNumberFormat="1" applyBorder="1" applyAlignment="1">
      <alignment horizontal="right" vertical="center" indent="1"/>
    </xf>
    <xf numFmtId="1" fontId="0" fillId="0" borderId="13" xfId="0" quotePrefix="1" applyNumberFormat="1" applyBorder="1" applyAlignment="1">
      <alignment horizontal="right" vertical="center" indent="1"/>
    </xf>
    <xf numFmtId="2" fontId="0" fillId="0" borderId="13" xfId="0" applyNumberFormat="1" applyBorder="1" applyAlignment="1">
      <alignment horizontal="right" vertical="center" indent="1"/>
    </xf>
    <xf numFmtId="2" fontId="0" fillId="0" borderId="14" xfId="0" applyNumberFormat="1" applyBorder="1" applyAlignment="1">
      <alignment horizontal="right" vertical="center" inden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" fontId="5" fillId="6" borderId="10" xfId="0" applyNumberFormat="1" applyFont="1" applyFill="1" applyBorder="1" applyAlignment="1" applyProtection="1">
      <alignment horizontal="right" vertical="center" indent="2"/>
      <protection locked="0"/>
    </xf>
    <xf numFmtId="1" fontId="5" fillId="6" borderId="11" xfId="0" applyNumberFormat="1" applyFont="1" applyFill="1" applyBorder="1" applyAlignment="1" applyProtection="1">
      <alignment horizontal="right" vertical="center" indent="2"/>
      <protection locked="0"/>
    </xf>
    <xf numFmtId="49" fontId="6" fillId="6" borderId="7" xfId="0" applyNumberFormat="1" applyFont="1" applyFill="1" applyBorder="1" applyAlignment="1" applyProtection="1">
      <alignment horizontal="right" vertical="center" indent="2"/>
      <protection locked="0"/>
    </xf>
    <xf numFmtId="0" fontId="6" fillId="6" borderId="7" xfId="0" applyNumberFormat="1" applyFont="1" applyFill="1" applyBorder="1" applyAlignment="1" applyProtection="1">
      <alignment horizontal="right" vertical="center" indent="2"/>
      <protection locked="0"/>
    </xf>
    <xf numFmtId="0" fontId="6" fillId="6" borderId="9" xfId="0" applyNumberFormat="1" applyFont="1" applyFill="1" applyBorder="1" applyAlignment="1" applyProtection="1">
      <alignment horizontal="right" vertical="center" indent="2"/>
      <protection locked="0"/>
    </xf>
    <xf numFmtId="1" fontId="5" fillId="6" borderId="15" xfId="0" applyNumberFormat="1" applyFont="1" applyFill="1" applyBorder="1" applyAlignment="1" applyProtection="1">
      <alignment horizontal="right" vertical="center" indent="2"/>
      <protection locked="0"/>
    </xf>
    <xf numFmtId="1" fontId="5" fillId="6" borderId="16" xfId="0" applyNumberFormat="1" applyFont="1" applyFill="1" applyBorder="1" applyAlignment="1" applyProtection="1">
      <alignment horizontal="right" vertical="center" indent="2"/>
      <protection locked="0"/>
    </xf>
    <xf numFmtId="1" fontId="7" fillId="2" borderId="6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1" fontId="7" fillId="2" borderId="6" xfId="0" applyNumberFormat="1" applyFont="1" applyFill="1" applyBorder="1" applyAlignment="1">
      <alignment horizontal="center" vertical="center" wrapText="1"/>
    </xf>
    <xf numFmtId="1" fontId="5" fillId="4" borderId="10" xfId="0" applyNumberFormat="1" applyFont="1" applyFill="1" applyBorder="1" applyAlignment="1" applyProtection="1">
      <alignment horizontal="right" vertical="center" indent="2"/>
      <protection locked="0"/>
    </xf>
    <xf numFmtId="1" fontId="5" fillId="4" borderId="15" xfId="0" applyNumberFormat="1" applyFont="1" applyFill="1" applyBorder="1" applyAlignment="1" applyProtection="1">
      <alignment horizontal="right" vertical="center" indent="2"/>
      <protection locked="0"/>
    </xf>
    <xf numFmtId="1" fontId="5" fillId="4" borderId="11" xfId="0" applyNumberFormat="1" applyFont="1" applyFill="1" applyBorder="1" applyAlignment="1" applyProtection="1">
      <alignment horizontal="right" vertical="center" indent="2"/>
      <protection locked="0"/>
    </xf>
    <xf numFmtId="1" fontId="5" fillId="4" borderId="16" xfId="0" applyNumberFormat="1" applyFont="1" applyFill="1" applyBorder="1" applyAlignment="1" applyProtection="1">
      <alignment horizontal="right" vertical="center" indent="2"/>
      <protection locked="0"/>
    </xf>
    <xf numFmtId="1" fontId="5" fillId="5" borderId="10" xfId="0" applyNumberFormat="1" applyFont="1" applyFill="1" applyBorder="1" applyAlignment="1" applyProtection="1">
      <alignment horizontal="right" vertical="center" indent="2"/>
      <protection locked="0"/>
    </xf>
    <xf numFmtId="1" fontId="5" fillId="5" borderId="11" xfId="0" applyNumberFormat="1" applyFont="1" applyFill="1" applyBorder="1" applyAlignment="1" applyProtection="1">
      <alignment horizontal="right" vertical="center" indent="2"/>
      <protection locked="0"/>
    </xf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1"/>
    </xf>
    <xf numFmtId="0" fontId="2" fillId="0" borderId="0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NumberFormat="1" applyFont="1" applyBorder="1" applyAlignment="1">
      <alignment vertical="center"/>
    </xf>
    <xf numFmtId="164" fontId="3" fillId="0" borderId="0" xfId="2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" fontId="3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 wrapText="1"/>
    </xf>
    <xf numFmtId="20" fontId="3" fillId="0" borderId="0" xfId="0" applyNumberFormat="1" applyFont="1" applyBorder="1" applyAlignment="1">
      <alignment vertical="center"/>
    </xf>
    <xf numFmtId="1" fontId="3" fillId="7" borderId="17" xfId="0" applyNumberFormat="1" applyFont="1" applyFill="1" applyBorder="1" applyAlignment="1">
      <alignment horizontal="center" vertical="center"/>
    </xf>
    <xf numFmtId="0" fontId="3" fillId="0" borderId="0" xfId="0" applyFont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3" fillId="0" borderId="18" xfId="0" applyFont="1" applyBorder="1" applyAlignment="1" applyProtection="1">
      <alignment horizontal="center"/>
      <protection locked="0"/>
    </xf>
    <xf numFmtId="1" fontId="3" fillId="0" borderId="18" xfId="0" applyNumberFormat="1" applyFont="1" applyFill="1" applyBorder="1" applyAlignment="1">
      <alignment horizontal="center" vertical="center"/>
    </xf>
    <xf numFmtId="0" fontId="3" fillId="0" borderId="22" xfId="0" applyFont="1" applyBorder="1" applyAlignment="1" applyProtection="1">
      <alignment horizontal="center"/>
      <protection locked="0"/>
    </xf>
    <xf numFmtId="1" fontId="3" fillId="0" borderId="19" xfId="0" applyNumberFormat="1" applyFont="1" applyFill="1" applyBorder="1" applyAlignment="1">
      <alignment horizontal="center" vertical="center"/>
    </xf>
    <xf numFmtId="0" fontId="3" fillId="0" borderId="23" xfId="0" applyFont="1" applyBorder="1" applyAlignment="1" applyProtection="1">
      <alignment horizontal="center"/>
      <protection locked="0"/>
    </xf>
    <xf numFmtId="1" fontId="3" fillId="0" borderId="24" xfId="0" applyNumberFormat="1" applyFont="1" applyFill="1" applyBorder="1" applyAlignment="1">
      <alignment horizontal="center" vertical="center"/>
    </xf>
    <xf numFmtId="1" fontId="3" fillId="7" borderId="25" xfId="0" applyNumberFormat="1" applyFont="1" applyFill="1" applyBorder="1" applyAlignment="1">
      <alignment horizontal="center" vertical="center"/>
    </xf>
    <xf numFmtId="0" fontId="3" fillId="0" borderId="26" xfId="0" applyFont="1" applyBorder="1" applyAlignment="1" applyProtection="1">
      <alignment horizontal="center"/>
      <protection locked="0"/>
    </xf>
    <xf numFmtId="0" fontId="3" fillId="0" borderId="27" xfId="0" applyFont="1" applyBorder="1" applyAlignment="1" applyProtection="1">
      <alignment horizontal="center"/>
      <protection locked="0"/>
    </xf>
    <xf numFmtId="0" fontId="3" fillId="0" borderId="28" xfId="0" applyFont="1" applyBorder="1" applyAlignment="1" applyProtection="1">
      <alignment horizontal="center" vertical="center"/>
      <protection locked="0"/>
    </xf>
    <xf numFmtId="0" fontId="10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1" applyFont="1" applyAlignment="1" applyProtection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Border="1" applyAlignment="1" applyProtection="1">
      <alignment horizontal="center"/>
      <protection locked="0"/>
    </xf>
    <xf numFmtId="0" fontId="28" fillId="0" borderId="0" xfId="1" applyFont="1" applyAlignment="1" applyProtection="1">
      <alignment vertical="center"/>
    </xf>
    <xf numFmtId="20" fontId="3" fillId="0" borderId="30" xfId="0" applyNumberFormat="1" applyFont="1" applyBorder="1" applyAlignment="1">
      <alignment horizontal="center" vertical="center"/>
    </xf>
    <xf numFmtId="20" fontId="3" fillId="0" borderId="31" xfId="0" applyNumberFormat="1" applyFont="1" applyBorder="1" applyAlignment="1">
      <alignment horizontal="center" vertical="center"/>
    </xf>
    <xf numFmtId="20" fontId="3" fillId="0" borderId="32" xfId="0" applyNumberFormat="1" applyFont="1" applyBorder="1" applyAlignment="1">
      <alignment horizontal="center" vertical="center"/>
    </xf>
    <xf numFmtId="0" fontId="3" fillId="0" borderId="19" xfId="0" applyFont="1" applyBorder="1" applyAlignment="1" applyProtection="1">
      <alignment horizontal="center"/>
      <protection locked="0"/>
    </xf>
    <xf numFmtId="1" fontId="3" fillId="7" borderId="33" xfId="0" applyNumberFormat="1" applyFont="1" applyFill="1" applyBorder="1" applyAlignment="1">
      <alignment horizontal="center" vertical="center"/>
    </xf>
    <xf numFmtId="1" fontId="3" fillId="7" borderId="34" xfId="0" applyNumberFormat="1" applyFont="1" applyFill="1" applyBorder="1" applyAlignment="1">
      <alignment horizontal="center" vertical="center"/>
    </xf>
    <xf numFmtId="1" fontId="3" fillId="7" borderId="35" xfId="0" applyNumberFormat="1" applyFont="1" applyFill="1" applyBorder="1" applyAlignment="1">
      <alignment horizontal="center" vertical="center"/>
    </xf>
    <xf numFmtId="1" fontId="3" fillId="7" borderId="36" xfId="0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horizontal="center" vertical="center" wrapText="1"/>
    </xf>
    <xf numFmtId="0" fontId="28" fillId="0" borderId="0" xfId="0" applyFont="1" applyBorder="1" applyAlignment="1" applyProtection="1">
      <alignment horizontal="center"/>
      <protection locked="0"/>
    </xf>
    <xf numFmtId="0" fontId="28" fillId="0" borderId="0" xfId="0" applyFont="1" applyAlignment="1">
      <alignment vertical="center"/>
    </xf>
    <xf numFmtId="0" fontId="2" fillId="0" borderId="0" xfId="0" applyFont="1" applyBorder="1" applyAlignment="1" applyProtection="1">
      <alignment horizontal="center"/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1" fontId="3" fillId="0" borderId="29" xfId="0" applyNumberFormat="1" applyFont="1" applyFill="1" applyBorder="1" applyAlignment="1">
      <alignment horizontal="center" vertical="center"/>
    </xf>
    <xf numFmtId="1" fontId="3" fillId="0" borderId="20" xfId="0" applyNumberFormat="1" applyFont="1" applyFill="1" applyBorder="1" applyAlignment="1">
      <alignment horizontal="center" vertical="center"/>
    </xf>
    <xf numFmtId="0" fontId="3" fillId="0" borderId="20" xfId="0" applyFont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center"/>
      <protection locked="0"/>
    </xf>
    <xf numFmtId="0" fontId="3" fillId="0" borderId="39" xfId="0" applyFont="1" applyBorder="1" applyAlignment="1" applyProtection="1">
      <alignment horizontal="center"/>
      <protection locked="0"/>
    </xf>
    <xf numFmtId="1" fontId="3" fillId="0" borderId="21" xfId="0" applyNumberFormat="1" applyFont="1" applyFill="1" applyBorder="1" applyAlignment="1">
      <alignment horizontal="center" vertical="center"/>
    </xf>
    <xf numFmtId="0" fontId="28" fillId="0" borderId="0" xfId="1" applyFont="1" applyAlignment="1" applyProtection="1"/>
    <xf numFmtId="0" fontId="28" fillId="0" borderId="0" xfId="1" applyFont="1" applyFill="1" applyAlignment="1" applyProtection="1">
      <alignment vertical="center"/>
    </xf>
    <xf numFmtId="20" fontId="0" fillId="0" borderId="0" xfId="0" applyNumberFormat="1" applyAlignment="1">
      <alignment horizontal="center" vertical="center"/>
    </xf>
    <xf numFmtId="0" fontId="11" fillId="0" borderId="40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left" indent="1"/>
    </xf>
    <xf numFmtId="0" fontId="11" fillId="0" borderId="26" xfId="0" applyFont="1" applyBorder="1" applyAlignment="1">
      <alignment horizontal="left" indent="1"/>
    </xf>
    <xf numFmtId="0" fontId="11" fillId="0" borderId="27" xfId="0" applyFont="1" applyBorder="1" applyAlignment="1">
      <alignment horizontal="left" indent="1"/>
    </xf>
    <xf numFmtId="0" fontId="11" fillId="0" borderId="6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0" fontId="3" fillId="0" borderId="28" xfId="0" applyFont="1" applyBorder="1" applyAlignment="1">
      <alignment horizontal="right" indent="2"/>
    </xf>
    <xf numFmtId="0" fontId="3" fillId="0" borderId="26" xfId="0" applyFont="1" applyBorder="1" applyAlignment="1">
      <alignment horizontal="center"/>
    </xf>
    <xf numFmtId="0" fontId="3" fillId="0" borderId="26" xfId="0" applyFont="1" applyBorder="1" applyAlignment="1">
      <alignment horizontal="right" indent="2"/>
    </xf>
    <xf numFmtId="0" fontId="3" fillId="0" borderId="39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7" xfId="0" applyFont="1" applyBorder="1" applyAlignment="1">
      <alignment horizontal="right" indent="2"/>
    </xf>
    <xf numFmtId="2" fontId="3" fillId="0" borderId="0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0" fillId="0" borderId="0" xfId="1" applyFont="1" applyAlignment="1" applyProtection="1">
      <alignment vertical="center"/>
    </xf>
    <xf numFmtId="0" fontId="33" fillId="0" borderId="0" xfId="0" applyFont="1" applyAlignment="1">
      <alignment vertical="center"/>
    </xf>
    <xf numFmtId="0" fontId="28" fillId="0" borderId="0" xfId="0" applyFont="1" applyBorder="1"/>
    <xf numFmtId="0" fontId="27" fillId="0" borderId="0" xfId="0" applyFont="1" applyBorder="1"/>
    <xf numFmtId="0" fontId="3" fillId="0" borderId="31" xfId="0" applyFont="1" applyBorder="1" applyAlignment="1" applyProtection="1">
      <alignment horizontal="center"/>
      <protection locked="0"/>
    </xf>
    <xf numFmtId="0" fontId="3" fillId="0" borderId="32" xfId="0" applyFont="1" applyBorder="1" applyAlignment="1" applyProtection="1">
      <alignment horizontal="center"/>
      <protection locked="0"/>
    </xf>
    <xf numFmtId="0" fontId="3" fillId="0" borderId="38" xfId="0" applyFont="1" applyBorder="1" applyAlignment="1" applyProtection="1">
      <alignment horizontal="center" vertical="center"/>
      <protection locked="0"/>
    </xf>
    <xf numFmtId="0" fontId="37" fillId="0" borderId="0" xfId="0" applyFont="1" applyAlignment="1">
      <alignment vertical="center"/>
    </xf>
    <xf numFmtId="0" fontId="3" fillId="0" borderId="43" xfId="0" applyFont="1" applyBorder="1" applyAlignment="1" applyProtection="1">
      <protection locked="0"/>
    </xf>
    <xf numFmtId="0" fontId="11" fillId="0" borderId="0" xfId="0" applyFont="1" applyBorder="1" applyAlignment="1">
      <alignment horizontal="left" indent="1"/>
    </xf>
    <xf numFmtId="0" fontId="11" fillId="0" borderId="42" xfId="0" applyFont="1" applyBorder="1" applyAlignment="1">
      <alignment horizontal="left" indent="1"/>
    </xf>
    <xf numFmtId="0" fontId="11" fillId="0" borderId="22" xfId="0" applyFont="1" applyBorder="1" applyAlignment="1">
      <alignment horizontal="left" indent="1"/>
    </xf>
    <xf numFmtId="0" fontId="11" fillId="0" borderId="23" xfId="0" applyFont="1" applyBorder="1" applyAlignment="1">
      <alignment horizontal="left" indent="1"/>
    </xf>
    <xf numFmtId="0" fontId="11" fillId="0" borderId="45" xfId="0" applyFont="1" applyBorder="1" applyAlignment="1">
      <alignment horizontal="left" indent="1"/>
    </xf>
    <xf numFmtId="0" fontId="3" fillId="0" borderId="46" xfId="0" applyFont="1" applyBorder="1" applyAlignment="1" applyProtection="1">
      <alignment horizontal="center"/>
      <protection locked="0"/>
    </xf>
    <xf numFmtId="0" fontId="3" fillId="0" borderId="28" xfId="0" applyFont="1" applyBorder="1" applyAlignment="1" applyProtection="1">
      <alignment horizontal="center"/>
      <protection locked="0"/>
    </xf>
    <xf numFmtId="0" fontId="3" fillId="0" borderId="44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28" fillId="0" borderId="0" xfId="1" applyFont="1" applyAlignment="1" applyProtection="1">
      <alignment vertical="center"/>
      <protection locked="0"/>
    </xf>
    <xf numFmtId="0" fontId="28" fillId="0" borderId="0" xfId="1" applyFont="1" applyAlignment="1" applyProtection="1">
      <protection locked="0"/>
    </xf>
    <xf numFmtId="0" fontId="28" fillId="0" borderId="0" xfId="1" applyFont="1" applyFill="1" applyAlignment="1" applyProtection="1">
      <alignment vertical="center"/>
      <protection locked="0"/>
    </xf>
    <xf numFmtId="0" fontId="12" fillId="0" borderId="0" xfId="0" applyFont="1" applyFill="1" applyAlignment="1" applyProtection="1">
      <alignment vertical="center"/>
    </xf>
    <xf numFmtId="0" fontId="0" fillId="0" borderId="0" xfId="0" applyFill="1" applyProtection="1"/>
    <xf numFmtId="0" fontId="7" fillId="0" borderId="0" xfId="0" applyFont="1" applyFill="1" applyBorder="1" applyAlignment="1" applyProtection="1">
      <alignment horizontal="center" vertical="center" wrapText="1"/>
    </xf>
    <xf numFmtId="1" fontId="5" fillId="0" borderId="0" xfId="0" applyNumberFormat="1" applyFont="1" applyFill="1" applyBorder="1" applyAlignment="1" applyProtection="1">
      <alignment horizontal="right" vertical="center" indent="2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38" fillId="0" borderId="0" xfId="1" applyFont="1" applyAlignment="1" applyProtection="1">
      <alignment vertical="center"/>
      <protection locked="0"/>
    </xf>
    <xf numFmtId="1" fontId="39" fillId="3" borderId="11" xfId="0" applyNumberFormat="1" applyFont="1" applyFill="1" applyBorder="1" applyAlignment="1" applyProtection="1">
      <alignment horizontal="right" vertical="center"/>
      <protection locked="0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0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41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36" fillId="0" borderId="0" xfId="0" applyFont="1" applyBorder="1" applyAlignment="1" applyProtection="1">
      <alignment horizontal="center"/>
      <protection locked="0"/>
    </xf>
    <xf numFmtId="0" fontId="11" fillId="0" borderId="37" xfId="0" applyNumberFormat="1" applyFont="1" applyBorder="1" applyAlignment="1">
      <alignment horizontal="center" vertical="center" wrapText="1"/>
    </xf>
    <xf numFmtId="0" fontId="11" fillId="0" borderId="38" xfId="0" applyNumberFormat="1" applyFont="1" applyBorder="1" applyAlignment="1">
      <alignment horizontal="center" vertical="center" wrapText="1"/>
    </xf>
    <xf numFmtId="0" fontId="11" fillId="0" borderId="13" xfId="0" applyNumberFormat="1" applyFont="1" applyBorder="1" applyAlignment="1">
      <alignment horizontal="center" vertical="center" wrapText="1"/>
    </xf>
    <xf numFmtId="0" fontId="11" fillId="0" borderId="4" xfId="0" applyNumberFormat="1" applyFont="1" applyBorder="1" applyAlignment="1">
      <alignment horizontal="center" vertical="center" wrapText="1"/>
    </xf>
    <xf numFmtId="0" fontId="11" fillId="0" borderId="14" xfId="0" applyNumberFormat="1" applyFont="1" applyBorder="1" applyAlignment="1">
      <alignment horizontal="center" vertical="center" wrapText="1"/>
    </xf>
    <xf numFmtId="0" fontId="11" fillId="0" borderId="5" xfId="0" applyNumberFormat="1" applyFont="1" applyBorder="1" applyAlignment="1">
      <alignment horizontal="center" vertical="center" wrapText="1"/>
    </xf>
    <xf numFmtId="0" fontId="11" fillId="0" borderId="12" xfId="0" applyNumberFormat="1" applyFont="1" applyBorder="1" applyAlignment="1">
      <alignment horizontal="center" vertical="center" wrapText="1"/>
    </xf>
    <xf numFmtId="0" fontId="11" fillId="0" borderId="3" xfId="0" applyNumberFormat="1" applyFont="1" applyBorder="1" applyAlignment="1">
      <alignment horizontal="center" vertical="center" wrapText="1"/>
    </xf>
  </cellXfs>
  <cellStyles count="3">
    <cellStyle name="Hipervínculo" xfId="1" builtinId="8"/>
    <cellStyle name="Normal" xfId="0" builtinId="0"/>
    <cellStyle name="Porcentual" xfId="2" builtinId="5"/>
  </cellStyles>
  <dxfs count="24"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51"/>
        </c:manualLayout>
      </c:layout>
      <c:lineChart>
        <c:grouping val="standard"/>
        <c:ser>
          <c:idx val="0"/>
          <c:order val="0"/>
          <c:tx>
            <c:strRef>
              <c:f>Apure!$E$8</c:f>
              <c:strCache>
                <c:ptCount val="1"/>
                <c:pt idx="0">
                  <c:v>Jesus Aguilarte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Bolivar!$N$10:$N$29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Apure!$R$10:$R$29</c:f>
              <c:numCache>
                <c:formatCode>0.00</c:formatCode>
                <c:ptCount val="20"/>
                <c:pt idx="0">
                  <c:v>0.41807909604519772</c:v>
                </c:pt>
                <c:pt idx="1">
                  <c:v>0.43525179856115109</c:v>
                </c:pt>
                <c:pt idx="2">
                  <c:v>0.46039603960396042</c:v>
                </c:pt>
                <c:pt idx="3">
                  <c:v>0.47222222222222221</c:v>
                </c:pt>
                <c:pt idx="4">
                  <c:v>0.50170068027210879</c:v>
                </c:pt>
                <c:pt idx="5">
                  <c:v>0.52653631284916202</c:v>
                </c:pt>
                <c:pt idx="6">
                  <c:v>0.53212121212121211</c:v>
                </c:pt>
                <c:pt idx="7">
                  <c:v>0.53567839195979905</c:v>
                </c:pt>
                <c:pt idx="8">
                  <c:v>0.54070265638389037</c:v>
                </c:pt>
                <c:pt idx="9">
                  <c:v>0.54399387911247132</c:v>
                </c:pt>
                <c:pt idx="10">
                  <c:v>0.54291553133514991</c:v>
                </c:pt>
                <c:pt idx="11">
                  <c:v>0.53725961538461542</c:v>
                </c:pt>
                <c:pt idx="12">
                  <c:v>0.53837597330367071</c:v>
                </c:pt>
                <c:pt idx="13">
                  <c:v>0.53426791277258567</c:v>
                </c:pt>
                <c:pt idx="14">
                  <c:v>0.52909000497265046</c:v>
                </c:pt>
                <c:pt idx="15">
                  <c:v>0.53042198233562321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Apure!$F$8</c:f>
              <c:strCache>
                <c:ptCount val="1"/>
                <c:pt idx="0">
                  <c:v>Mirian de Montilla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Bolivar!$N$10:$N$29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Apure!$U$10:$U$29</c:f>
              <c:numCache>
                <c:formatCode>0.00</c:formatCode>
                <c:ptCount val="20"/>
                <c:pt idx="0">
                  <c:v>0.39548022598870058</c:v>
                </c:pt>
                <c:pt idx="1">
                  <c:v>0.41366906474820142</c:v>
                </c:pt>
                <c:pt idx="2">
                  <c:v>0.39603960396039606</c:v>
                </c:pt>
                <c:pt idx="3">
                  <c:v>0.39102564102564102</c:v>
                </c:pt>
                <c:pt idx="4">
                  <c:v>0.36564625850340138</c:v>
                </c:pt>
                <c:pt idx="5">
                  <c:v>0.34078212290502791</c:v>
                </c:pt>
                <c:pt idx="6">
                  <c:v>0.34424242424242424</c:v>
                </c:pt>
                <c:pt idx="7">
                  <c:v>0.34271356783919599</c:v>
                </c:pt>
                <c:pt idx="8">
                  <c:v>0.34018851756640961</c:v>
                </c:pt>
                <c:pt idx="9">
                  <c:v>0.34123947972456004</c:v>
                </c:pt>
                <c:pt idx="10">
                  <c:v>0.3474114441416894</c:v>
                </c:pt>
                <c:pt idx="11">
                  <c:v>0.34915865384615385</c:v>
                </c:pt>
                <c:pt idx="12">
                  <c:v>0.34927697441601779</c:v>
                </c:pt>
                <c:pt idx="13">
                  <c:v>0.34683281412253375</c:v>
                </c:pt>
                <c:pt idx="14">
                  <c:v>0.34808552958727002</c:v>
                </c:pt>
                <c:pt idx="15">
                  <c:v>0.34789008832188423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Apure!$G$8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7030A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c:spPr>
          </c:marker>
          <c:cat>
            <c:numRef>
              <c:f>Bolivar!$N$10:$N$29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Apure!$X$10:$X$29</c:f>
              <c:numCache>
                <c:formatCode>0.00</c:formatCode>
                <c:ptCount val="20"/>
                <c:pt idx="0">
                  <c:v>0.1864406779661017</c:v>
                </c:pt>
                <c:pt idx="1">
                  <c:v>0.15107913669064749</c:v>
                </c:pt>
                <c:pt idx="2">
                  <c:v>0.14356435643564355</c:v>
                </c:pt>
                <c:pt idx="3">
                  <c:v>0.13675213675213677</c:v>
                </c:pt>
                <c:pt idx="4">
                  <c:v>0.1326530612244898</c:v>
                </c:pt>
                <c:pt idx="5">
                  <c:v>0.13268156424581007</c:v>
                </c:pt>
                <c:pt idx="6">
                  <c:v>0.12363636363636364</c:v>
                </c:pt>
                <c:pt idx="7">
                  <c:v>0.12160804020100502</c:v>
                </c:pt>
                <c:pt idx="8">
                  <c:v>0.11910882604970009</c:v>
                </c:pt>
                <c:pt idx="9">
                  <c:v>0.11476664116296863</c:v>
                </c:pt>
                <c:pt idx="10">
                  <c:v>0.10967302452316076</c:v>
                </c:pt>
                <c:pt idx="11">
                  <c:v>0.11358173076923077</c:v>
                </c:pt>
                <c:pt idx="12">
                  <c:v>0.11234705228031146</c:v>
                </c:pt>
                <c:pt idx="13">
                  <c:v>0.11889927310488058</c:v>
                </c:pt>
                <c:pt idx="14">
                  <c:v>0.12282446544007956</c:v>
                </c:pt>
                <c:pt idx="15">
                  <c:v>0.12168792934249265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marker val="1"/>
        <c:axId val="108079744"/>
        <c:axId val="125883520"/>
      </c:lineChart>
      <c:catAx>
        <c:axId val="108079744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VE"/>
          </a:p>
        </c:txPr>
        <c:crossAx val="125883520"/>
        <c:crosses val="autoZero"/>
        <c:auto val="1"/>
        <c:lblAlgn val="ctr"/>
        <c:lblOffset val="100"/>
      </c:catAx>
      <c:valAx>
        <c:axId val="125883520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VE"/>
          </a:p>
        </c:txPr>
        <c:crossAx val="108079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VE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VE"/>
    </a:p>
  </c:txPr>
  <c:printSettings>
    <c:headerFooter alignWithMargins="0"/>
    <c:pageMargins b="1" l="0.75000000000000244" r="0.75000000000000244" t="1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view3D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0000FF"/>
              </a:solidFill>
            </c:spPr>
          </c:dPt>
          <c:dPt>
            <c:idx val="2"/>
            <c:spPr>
              <a:solidFill>
                <a:srgbClr val="7030A0"/>
              </a:solidFill>
            </c:spPr>
          </c:dPt>
          <c:dLbls>
            <c:dLbl>
              <c:idx val="0"/>
              <c:layout>
                <c:manualLayout>
                  <c:x val="3.333333333333334E-2"/>
                  <c:y val="-0.19450321441920709"/>
                </c:manualLayout>
              </c:layout>
              <c:showVal val="1"/>
            </c:dLbl>
            <c:dLbl>
              <c:idx val="1"/>
              <c:layout>
                <c:manualLayout>
                  <c:x val="2.9629629629629679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53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09"/>
                </c:manualLayout>
              </c:layout>
              <c:showVal val="1"/>
            </c:dLbl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VE"/>
              </a:p>
            </c:txPr>
            <c:showVal val="1"/>
          </c:dLbls>
          <c:cat>
            <c:strRef>
              <c:f>Apure!$P$3:$P$5</c:f>
              <c:strCache>
                <c:ptCount val="3"/>
                <c:pt idx="0">
                  <c:v>Jesus Aguilarte</c:v>
                </c:pt>
                <c:pt idx="1">
                  <c:v>Mirian de Montilla</c:v>
                </c:pt>
                <c:pt idx="2">
                  <c:v>Otro</c:v>
                </c:pt>
              </c:strCache>
            </c:strRef>
          </c:cat>
          <c:val>
            <c:numRef>
              <c:f>Apure!$Q$3:$Q$5</c:f>
              <c:numCache>
                <c:formatCode>0.0%</c:formatCode>
                <c:ptCount val="3"/>
                <c:pt idx="0">
                  <c:v>0.53042198233562321</c:v>
                </c:pt>
                <c:pt idx="1">
                  <c:v>0.34789008832188423</c:v>
                </c:pt>
                <c:pt idx="2">
                  <c:v>0.12168792934249265</c:v>
                </c:pt>
              </c:numCache>
            </c:numRef>
          </c:val>
        </c:ser>
        <c:dLbls>
          <c:showVal val="1"/>
        </c:dLbls>
        <c:gapWidth val="75"/>
        <c:shape val="box"/>
        <c:axId val="126171776"/>
        <c:axId val="138883456"/>
        <c:axId val="0"/>
      </c:bar3DChart>
      <c:catAx>
        <c:axId val="1261717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VE"/>
          </a:p>
        </c:txPr>
        <c:crossAx val="138883456"/>
        <c:crosses val="autoZero"/>
        <c:auto val="1"/>
        <c:lblAlgn val="ctr"/>
        <c:lblOffset val="100"/>
      </c:catAx>
      <c:valAx>
        <c:axId val="138883456"/>
        <c:scaling>
          <c:orientation val="minMax"/>
          <c:max val="1"/>
          <c:min val="0"/>
        </c:scaling>
        <c:axPos val="l"/>
        <c:numFmt formatCode="0.0%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VE"/>
          </a:p>
        </c:txPr>
        <c:crossAx val="1261717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4"/>
        </c:manualLayout>
      </c:layout>
      <c:lineChart>
        <c:grouping val="standard"/>
        <c:ser>
          <c:idx val="0"/>
          <c:order val="0"/>
          <c:tx>
            <c:strRef>
              <c:f>Bolivar!$E$8</c:f>
              <c:strCache>
                <c:ptCount val="1"/>
                <c:pt idx="0">
                  <c:v>Francisco Rangel Gomez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Bolivar!$N$10:$N$29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Bolivar!$R$10:$R$29</c:f>
              <c:numCache>
                <c:formatCode>0.00</c:formatCode>
                <c:ptCount val="20"/>
                <c:pt idx="0">
                  <c:v>0.41</c:v>
                </c:pt>
                <c:pt idx="1">
                  <c:v>0.42675159235668791</c:v>
                </c:pt>
                <c:pt idx="2">
                  <c:v>0.44864864864864867</c:v>
                </c:pt>
                <c:pt idx="3">
                  <c:v>0.472596585804133</c:v>
                </c:pt>
                <c:pt idx="4">
                  <c:v>0.47664184157075151</c:v>
                </c:pt>
                <c:pt idx="5">
                  <c:v>0.48690835850956699</c:v>
                </c:pt>
                <c:pt idx="6">
                  <c:v>0.48191268191268194</c:v>
                </c:pt>
                <c:pt idx="7">
                  <c:v>0.48544346648612052</c:v>
                </c:pt>
                <c:pt idx="8">
                  <c:v>0.48786828422876949</c:v>
                </c:pt>
                <c:pt idx="9">
                  <c:v>0.48620170597089812</c:v>
                </c:pt>
                <c:pt idx="10">
                  <c:v>0.47918058338900021</c:v>
                </c:pt>
                <c:pt idx="11">
                  <c:v>0.48137079099422198</c:v>
                </c:pt>
                <c:pt idx="12">
                  <c:v>0.47822141560798548</c:v>
                </c:pt>
                <c:pt idx="13">
                  <c:v>0.47652027027027027</c:v>
                </c:pt>
                <c:pt idx="14">
                  <c:v>0.47477982385908729</c:v>
                </c:pt>
                <c:pt idx="15">
                  <c:v>0.47187354718735469</c:v>
                </c:pt>
                <c:pt idx="16">
                  <c:v>0.46862625647273837</c:v>
                </c:pt>
                <c:pt idx="17">
                  <c:v>0.46817217338587452</c:v>
                </c:pt>
                <c:pt idx="18">
                  <c:v>0.46778584392014522</c:v>
                </c:pt>
                <c:pt idx="19">
                  <c:v>0.4679245283018868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Bolivar!$F$8</c:f>
              <c:strCache>
                <c:ptCount val="1"/>
                <c:pt idx="0">
                  <c:v>Andres Velasquez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Bolivar!$N$10:$N$29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Bolivar!$U$10:$U$29</c:f>
              <c:numCache>
                <c:formatCode>0.00</c:formatCode>
                <c:ptCount val="20"/>
                <c:pt idx="0">
                  <c:v>0.35499999999999998</c:v>
                </c:pt>
                <c:pt idx="1">
                  <c:v>0.34819532908704881</c:v>
                </c:pt>
                <c:pt idx="2">
                  <c:v>0.31621621621621621</c:v>
                </c:pt>
                <c:pt idx="3">
                  <c:v>0.28301886792452829</c:v>
                </c:pt>
                <c:pt idx="4">
                  <c:v>0.28029790115098174</c:v>
                </c:pt>
                <c:pt idx="5">
                  <c:v>0.26888217522658608</c:v>
                </c:pt>
                <c:pt idx="6">
                  <c:v>0.26735966735966737</c:v>
                </c:pt>
                <c:pt idx="7">
                  <c:v>0.25558564658090727</c:v>
                </c:pt>
                <c:pt idx="8">
                  <c:v>0.25794338532640093</c:v>
                </c:pt>
                <c:pt idx="9">
                  <c:v>0.26241846462619167</c:v>
                </c:pt>
                <c:pt idx="10">
                  <c:v>0.26965041193498107</c:v>
                </c:pt>
                <c:pt idx="11">
                  <c:v>0.27136879856545126</c:v>
                </c:pt>
                <c:pt idx="12">
                  <c:v>0.27640653357531758</c:v>
                </c:pt>
                <c:pt idx="13">
                  <c:v>0.27888513513513513</c:v>
                </c:pt>
                <c:pt idx="14">
                  <c:v>0.28070456365092072</c:v>
                </c:pt>
                <c:pt idx="15">
                  <c:v>0.28265922826592282</c:v>
                </c:pt>
                <c:pt idx="16">
                  <c:v>0.28647578434358817</c:v>
                </c:pt>
                <c:pt idx="17">
                  <c:v>0.28796605031827827</c:v>
                </c:pt>
                <c:pt idx="18">
                  <c:v>0.28826376285541438</c:v>
                </c:pt>
                <c:pt idx="19">
                  <c:v>0.28815094339622643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Bolivar!$G$8</c:f>
              <c:strCache>
                <c:ptCount val="1"/>
                <c:pt idx="0">
                  <c:v>Antonio Rojas Suarez</c:v>
                </c:pt>
              </c:strCache>
            </c:strRef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numRef>
              <c:f>Bolivar!$N$10:$N$29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Bolivar!$X$10:$X$29</c:f>
              <c:numCache>
                <c:formatCode>0.00</c:formatCode>
                <c:ptCount val="20"/>
                <c:pt idx="0">
                  <c:v>0.17499999999999999</c:v>
                </c:pt>
                <c:pt idx="1">
                  <c:v>0.15498938428874734</c:v>
                </c:pt>
                <c:pt idx="2">
                  <c:v>0.16216216216216217</c:v>
                </c:pt>
                <c:pt idx="3">
                  <c:v>0.16801437556154536</c:v>
                </c:pt>
                <c:pt idx="4">
                  <c:v>0.15842924847664183</c:v>
                </c:pt>
                <c:pt idx="5">
                  <c:v>0.15407854984894259</c:v>
                </c:pt>
                <c:pt idx="6">
                  <c:v>0.15717255717255718</c:v>
                </c:pt>
                <c:pt idx="7">
                  <c:v>0.15707515233581584</c:v>
                </c:pt>
                <c:pt idx="8">
                  <c:v>0.15309069901790873</c:v>
                </c:pt>
                <c:pt idx="9">
                  <c:v>0.15002508780732565</c:v>
                </c:pt>
                <c:pt idx="10">
                  <c:v>0.15252727677577377</c:v>
                </c:pt>
                <c:pt idx="11">
                  <c:v>0.15002988643156007</c:v>
                </c:pt>
                <c:pt idx="12">
                  <c:v>0.14954627949183302</c:v>
                </c:pt>
                <c:pt idx="13">
                  <c:v>0.15135135135135136</c:v>
                </c:pt>
                <c:pt idx="14">
                  <c:v>0.15164131305044035</c:v>
                </c:pt>
                <c:pt idx="15">
                  <c:v>0.15248721524872152</c:v>
                </c:pt>
                <c:pt idx="16">
                  <c:v>0.15229972586049345</c:v>
                </c:pt>
                <c:pt idx="17">
                  <c:v>0.15171264019399819</c:v>
                </c:pt>
                <c:pt idx="18">
                  <c:v>0.15199637023593465</c:v>
                </c:pt>
                <c:pt idx="19">
                  <c:v>0.1518490566037736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Bolivar!$H$8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7030A0"/>
              </a:solidFill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val>
            <c:numRef>
              <c:f>Bolivar!$AA$10:$AA$29</c:f>
              <c:numCache>
                <c:formatCode>0.00</c:formatCode>
                <c:ptCount val="20"/>
                <c:pt idx="0">
                  <c:v>0.06</c:v>
                </c:pt>
                <c:pt idx="1">
                  <c:v>7.0063694267515922E-2</c:v>
                </c:pt>
                <c:pt idx="2">
                  <c:v>7.2972972972972977E-2</c:v>
                </c:pt>
                <c:pt idx="3">
                  <c:v>7.637017070979335E-2</c:v>
                </c:pt>
                <c:pt idx="4">
                  <c:v>8.4631008801624913E-2</c:v>
                </c:pt>
                <c:pt idx="5">
                  <c:v>9.0130916414904325E-2</c:v>
                </c:pt>
                <c:pt idx="6">
                  <c:v>9.355509355509356E-2</c:v>
                </c:pt>
                <c:pt idx="7">
                  <c:v>0.1018957345971564</c:v>
                </c:pt>
                <c:pt idx="8">
                  <c:v>0.10109763142692085</c:v>
                </c:pt>
                <c:pt idx="9">
                  <c:v>0.10135474159558455</c:v>
                </c:pt>
                <c:pt idx="10">
                  <c:v>9.8641727900244933E-2</c:v>
                </c:pt>
                <c:pt idx="11">
                  <c:v>9.7230524008766681E-2</c:v>
                </c:pt>
                <c:pt idx="12">
                  <c:v>9.582577132486389E-2</c:v>
                </c:pt>
                <c:pt idx="13">
                  <c:v>9.3243243243243248E-2</c:v>
                </c:pt>
                <c:pt idx="14">
                  <c:v>9.2874299439551639E-2</c:v>
                </c:pt>
                <c:pt idx="15">
                  <c:v>9.2980009298000932E-2</c:v>
                </c:pt>
                <c:pt idx="16">
                  <c:v>9.2598233323180013E-2</c:v>
                </c:pt>
                <c:pt idx="17">
                  <c:v>#N/A</c:v>
                </c:pt>
                <c:pt idx="18">
                  <c:v>#N/A</c:v>
                </c:pt>
                <c:pt idx="19">
                  <c:v>9.2075471698113212E-2</c:v>
                </c:pt>
              </c:numCache>
            </c:numRef>
          </c:val>
          <c:smooth val="1"/>
        </c:ser>
        <c:marker val="1"/>
        <c:axId val="139490432"/>
        <c:axId val="139492352"/>
      </c:lineChart>
      <c:catAx>
        <c:axId val="139490432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VE"/>
          </a:p>
        </c:txPr>
        <c:crossAx val="139492352"/>
        <c:crosses val="autoZero"/>
        <c:auto val="1"/>
        <c:lblAlgn val="ctr"/>
        <c:lblOffset val="100"/>
      </c:catAx>
      <c:valAx>
        <c:axId val="139492352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VE"/>
          </a:p>
        </c:txPr>
        <c:crossAx val="1394904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VE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VE"/>
    </a:p>
  </c:txPr>
  <c:printSettings>
    <c:headerFooter alignWithMargins="0"/>
    <c:pageMargins b="1" l="0.75000000000000222" r="0.75000000000000222" t="1" header="0" footer="0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32"/>
          <c:y val="3.1007751937984489E-2"/>
          <c:w val="0.78564876317834575"/>
          <c:h val="0.83650924184159869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Pt>
            <c:idx val="3"/>
            <c:spPr>
              <a:solidFill>
                <a:srgbClr val="7030A0"/>
              </a:solidFill>
            </c:spPr>
          </c:dPt>
          <c:dLbls>
            <c:dLbl>
              <c:idx val="0"/>
              <c:layout>
                <c:manualLayout>
                  <c:x val="3.333333333333334E-2"/>
                  <c:y val="-0.19450321441920709"/>
                </c:manualLayout>
              </c:layout>
              <c:showVal val="1"/>
            </c:dLbl>
            <c:dLbl>
              <c:idx val="1"/>
              <c:layout>
                <c:manualLayout>
                  <c:x val="2.9629629629629672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64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11"/>
                </c:manualLayout>
              </c:layout>
              <c:showVal val="1"/>
            </c:dLbl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VE"/>
              </a:p>
            </c:txPr>
            <c:showVal val="1"/>
          </c:dLbls>
          <c:cat>
            <c:strRef>
              <c:f>Bolivar!$P$2:$P$5</c:f>
              <c:strCache>
                <c:ptCount val="4"/>
                <c:pt idx="0">
                  <c:v>Francisco Rangel Gomez</c:v>
                </c:pt>
                <c:pt idx="1">
                  <c:v>Andres Velasquez</c:v>
                </c:pt>
                <c:pt idx="2">
                  <c:v>Antonio Rojas Suarez</c:v>
                </c:pt>
                <c:pt idx="3">
                  <c:v>Otro</c:v>
                </c:pt>
              </c:strCache>
            </c:strRef>
          </c:cat>
          <c:val>
            <c:numRef>
              <c:f>Bolivar!$Q$2:$Q$5</c:f>
              <c:numCache>
                <c:formatCode>0.0%</c:formatCode>
                <c:ptCount val="4"/>
                <c:pt idx="0">
                  <c:v>0.4679245283018868</c:v>
                </c:pt>
                <c:pt idx="1">
                  <c:v>0.28815094339622643</c:v>
                </c:pt>
                <c:pt idx="2">
                  <c:v>0.1518490566037736</c:v>
                </c:pt>
                <c:pt idx="3">
                  <c:v>9.2075471698113212E-2</c:v>
                </c:pt>
              </c:numCache>
            </c:numRef>
          </c:val>
        </c:ser>
        <c:dLbls>
          <c:showVal val="1"/>
        </c:dLbls>
        <c:gapWidth val="75"/>
        <c:shape val="box"/>
        <c:axId val="139572352"/>
        <c:axId val="139573888"/>
        <c:axId val="0"/>
      </c:bar3DChart>
      <c:catAx>
        <c:axId val="1395723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VE"/>
          </a:p>
        </c:txPr>
        <c:crossAx val="139573888"/>
        <c:crosses val="autoZero"/>
        <c:auto val="1"/>
        <c:lblAlgn val="ctr"/>
        <c:lblOffset val="100"/>
      </c:catAx>
      <c:valAx>
        <c:axId val="139573888"/>
        <c:scaling>
          <c:orientation val="minMax"/>
          <c:max val="1"/>
          <c:min val="0"/>
        </c:scaling>
        <c:axPos val="l"/>
        <c:numFmt formatCode="0.0%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VE"/>
          </a:p>
        </c:txPr>
        <c:crossAx val="1395723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51"/>
        </c:manualLayout>
      </c:layout>
      <c:lineChart>
        <c:grouping val="standard"/>
        <c:ser>
          <c:idx val="0"/>
          <c:order val="0"/>
          <c:tx>
            <c:strRef>
              <c:f>'Delta Amacuro'!$E$8</c:f>
              <c:strCache>
                <c:ptCount val="1"/>
                <c:pt idx="0">
                  <c:v>Lizeta Hernandez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'Delta Amacuro'!$N$10:$N$29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'Delta Amacuro'!$R$10:$R$29</c:f>
              <c:numCache>
                <c:formatCode>0.00</c:formatCode>
                <c:ptCount val="20"/>
                <c:pt idx="0">
                  <c:v>0.47368421052631576</c:v>
                </c:pt>
                <c:pt idx="1">
                  <c:v>0.54545454545454541</c:v>
                </c:pt>
                <c:pt idx="2">
                  <c:v>0.5955056179775281</c:v>
                </c:pt>
                <c:pt idx="3">
                  <c:v>0.6</c:v>
                </c:pt>
                <c:pt idx="4">
                  <c:v>0.62598425196850394</c:v>
                </c:pt>
                <c:pt idx="5">
                  <c:v>0.64144736842105265</c:v>
                </c:pt>
                <c:pt idx="6">
                  <c:v>0.65417867435158505</c:v>
                </c:pt>
                <c:pt idx="7">
                  <c:v>0.65914786967418548</c:v>
                </c:pt>
                <c:pt idx="8">
                  <c:v>0.66315789473684206</c:v>
                </c:pt>
                <c:pt idx="9">
                  <c:v>0.66846846846846841</c:v>
                </c:pt>
                <c:pt idx="10">
                  <c:v>0.67192429022082023</c:v>
                </c:pt>
                <c:pt idx="11">
                  <c:v>0.672752808988764</c:v>
                </c:pt>
                <c:pt idx="12">
                  <c:v>0.67924528301886788</c:v>
                </c:pt>
                <c:pt idx="13">
                  <c:v>0.67775229357798161</c:v>
                </c:pt>
                <c:pt idx="14">
                  <c:v>0.67952840300107176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'Delta Amacuro'!$F$8</c:f>
              <c:strCache>
                <c:ptCount val="1"/>
                <c:pt idx="0">
                  <c:v>Victor Cedeño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'Delta Amacuro'!$N$10:$N$29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'Delta Amacuro'!$U$10:$U$29</c:f>
              <c:numCache>
                <c:formatCode>0.00</c:formatCode>
                <c:ptCount val="20"/>
                <c:pt idx="0">
                  <c:v>0.31578947368421051</c:v>
                </c:pt>
                <c:pt idx="1">
                  <c:v>0.29545454545454547</c:v>
                </c:pt>
                <c:pt idx="2">
                  <c:v>0.3146067415730337</c:v>
                </c:pt>
                <c:pt idx="3">
                  <c:v>0.34838709677419355</c:v>
                </c:pt>
                <c:pt idx="4">
                  <c:v>0.33858267716535434</c:v>
                </c:pt>
                <c:pt idx="5">
                  <c:v>0.31907894736842107</c:v>
                </c:pt>
                <c:pt idx="6">
                  <c:v>0.30547550432276654</c:v>
                </c:pt>
                <c:pt idx="7">
                  <c:v>0.2957393483709273</c:v>
                </c:pt>
                <c:pt idx="8">
                  <c:v>0.29263157894736841</c:v>
                </c:pt>
                <c:pt idx="9">
                  <c:v>0.2864864864864865</c:v>
                </c:pt>
                <c:pt idx="10">
                  <c:v>0.28548895899053628</c:v>
                </c:pt>
                <c:pt idx="11">
                  <c:v>0.2808988764044944</c:v>
                </c:pt>
                <c:pt idx="12">
                  <c:v>0.27547169811320754</c:v>
                </c:pt>
                <c:pt idx="13">
                  <c:v>0.27522935779816515</c:v>
                </c:pt>
                <c:pt idx="14">
                  <c:v>0.27224008574490888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'Delta Amacuro'!$G$8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numRef>
              <c:f>'Delta Amacuro'!$N$10:$N$29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'Delta Amacuro'!$X$10:$X$29</c:f>
              <c:numCache>
                <c:formatCode>0.00</c:formatCode>
                <c:ptCount val="20"/>
                <c:pt idx="0">
                  <c:v>0.21052631578947367</c:v>
                </c:pt>
                <c:pt idx="1">
                  <c:v>0.15909090909090909</c:v>
                </c:pt>
                <c:pt idx="2">
                  <c:v>8.98876404494382E-2</c:v>
                </c:pt>
                <c:pt idx="3">
                  <c:v>#N/A</c:v>
                </c:pt>
                <c:pt idx="4">
                  <c:v>3.5433070866141732E-2</c:v>
                </c:pt>
                <c:pt idx="5">
                  <c:v>3.9473684210526314E-2</c:v>
                </c:pt>
                <c:pt idx="6">
                  <c:v>4.0345821325648415E-2</c:v>
                </c:pt>
                <c:pt idx="7">
                  <c:v>4.5112781954887216E-2</c:v>
                </c:pt>
                <c:pt idx="8">
                  <c:v>4.4210526315789471E-2</c:v>
                </c:pt>
                <c:pt idx="9">
                  <c:v>4.5045045045045043E-2</c:v>
                </c:pt>
                <c:pt idx="10">
                  <c:v>4.2586750788643532E-2</c:v>
                </c:pt>
                <c:pt idx="11">
                  <c:v>4.6348314606741575E-2</c:v>
                </c:pt>
                <c:pt idx="12">
                  <c:v>4.5283018867924525E-2</c:v>
                </c:pt>
                <c:pt idx="13">
                  <c:v>4.7018348623853214E-2</c:v>
                </c:pt>
                <c:pt idx="14">
                  <c:v>4.8231511254019289E-2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marker val="1"/>
        <c:axId val="52134656"/>
        <c:axId val="52136576"/>
      </c:lineChart>
      <c:catAx>
        <c:axId val="52134656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VE"/>
          </a:p>
        </c:txPr>
        <c:crossAx val="52136576"/>
        <c:crosses val="autoZero"/>
        <c:auto val="1"/>
        <c:lblAlgn val="ctr"/>
        <c:lblOffset val="100"/>
      </c:catAx>
      <c:valAx>
        <c:axId val="52136576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VE"/>
          </a:p>
        </c:txPr>
        <c:crossAx val="521346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VE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VE"/>
    </a:p>
  </c:txPr>
  <c:printSettings>
    <c:headerFooter alignWithMargins="0"/>
    <c:pageMargins b="1" l="0.75000000000000244" r="0.75000000000000244" t="1" header="0" footer="0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43"/>
          <c:y val="3.1007751937984489E-2"/>
          <c:w val="0.78564876317834575"/>
          <c:h val="0.83650924184159869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Lbls>
            <c:dLbl>
              <c:idx val="0"/>
              <c:layout>
                <c:manualLayout>
                  <c:x val="1.8435754189944135E-2"/>
                  <c:y val="-0.22833003168472871"/>
                </c:manualLayout>
              </c:layout>
              <c:showVal val="1"/>
            </c:dLbl>
            <c:dLbl>
              <c:idx val="1"/>
              <c:layout>
                <c:manualLayout>
                  <c:x val="2.9629629629629679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53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09"/>
                </c:manualLayout>
              </c:layout>
              <c:showVal val="1"/>
            </c:dLbl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VE"/>
              </a:p>
            </c:txPr>
            <c:showVal val="1"/>
          </c:dLbls>
          <c:cat>
            <c:strRef>
              <c:f>'Delta Amacuro'!$P$2:$P$4</c:f>
              <c:strCache>
                <c:ptCount val="3"/>
                <c:pt idx="0">
                  <c:v>Lizeta Hernandez</c:v>
                </c:pt>
                <c:pt idx="1">
                  <c:v>Victor Cedeño</c:v>
                </c:pt>
                <c:pt idx="2">
                  <c:v>Otro</c:v>
                </c:pt>
              </c:strCache>
            </c:strRef>
          </c:cat>
          <c:val>
            <c:numRef>
              <c:f>'Delta Amacuro'!$Q$2:$Q$4</c:f>
              <c:numCache>
                <c:formatCode>0.00</c:formatCode>
                <c:ptCount val="3"/>
                <c:pt idx="0">
                  <c:v>0.67952840300107176</c:v>
                </c:pt>
                <c:pt idx="1">
                  <c:v>0.27224008574490888</c:v>
                </c:pt>
                <c:pt idx="2">
                  <c:v>4.8231511254019289E-2</c:v>
                </c:pt>
              </c:numCache>
            </c:numRef>
          </c:val>
        </c:ser>
        <c:dLbls>
          <c:showVal val="1"/>
        </c:dLbls>
        <c:gapWidth val="75"/>
        <c:shape val="box"/>
        <c:axId val="51905280"/>
        <c:axId val="51906816"/>
        <c:axId val="0"/>
      </c:bar3DChart>
      <c:catAx>
        <c:axId val="519052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VE"/>
          </a:p>
        </c:txPr>
        <c:crossAx val="51906816"/>
        <c:crosses val="autoZero"/>
        <c:auto val="1"/>
        <c:lblAlgn val="ctr"/>
        <c:lblOffset val="100"/>
      </c:catAx>
      <c:valAx>
        <c:axId val="51906816"/>
        <c:scaling>
          <c:orientation val="minMax"/>
          <c:max val="1"/>
          <c:min val="0"/>
        </c:scaling>
        <c:axPos val="l"/>
        <c:numFmt formatCode="0.00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VE"/>
          </a:p>
        </c:txPr>
        <c:crossAx val="519052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51"/>
        </c:manualLayout>
      </c:layout>
      <c:lineChart>
        <c:grouping val="standard"/>
        <c:ser>
          <c:idx val="0"/>
          <c:order val="0"/>
          <c:tx>
            <c:strRef>
              <c:f>Guarico!$E$8</c:f>
              <c:strCache>
                <c:ptCount val="1"/>
                <c:pt idx="0">
                  <c:v>Willian Lara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Guarico!$N$10:$N$29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Guarico!$R$10:$R$29</c:f>
              <c:numCache>
                <c:formatCode>0.00</c:formatCode>
                <c:ptCount val="20"/>
                <c:pt idx="0">
                  <c:v>0.63492063492063489</c:v>
                </c:pt>
                <c:pt idx="1">
                  <c:v>0.63813229571984431</c:v>
                </c:pt>
                <c:pt idx="2">
                  <c:v>0.63914373088685017</c:v>
                </c:pt>
                <c:pt idx="3">
                  <c:v>0.61046511627906974</c:v>
                </c:pt>
                <c:pt idx="4">
                  <c:v>0.59340659340659341</c:v>
                </c:pt>
                <c:pt idx="5">
                  <c:v>0.5961722488038278</c:v>
                </c:pt>
                <c:pt idx="6">
                  <c:v>0.59668508287292821</c:v>
                </c:pt>
                <c:pt idx="7">
                  <c:v>0.58670886075949369</c:v>
                </c:pt>
                <c:pt idx="8">
                  <c:v>0.57172449508026935</c:v>
                </c:pt>
                <c:pt idx="9">
                  <c:v>0.56003505696757228</c:v>
                </c:pt>
                <c:pt idx="10">
                  <c:v>0.55636783378222399</c:v>
                </c:pt>
                <c:pt idx="11">
                  <c:v>0.55525051475634868</c:v>
                </c:pt>
                <c:pt idx="12">
                  <c:v>0.55012224938875309</c:v>
                </c:pt>
                <c:pt idx="13">
                  <c:v>0.54532657657657657</c:v>
                </c:pt>
                <c:pt idx="14">
                  <c:v>0.54559831312598839</c:v>
                </c:pt>
                <c:pt idx="15">
                  <c:v>0.54209979209979209</c:v>
                </c:pt>
                <c:pt idx="16">
                  <c:v>0.54215304798962383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Guarico!$F$8</c:f>
              <c:strCache>
                <c:ptCount val="1"/>
                <c:pt idx="0">
                  <c:v>Reinaldo Armas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Guarico!$N$10:$N$29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Guarico!$U$10:$U$29</c:f>
              <c:numCache>
                <c:formatCode>0.00</c:formatCode>
                <c:ptCount val="20"/>
                <c:pt idx="0">
                  <c:v>0.15079365079365079</c:v>
                </c:pt>
                <c:pt idx="1">
                  <c:v>0.17898832684824903</c:v>
                </c:pt>
                <c:pt idx="2">
                  <c:v>0.1529051987767584</c:v>
                </c:pt>
                <c:pt idx="3">
                  <c:v>0.16279069767441862</c:v>
                </c:pt>
                <c:pt idx="4">
                  <c:v>0.16483516483516483</c:v>
                </c:pt>
                <c:pt idx="5">
                  <c:v>0.16076555023923444</c:v>
                </c:pt>
                <c:pt idx="6">
                  <c:v>0.15232833464877663</c:v>
                </c:pt>
                <c:pt idx="7">
                  <c:v>0.14493670886075949</c:v>
                </c:pt>
                <c:pt idx="8">
                  <c:v>0.14810978767477992</c:v>
                </c:pt>
                <c:pt idx="9">
                  <c:v>0.15337423312883436</c:v>
                </c:pt>
                <c:pt idx="10">
                  <c:v>0.1565986918045402</c:v>
                </c:pt>
                <c:pt idx="11">
                  <c:v>0.15168153740562801</c:v>
                </c:pt>
                <c:pt idx="12">
                  <c:v>0.1573960880195599</c:v>
                </c:pt>
                <c:pt idx="13">
                  <c:v>0.15990990990990991</c:v>
                </c:pt>
                <c:pt idx="14">
                  <c:v>0.16078017923036372</c:v>
                </c:pt>
                <c:pt idx="15">
                  <c:v>0.15956340956340956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Guarico!$G$8</c:f>
              <c:strCache>
                <c:ptCount val="1"/>
                <c:pt idx="0">
                  <c:v>Lenny Manuit</c:v>
                </c:pt>
              </c:strCache>
            </c:strRef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numRef>
              <c:f>Guarico!$N$10:$N$29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Guarico!$X$10:$X$29</c:f>
              <c:numCache>
                <c:formatCode>0.00</c:formatCode>
                <c:ptCount val="20"/>
                <c:pt idx="0">
                  <c:v>0.20634920634920634</c:v>
                </c:pt>
                <c:pt idx="1">
                  <c:v>0.17898832684824903</c:v>
                </c:pt>
                <c:pt idx="2">
                  <c:v>0.20489296636085627</c:v>
                </c:pt>
                <c:pt idx="3">
                  <c:v>0.22093023255813954</c:v>
                </c:pt>
                <c:pt idx="4">
                  <c:v>0.23443223443223443</c:v>
                </c:pt>
                <c:pt idx="5">
                  <c:v>0.23540669856459331</c:v>
                </c:pt>
                <c:pt idx="6">
                  <c:v>0.23993685872138912</c:v>
                </c:pt>
                <c:pt idx="7">
                  <c:v>0.25696202531645568</c:v>
                </c:pt>
                <c:pt idx="8">
                  <c:v>0.26721905748316932</c:v>
                </c:pt>
                <c:pt idx="9">
                  <c:v>0.27344434706397897</c:v>
                </c:pt>
                <c:pt idx="10">
                  <c:v>0.27395151981531357</c:v>
                </c:pt>
                <c:pt idx="11">
                  <c:v>0.28002745367192861</c:v>
                </c:pt>
                <c:pt idx="12">
                  <c:v>0.27903422982885084</c:v>
                </c:pt>
                <c:pt idx="13">
                  <c:v>0.28237612612612611</c:v>
                </c:pt>
                <c:pt idx="14">
                  <c:v>0.28176067474960464</c:v>
                </c:pt>
                <c:pt idx="15">
                  <c:v>0.28664241164241167</c:v>
                </c:pt>
                <c:pt idx="16">
                  <c:v>0.2869001297016861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Guarico!$H$8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7030A0"/>
              </a:solidFill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numRef>
              <c:f>Guarico!$N$10:$N$29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Guarico!$AA$10:$AA$29</c:f>
              <c:numCache>
                <c:formatCode>0.00</c:formatCode>
                <c:ptCount val="20"/>
                <c:pt idx="0">
                  <c:v>7.9365079365079361E-3</c:v>
                </c:pt>
                <c:pt idx="1">
                  <c:v>#N/A</c:v>
                </c:pt>
                <c:pt idx="2">
                  <c:v>#N/A</c:v>
                </c:pt>
                <c:pt idx="3">
                  <c:v>5.8139534883720929E-3</c:v>
                </c:pt>
                <c:pt idx="4">
                  <c:v>7.326007326007326E-3</c:v>
                </c:pt>
                <c:pt idx="5">
                  <c:v>7.6555023923444978E-3</c:v>
                </c:pt>
                <c:pt idx="6">
                  <c:v>1.1049723756906077E-2</c:v>
                </c:pt>
                <c:pt idx="7">
                  <c:v>1.1392405063291139E-2</c:v>
                </c:pt>
                <c:pt idx="8">
                  <c:v>1.294665976178146E-2</c:v>
                </c:pt>
                <c:pt idx="9">
                  <c:v>1.3146362839614373E-2</c:v>
                </c:pt>
                <c:pt idx="10">
                  <c:v>1.3081954597922277E-2</c:v>
                </c:pt>
                <c:pt idx="11">
                  <c:v>1.3040494166094716E-2</c:v>
                </c:pt>
                <c:pt idx="12">
                  <c:v>1.3447432762836185E-2</c:v>
                </c:pt>
                <c:pt idx="13">
                  <c:v>#N/A</c:v>
                </c:pt>
                <c:pt idx="14">
                  <c:v>1.1860832894043227E-2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marker val="1"/>
        <c:axId val="139617024"/>
        <c:axId val="139618944"/>
      </c:lineChart>
      <c:catAx>
        <c:axId val="139617024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VE"/>
          </a:p>
        </c:txPr>
        <c:crossAx val="139618944"/>
        <c:crosses val="autoZero"/>
        <c:auto val="1"/>
        <c:lblAlgn val="ctr"/>
        <c:lblOffset val="100"/>
      </c:catAx>
      <c:valAx>
        <c:axId val="139618944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VE"/>
          </a:p>
        </c:txPr>
        <c:crossAx val="1396170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VE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VE"/>
    </a:p>
  </c:txPr>
  <c:printSettings>
    <c:headerFooter alignWithMargins="0"/>
    <c:pageMargins b="1" l="0.75000000000000244" r="0.75000000000000244" t="1" header="0" footer="0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43"/>
          <c:y val="3.1007751937984489E-2"/>
          <c:w val="0.78564876317834575"/>
          <c:h val="0.83650924184159869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Pt>
            <c:idx val="3"/>
            <c:spPr>
              <a:solidFill>
                <a:srgbClr val="7030A0"/>
              </a:solidFill>
            </c:spPr>
          </c:dPt>
          <c:dLbls>
            <c:dLbl>
              <c:idx val="0"/>
              <c:layout>
                <c:manualLayout>
                  <c:x val="3.333333333333334E-2"/>
                  <c:y val="-0.19450321441920709"/>
                </c:manualLayout>
              </c:layout>
              <c:showVal val="1"/>
            </c:dLbl>
            <c:dLbl>
              <c:idx val="1"/>
              <c:layout>
                <c:manualLayout>
                  <c:x val="2.9629629629629679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53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09"/>
                </c:manualLayout>
              </c:layout>
              <c:showVal val="1"/>
            </c:dLbl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VE"/>
              </a:p>
            </c:txPr>
            <c:showVal val="1"/>
          </c:dLbls>
          <c:cat>
            <c:strRef>
              <c:f>Guarico!$P$2:$P$5</c:f>
              <c:strCache>
                <c:ptCount val="4"/>
                <c:pt idx="0">
                  <c:v>Willian Lara</c:v>
                </c:pt>
                <c:pt idx="1">
                  <c:v>Reinaldo Armas</c:v>
                </c:pt>
                <c:pt idx="2">
                  <c:v>Lenny Manuit</c:v>
                </c:pt>
                <c:pt idx="3">
                  <c:v>Otro</c:v>
                </c:pt>
              </c:strCache>
            </c:strRef>
          </c:cat>
          <c:val>
            <c:numRef>
              <c:f>Guarico!$Q$2:$Q$5</c:f>
              <c:numCache>
                <c:formatCode>0.00</c:formatCode>
                <c:ptCount val="4"/>
                <c:pt idx="0">
                  <c:v>0.54215304798962383</c:v>
                </c:pt>
                <c:pt idx="1">
                  <c:v>0.15927367055771724</c:v>
                </c:pt>
                <c:pt idx="2">
                  <c:v>0.2869001297016861</c:v>
                </c:pt>
                <c:pt idx="3">
                  <c:v>1.1673151750972763E-2</c:v>
                </c:pt>
              </c:numCache>
            </c:numRef>
          </c:val>
        </c:ser>
        <c:dLbls>
          <c:showVal val="1"/>
        </c:dLbls>
        <c:gapWidth val="75"/>
        <c:shape val="box"/>
        <c:axId val="139654272"/>
        <c:axId val="139655808"/>
        <c:axId val="0"/>
      </c:bar3DChart>
      <c:catAx>
        <c:axId val="13965427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VE"/>
          </a:p>
        </c:txPr>
        <c:crossAx val="139655808"/>
        <c:crosses val="autoZero"/>
        <c:auto val="1"/>
        <c:lblAlgn val="ctr"/>
        <c:lblOffset val="100"/>
      </c:catAx>
      <c:valAx>
        <c:axId val="139655808"/>
        <c:scaling>
          <c:orientation val="minMax"/>
          <c:max val="1"/>
          <c:min val="0"/>
        </c:scaling>
        <c:axPos val="l"/>
        <c:numFmt formatCode="0.00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VE"/>
          </a:p>
        </c:txPr>
        <c:crossAx val="1396542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123825</xdr:rowOff>
    </xdr:from>
    <xdr:to>
      <xdr:col>0</xdr:col>
      <xdr:colOff>2266950</xdr:colOff>
      <xdr:row>5</xdr:row>
      <xdr:rowOff>9525</xdr:rowOff>
    </xdr:to>
    <xdr:pic>
      <xdr:nvPicPr>
        <xdr:cNvPr id="575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2450" y="123825"/>
          <a:ext cx="17145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495300</xdr:colOff>
      <xdr:row>24</xdr:row>
      <xdr:rowOff>38100</xdr:rowOff>
    </xdr:to>
    <xdr:graphicFrame macro="">
      <xdr:nvGraphicFramePr>
        <xdr:cNvPr id="919591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800100</xdr:colOff>
      <xdr:row>4</xdr:row>
      <xdr:rowOff>266700</xdr:rowOff>
    </xdr:from>
    <xdr:to>
      <xdr:col>11</xdr:col>
      <xdr:colOff>19050</xdr:colOff>
      <xdr:row>20</xdr:row>
      <xdr:rowOff>200025</xdr:rowOff>
    </xdr:to>
    <xdr:graphicFrame macro="">
      <xdr:nvGraphicFramePr>
        <xdr:cNvPr id="919592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95250</xdr:rowOff>
    </xdr:from>
    <xdr:to>
      <xdr:col>0</xdr:col>
      <xdr:colOff>2266950</xdr:colOff>
      <xdr:row>4</xdr:row>
      <xdr:rowOff>142875</xdr:rowOff>
    </xdr:to>
    <xdr:pic>
      <xdr:nvPicPr>
        <xdr:cNvPr id="573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2450" y="95250"/>
          <a:ext cx="17145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180975</xdr:rowOff>
    </xdr:from>
    <xdr:to>
      <xdr:col>7</xdr:col>
      <xdr:colOff>495300</xdr:colOff>
      <xdr:row>24</xdr:row>
      <xdr:rowOff>219075</xdr:rowOff>
    </xdr:to>
    <xdr:graphicFrame macro="">
      <xdr:nvGraphicFramePr>
        <xdr:cNvPr id="922663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781050</xdr:colOff>
      <xdr:row>8</xdr:row>
      <xdr:rowOff>19050</xdr:rowOff>
    </xdr:from>
    <xdr:to>
      <xdr:col>11</xdr:col>
      <xdr:colOff>0</xdr:colOff>
      <xdr:row>23</xdr:row>
      <xdr:rowOff>238125</xdr:rowOff>
    </xdr:to>
    <xdr:graphicFrame macro="">
      <xdr:nvGraphicFramePr>
        <xdr:cNvPr id="922664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95250</xdr:rowOff>
    </xdr:from>
    <xdr:to>
      <xdr:col>0</xdr:col>
      <xdr:colOff>2266950</xdr:colOff>
      <xdr:row>4</xdr:row>
      <xdr:rowOff>133350</xdr:rowOff>
    </xdr:to>
    <xdr:pic>
      <xdr:nvPicPr>
        <xdr:cNvPr id="574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2450" y="95250"/>
          <a:ext cx="17145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180975</xdr:rowOff>
    </xdr:from>
    <xdr:to>
      <xdr:col>7</xdr:col>
      <xdr:colOff>495300</xdr:colOff>
      <xdr:row>24</xdr:row>
      <xdr:rowOff>219075</xdr:rowOff>
    </xdr:to>
    <xdr:graphicFrame macro="">
      <xdr:nvGraphicFramePr>
        <xdr:cNvPr id="1060881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781050</xdr:colOff>
      <xdr:row>7</xdr:row>
      <xdr:rowOff>276225</xdr:rowOff>
    </xdr:from>
    <xdr:to>
      <xdr:col>11</xdr:col>
      <xdr:colOff>0</xdr:colOff>
      <xdr:row>23</xdr:row>
      <xdr:rowOff>209550</xdr:rowOff>
    </xdr:to>
    <xdr:graphicFrame macro="">
      <xdr:nvGraphicFramePr>
        <xdr:cNvPr id="1060882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95250</xdr:rowOff>
    </xdr:from>
    <xdr:to>
      <xdr:col>0</xdr:col>
      <xdr:colOff>2266950</xdr:colOff>
      <xdr:row>4</xdr:row>
      <xdr:rowOff>133350</xdr:rowOff>
    </xdr:to>
    <xdr:pic>
      <xdr:nvPicPr>
        <xdr:cNvPr id="576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2450" y="95250"/>
          <a:ext cx="17145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180975</xdr:rowOff>
    </xdr:from>
    <xdr:to>
      <xdr:col>7</xdr:col>
      <xdr:colOff>495300</xdr:colOff>
      <xdr:row>24</xdr:row>
      <xdr:rowOff>219075</xdr:rowOff>
    </xdr:to>
    <xdr:graphicFrame macro="">
      <xdr:nvGraphicFramePr>
        <xdr:cNvPr id="1070095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781050</xdr:colOff>
      <xdr:row>8</xdr:row>
      <xdr:rowOff>19050</xdr:rowOff>
    </xdr:from>
    <xdr:to>
      <xdr:col>11</xdr:col>
      <xdr:colOff>0</xdr:colOff>
      <xdr:row>23</xdr:row>
      <xdr:rowOff>238125</xdr:rowOff>
    </xdr:to>
    <xdr:graphicFrame macro="">
      <xdr:nvGraphicFramePr>
        <xdr:cNvPr id="107009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png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5" Type="http://schemas.openxmlformats.org/officeDocument/2006/relationships/printerSettings" Target="../printerSettings/printerSettings16.bin"/><Relationship Id="rId4" Type="http://schemas.openxmlformats.org/officeDocument/2006/relationships/printerSettings" Target="../printerSettings/printerSettings1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21.bin"/><Relationship Id="rId4" Type="http://schemas.openxmlformats.org/officeDocument/2006/relationships/printerSettings" Target="../printerSettings/printerSettings20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.bin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28.bin"/><Relationship Id="rId4" Type="http://schemas.openxmlformats.org/officeDocument/2006/relationships/printerSettings" Target="../printerSettings/printerSettings2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N21"/>
  <sheetViews>
    <sheetView showGridLines="0" showRowColHeaders="0" topLeftCell="A4" workbookViewId="0">
      <selection activeCell="K11" sqref="K11"/>
    </sheetView>
  </sheetViews>
  <sheetFormatPr baseColWidth="10" defaultColWidth="11.5703125" defaultRowHeight="12.75"/>
  <cols>
    <col min="1" max="16384" width="11.5703125" style="14"/>
  </cols>
  <sheetData>
    <row r="1" spans="3:14" ht="30" customHeight="1"/>
    <row r="2" spans="3:14" ht="30" customHeight="1"/>
    <row r="3" spans="3:14" ht="30" customHeight="1"/>
    <row r="4" spans="3:14" ht="30" customHeight="1"/>
    <row r="6" spans="3:14" ht="42" customHeight="1"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</row>
    <row r="7" spans="3:14" s="94" customFormat="1" ht="42" customHeight="1">
      <c r="C7" s="169" t="s">
        <v>24</v>
      </c>
      <c r="D7" s="169"/>
      <c r="E7" s="169"/>
      <c r="F7" s="169"/>
      <c r="G7" s="169"/>
      <c r="H7" s="169"/>
      <c r="I7" s="169"/>
      <c r="J7" s="169"/>
      <c r="K7" s="169"/>
      <c r="L7" s="169"/>
      <c r="M7" s="169"/>
    </row>
    <row r="8" spans="3:14" s="40" customFormat="1"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</row>
    <row r="9" spans="3:14" s="40" customFormat="1" ht="27.75">
      <c r="C9" s="136"/>
      <c r="D9" s="168" t="s">
        <v>12</v>
      </c>
      <c r="E9" s="168"/>
      <c r="F9" s="168"/>
      <c r="G9" s="168"/>
      <c r="H9" s="168"/>
      <c r="I9" s="168"/>
      <c r="J9" s="168"/>
      <c r="K9" s="168"/>
      <c r="L9" s="168"/>
      <c r="M9" s="136"/>
    </row>
    <row r="10" spans="3:14" s="40" customFormat="1" ht="36" customHeight="1">
      <c r="C10" s="136"/>
      <c r="D10" s="137"/>
      <c r="E10" s="137"/>
      <c r="F10" s="137"/>
      <c r="G10" s="137"/>
      <c r="H10" s="137"/>
      <c r="I10" s="137"/>
      <c r="J10" s="137"/>
      <c r="K10" s="137"/>
      <c r="L10" s="137"/>
      <c r="M10" s="138"/>
      <c r="N10" s="92"/>
    </row>
    <row r="11" spans="3:14" s="42" customFormat="1" ht="27" customHeight="1">
      <c r="C11" s="139"/>
      <c r="D11" s="137"/>
      <c r="E11" s="140" t="s">
        <v>44</v>
      </c>
      <c r="F11" s="137"/>
      <c r="G11" s="137"/>
      <c r="H11" s="140" t="s">
        <v>42</v>
      </c>
      <c r="I11" s="137"/>
      <c r="J11" s="137"/>
      <c r="K11" s="140" t="s">
        <v>45</v>
      </c>
      <c r="L11" s="137"/>
      <c r="M11" s="141"/>
      <c r="N11" s="93"/>
    </row>
    <row r="12" spans="3:14" s="42" customFormat="1" ht="17.25" customHeight="1">
      <c r="C12" s="139"/>
      <c r="D12" s="137"/>
      <c r="E12" s="140"/>
      <c r="F12" s="137"/>
      <c r="G12" s="137"/>
      <c r="H12" s="137"/>
      <c r="I12" s="137"/>
      <c r="J12" s="137"/>
      <c r="K12" s="137"/>
      <c r="L12" s="137"/>
      <c r="M12" s="141"/>
      <c r="N12" s="93"/>
    </row>
    <row r="13" spans="3:14" s="42" customFormat="1" ht="24.6" customHeight="1">
      <c r="C13" s="139"/>
      <c r="D13" s="137"/>
      <c r="E13" s="140" t="s">
        <v>46</v>
      </c>
      <c r="F13" s="137"/>
      <c r="G13" s="137"/>
      <c r="H13" s="140" t="s">
        <v>47</v>
      </c>
      <c r="I13" s="137"/>
      <c r="J13" s="137"/>
      <c r="K13" s="140" t="s">
        <v>48</v>
      </c>
      <c r="L13" s="137"/>
      <c r="M13" s="141"/>
      <c r="N13" s="93"/>
    </row>
    <row r="14" spans="3:14" s="42" customFormat="1" ht="17.25" customHeight="1">
      <c r="C14" s="139"/>
      <c r="D14" s="137"/>
      <c r="E14" s="140"/>
      <c r="F14" s="137"/>
      <c r="G14" s="137"/>
      <c r="H14" s="137"/>
      <c r="I14" s="137"/>
      <c r="J14" s="137"/>
      <c r="K14" s="137"/>
      <c r="L14" s="137"/>
      <c r="M14" s="141"/>
      <c r="N14" s="93"/>
    </row>
    <row r="15" spans="3:14" s="42" customFormat="1" ht="24.6" customHeight="1">
      <c r="C15" s="139"/>
      <c r="D15" s="137"/>
      <c r="E15" s="140" t="s">
        <v>49</v>
      </c>
      <c r="F15" s="137"/>
      <c r="G15" s="137"/>
      <c r="H15" s="140" t="s">
        <v>43</v>
      </c>
      <c r="I15" s="137"/>
      <c r="J15" s="137"/>
      <c r="K15" s="140" t="s">
        <v>50</v>
      </c>
      <c r="L15" s="137"/>
      <c r="M15" s="141"/>
      <c r="N15" s="93"/>
    </row>
    <row r="16" spans="3:14" s="42" customFormat="1" ht="24.6" customHeight="1">
      <c r="C16" s="139"/>
      <c r="D16" s="137"/>
      <c r="E16" s="140"/>
      <c r="F16" s="137"/>
      <c r="G16" s="137"/>
      <c r="H16" s="137"/>
      <c r="I16" s="137"/>
      <c r="J16" s="137"/>
      <c r="K16" s="137"/>
      <c r="L16" s="137"/>
      <c r="M16" s="141"/>
      <c r="N16" s="93"/>
    </row>
    <row r="17" spans="3:14" s="42" customFormat="1" ht="17.25" customHeight="1">
      <c r="C17" s="139"/>
      <c r="D17" s="137"/>
      <c r="E17" s="140" t="s">
        <v>51</v>
      </c>
      <c r="F17" s="137"/>
      <c r="G17" s="137"/>
      <c r="H17" s="140" t="s">
        <v>52</v>
      </c>
      <c r="I17" s="137"/>
      <c r="J17" s="137"/>
      <c r="K17" s="140" t="s">
        <v>53</v>
      </c>
      <c r="L17" s="137"/>
      <c r="M17" s="141"/>
      <c r="N17" s="93"/>
    </row>
    <row r="18" spans="3:14" s="42" customFormat="1" ht="24.6" customHeight="1">
      <c r="C18" s="139"/>
      <c r="D18" s="137"/>
      <c r="E18" s="140"/>
      <c r="F18" s="137"/>
      <c r="G18" s="137"/>
      <c r="H18" s="137"/>
      <c r="I18" s="137"/>
      <c r="J18" s="137"/>
      <c r="K18" s="137"/>
      <c r="L18" s="137"/>
      <c r="M18" s="141"/>
      <c r="N18" s="93"/>
    </row>
    <row r="19" spans="3:14" s="40" customFormat="1" ht="24.6" customHeight="1">
      <c r="C19" s="43"/>
      <c r="E19" s="41"/>
      <c r="F19" s="41"/>
    </row>
    <row r="20" spans="3:14" s="40" customFormat="1" ht="24.6" customHeight="1">
      <c r="C20" s="41"/>
      <c r="E20" s="41"/>
    </row>
    <row r="21" spans="3:14" ht="24.6" customHeight="1"/>
  </sheetData>
  <customSheetViews>
    <customSheetView guid="{F92CD80A-2F20-447E-84B4-C32E1E2FE9A3}" showGridLines="0" showRowCol="0" topLeftCell="A4">
      <selection activeCell="K11" sqref="K11"/>
      <pageMargins left="0.7" right="0.7" top="0.75" bottom="0.75" header="0.3" footer="0.3"/>
      <pageSetup paperSize="9" orientation="portrait" horizontalDpi="0" verticalDpi="0" r:id="rId1"/>
    </customSheetView>
    <customSheetView guid="{56AFE396-18B0-4AF5-AE05-5CBE92BF4893}" showGridLines="0" showRowCol="0">
      <selection activeCell="K11" sqref="K11"/>
      <pageMargins left="0.7" right="0.7" top="0.75" bottom="0.75" header="0.3" footer="0.3"/>
      <pageSetup paperSize="9" orientation="portrait" horizontalDpi="0" verticalDpi="0" r:id="rId2"/>
    </customSheetView>
    <customSheetView guid="{79B4DA94-8F3B-455B-B3D6-7A15488FD419}" showGridLines="0" showRowCol="0" topLeftCell="A4">
      <selection activeCell="K11" sqref="K11"/>
      <pageMargins left="0.7" right="0.7" top="0.75" bottom="0.75" header="0.3" footer="0.3"/>
      <pageSetup paperSize="9" orientation="portrait" horizontalDpi="0" verticalDpi="0" r:id="rId3"/>
    </customSheetView>
    <customSheetView guid="{4EA0FCF4-4E92-4FEF-BBB1-FFCF2D2846A6}" showGridLines="0" showRowCol="0">
      <selection activeCell="K11" sqref="K11"/>
      <pageMargins left="0.7" right="0.7" top="0.75" bottom="0.75" header="0.3" footer="0.3"/>
      <pageSetup paperSize="9" orientation="portrait" horizontalDpi="0" verticalDpi="0" r:id="rId4"/>
    </customSheetView>
  </customSheetViews>
  <mergeCells count="2">
    <mergeCell ref="D9:L9"/>
    <mergeCell ref="C7:M7"/>
  </mergeCells>
  <hyperlinks>
    <hyperlink ref="E13" location="Bolivar!A1" display="Bolivar"/>
    <hyperlink ref="E15" location="'Delta Amacuro'!A1" display="Delta Amacuro"/>
    <hyperlink ref="E11" location="Apure!A1" display="Apure"/>
    <hyperlink ref="E17" location="Guarico!A1" display="Guarico"/>
    <hyperlink ref="H11" location="CApure!A1" display="SApure"/>
    <hyperlink ref="H13" location="CBolivar!A1" display="Supervisor de Bolívar"/>
    <hyperlink ref="H15" location="'CDelta Amacuro'!A1" display="Supervisor de Delta Amacuro"/>
    <hyperlink ref="H17" location="CGuarico!A1" display="Supervisor de Guárico"/>
    <hyperlink ref="K11" location="GApure!A1" display="Gráficos de Apure"/>
    <hyperlink ref="K13" location="GBolivar!A1" display="Gráficos de Bolívar"/>
    <hyperlink ref="K15" location="'GDelta Amacuro'!A1" display="Gráficos de Delta Amacuro"/>
    <hyperlink ref="K17" location="GGuarico!A1" display="Gráficos de Guárico"/>
  </hyperlinks>
  <pageMargins left="0.7" right="0.7" top="0.75" bottom="0.75" header="0.3" footer="0.3"/>
  <pageSetup paperSize="9" orientation="portrait" horizontalDpi="0" verticalDpi="0" r:id="rId5"/>
  <picture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B1:X231"/>
  <sheetViews>
    <sheetView showGridLines="0" showRowColHeaders="0" workbookViewId="0">
      <pane ySplit="8" topLeftCell="A18" activePane="bottomLeft" state="frozen"/>
      <selection pane="bottomLeft" activeCell="I3" sqref="I3"/>
    </sheetView>
  </sheetViews>
  <sheetFormatPr baseColWidth="10" defaultRowHeight="12.75"/>
  <cols>
    <col min="1" max="1" width="42.7109375" customWidth="1"/>
    <col min="2" max="12" width="13.7109375" customWidth="1"/>
    <col min="13" max="13" width="13.85546875" style="23" customWidth="1"/>
    <col min="14" max="15" width="13.7109375" style="23" customWidth="1"/>
    <col min="16" max="32" width="13.7109375" customWidth="1"/>
  </cols>
  <sheetData>
    <row r="1" spans="2:24" s="14" customFormat="1">
      <c r="J1" s="147"/>
      <c r="M1" s="28"/>
      <c r="N1" s="28"/>
      <c r="O1" s="28"/>
    </row>
    <row r="2" spans="2:24" s="14" customFormat="1">
      <c r="H2" s="96"/>
      <c r="I2" s="158" t="s">
        <v>39</v>
      </c>
      <c r="M2" s="28"/>
      <c r="N2" s="28"/>
      <c r="O2" s="28"/>
    </row>
    <row r="3" spans="2:24" s="14" customFormat="1">
      <c r="H3" s="96"/>
      <c r="I3" s="159" t="s">
        <v>4</v>
      </c>
      <c r="M3" s="28"/>
      <c r="N3" s="28"/>
      <c r="O3" s="28"/>
      <c r="P3" s="71" t="s">
        <v>18</v>
      </c>
      <c r="Q3" s="72">
        <f>R9</f>
        <v>0.53042198233562321</v>
      </c>
      <c r="R3" s="69"/>
    </row>
    <row r="4" spans="2:24" s="14" customFormat="1">
      <c r="H4" s="96"/>
      <c r="I4" s="160" t="s">
        <v>5</v>
      </c>
      <c r="M4" s="28"/>
      <c r="N4" s="28"/>
      <c r="O4" s="28"/>
      <c r="P4" s="71" t="s">
        <v>19</v>
      </c>
      <c r="Q4" s="72">
        <f>U9</f>
        <v>0.34789008832188423</v>
      </c>
      <c r="R4" s="69"/>
    </row>
    <row r="5" spans="2:24" s="14" customFormat="1">
      <c r="H5" s="96"/>
      <c r="I5" s="166" t="s">
        <v>13</v>
      </c>
      <c r="M5" s="28"/>
      <c r="N5" s="28"/>
      <c r="O5" s="28"/>
      <c r="P5" s="71" t="s">
        <v>9</v>
      </c>
      <c r="Q5" s="72">
        <f>X9</f>
        <v>0.12168792934249265</v>
      </c>
      <c r="R5" s="69"/>
    </row>
    <row r="6" spans="2:24" s="14" customFormat="1" ht="33">
      <c r="C6" s="18">
        <v>3</v>
      </c>
      <c r="D6" s="18" t="s">
        <v>16</v>
      </c>
      <c r="E6" s="15"/>
      <c r="F6" s="15"/>
      <c r="G6" s="15"/>
      <c r="H6" s="15"/>
      <c r="J6" s="15"/>
      <c r="M6" s="28"/>
      <c r="N6" s="28"/>
      <c r="O6" s="28"/>
      <c r="P6" s="73"/>
      <c r="Q6" s="73"/>
      <c r="R6" s="70"/>
    </row>
    <row r="7" spans="2:24" ht="13.5" thickBot="1"/>
    <row r="8" spans="2:24" ht="30.75" thickBot="1">
      <c r="B8" s="54" t="s">
        <v>1</v>
      </c>
      <c r="C8" s="55" t="s">
        <v>2</v>
      </c>
      <c r="D8" s="54" t="s">
        <v>0</v>
      </c>
      <c r="E8" s="56" t="s">
        <v>18</v>
      </c>
      <c r="F8" s="56" t="s">
        <v>19</v>
      </c>
      <c r="G8" s="56" t="s">
        <v>9</v>
      </c>
      <c r="M8" s="12" t="s">
        <v>38</v>
      </c>
      <c r="P8" s="172" t="s">
        <v>18</v>
      </c>
      <c r="Q8" s="173"/>
      <c r="R8" s="174"/>
      <c r="S8" s="172" t="s">
        <v>19</v>
      </c>
      <c r="T8" s="173"/>
      <c r="U8" s="174"/>
      <c r="V8" s="172" t="s">
        <v>9</v>
      </c>
      <c r="W8" s="173"/>
      <c r="X8" s="174"/>
    </row>
    <row r="9" spans="2:24" ht="18">
      <c r="B9" s="57">
        <v>3</v>
      </c>
      <c r="C9" s="57">
        <v>1</v>
      </c>
      <c r="D9" s="57">
        <v>1</v>
      </c>
      <c r="E9" s="57">
        <v>1</v>
      </c>
      <c r="F9" s="57">
        <v>1</v>
      </c>
      <c r="G9" s="58">
        <v>1</v>
      </c>
      <c r="M9" s="23">
        <v>1</v>
      </c>
      <c r="N9" s="170" t="s">
        <v>0</v>
      </c>
      <c r="O9" s="171"/>
      <c r="P9" s="36">
        <f>SUM(Jesus_Aguilarte)</f>
        <v>1081</v>
      </c>
      <c r="Q9" s="37">
        <f>P9</f>
        <v>1081</v>
      </c>
      <c r="R9" s="38">
        <f>P9/($P$9+$S$9+$V$9)</f>
        <v>0.53042198233562321</v>
      </c>
      <c r="S9" s="36">
        <f>SUM(Mirian_de_Montilla)</f>
        <v>709</v>
      </c>
      <c r="T9" s="37">
        <f>S9</f>
        <v>709</v>
      </c>
      <c r="U9" s="38">
        <f>S9/($P$9+$S$9+$V$9)</f>
        <v>0.34789008832188423</v>
      </c>
      <c r="V9" s="36">
        <f>SUM(OtroAp)</f>
        <v>248</v>
      </c>
      <c r="W9" s="37">
        <f>V9</f>
        <v>248</v>
      </c>
      <c r="X9" s="39">
        <f>V9/($P$9+$S$9+$V$9)</f>
        <v>0.12168792934249265</v>
      </c>
    </row>
    <row r="10" spans="2:24" ht="18">
      <c r="B10" s="59">
        <v>3</v>
      </c>
      <c r="C10" s="59">
        <v>8</v>
      </c>
      <c r="D10" s="59">
        <v>1</v>
      </c>
      <c r="E10" s="59">
        <v>2</v>
      </c>
      <c r="F10" s="59">
        <v>3</v>
      </c>
      <c r="G10" s="60">
        <v>2</v>
      </c>
      <c r="L10" s="23"/>
      <c r="M10" s="23">
        <v>1</v>
      </c>
      <c r="N10" s="120">
        <v>0.3125</v>
      </c>
      <c r="O10" s="2">
        <v>1</v>
      </c>
      <c r="P10" s="4">
        <f t="shared" ref="P10:P29" si="0">SUMIF(TurnoAp,$O10,Jesus_Aguilarte)</f>
        <v>74</v>
      </c>
      <c r="Q10" s="5">
        <f>P10</f>
        <v>74</v>
      </c>
      <c r="R10" s="10">
        <f>IF(P10&lt;&gt;0,Q10/($Q10+$T10+$W10),LOOKUP(2121,$R$3:$R$6))</f>
        <v>0.41807909604519772</v>
      </c>
      <c r="S10" s="4">
        <f t="shared" ref="S10:S29" si="1">SUMIF(TurnoAp,$O10,Mirian_de_Montilla)</f>
        <v>70</v>
      </c>
      <c r="T10" s="5">
        <f>S10</f>
        <v>70</v>
      </c>
      <c r="U10" s="10">
        <f>IF(S10&lt;&gt;0,T10/($Q10+$T10+$W10),LOOKUP(2121,$R$3:$R$6))</f>
        <v>0.39548022598870058</v>
      </c>
      <c r="V10" s="4">
        <f t="shared" ref="V10:V29" si="2">SUMIF(TurnoAp,$O10,OtroAp)</f>
        <v>33</v>
      </c>
      <c r="W10" s="5">
        <f>V10</f>
        <v>33</v>
      </c>
      <c r="X10" s="3">
        <f>IF(V10&lt;&gt;0,W10/($Q10+$T10+$W10),LOOKUP(2121,$R$3:$R$6))</f>
        <v>0.1864406779661017</v>
      </c>
    </row>
    <row r="11" spans="2:24" ht="18">
      <c r="B11" s="59">
        <v>3</v>
      </c>
      <c r="C11" s="59">
        <v>8</v>
      </c>
      <c r="D11" s="59">
        <v>2</v>
      </c>
      <c r="E11" s="59">
        <v>4</v>
      </c>
      <c r="F11" s="59">
        <v>9</v>
      </c>
      <c r="G11" s="60">
        <v>3</v>
      </c>
      <c r="L11" s="23"/>
      <c r="M11" s="23">
        <v>1</v>
      </c>
      <c r="N11" s="120">
        <v>0.33333333333333298</v>
      </c>
      <c r="O11" s="2">
        <v>2</v>
      </c>
      <c r="P11" s="4">
        <f t="shared" si="0"/>
        <v>47</v>
      </c>
      <c r="Q11" s="5">
        <f>Q10+P11</f>
        <v>121</v>
      </c>
      <c r="R11" s="10">
        <f t="shared" ref="R11:R29" si="3">IF(P11&lt;&gt;0,Q11/($Q11+$T11+$W11),LOOKUP(2121,$R$3:$R$6))</f>
        <v>0.43525179856115109</v>
      </c>
      <c r="S11" s="4">
        <f t="shared" si="1"/>
        <v>45</v>
      </c>
      <c r="T11" s="5">
        <f>T10+S11</f>
        <v>115</v>
      </c>
      <c r="U11" s="10">
        <f t="shared" ref="U11:U29" si="4">IF(S11&lt;&gt;0,T11/($Q11+$T11+$W11),LOOKUP(2121,$R$3:$R$6))</f>
        <v>0.41366906474820142</v>
      </c>
      <c r="V11" s="4">
        <f t="shared" si="2"/>
        <v>9</v>
      </c>
      <c r="W11" s="5">
        <f>W10+V11</f>
        <v>42</v>
      </c>
      <c r="X11" s="3">
        <f t="shared" ref="X11:X29" si="5">IF(V11&lt;&gt;0,W11/($Q11+$T11+$W11),LOOKUP(2121,$R$3:$R$6))</f>
        <v>0.15107913669064749</v>
      </c>
    </row>
    <row r="12" spans="2:24" ht="18">
      <c r="B12" s="59">
        <v>3</v>
      </c>
      <c r="C12" s="59">
        <v>2</v>
      </c>
      <c r="D12" s="59">
        <v>1</v>
      </c>
      <c r="E12" s="59">
        <v>7</v>
      </c>
      <c r="F12" s="59">
        <v>4</v>
      </c>
      <c r="G12" s="60">
        <v>2</v>
      </c>
      <c r="L12" s="23"/>
      <c r="M12" s="23">
        <v>1</v>
      </c>
      <c r="N12" s="120">
        <v>0.35416666666666702</v>
      </c>
      <c r="O12" s="2">
        <v>3</v>
      </c>
      <c r="P12" s="4">
        <f t="shared" si="0"/>
        <v>65</v>
      </c>
      <c r="Q12" s="5">
        <f t="shared" ref="Q12:Q29" si="6">Q11+P12</f>
        <v>186</v>
      </c>
      <c r="R12" s="10">
        <f t="shared" si="3"/>
        <v>0.46039603960396042</v>
      </c>
      <c r="S12" s="4">
        <f t="shared" si="1"/>
        <v>45</v>
      </c>
      <c r="T12" s="5">
        <f t="shared" ref="T12:T29" si="7">T11+S12</f>
        <v>160</v>
      </c>
      <c r="U12" s="10">
        <f t="shared" si="4"/>
        <v>0.39603960396039606</v>
      </c>
      <c r="V12" s="4">
        <f t="shared" si="2"/>
        <v>16</v>
      </c>
      <c r="W12" s="5">
        <f t="shared" ref="W12:W29" si="8">W11+V12</f>
        <v>58</v>
      </c>
      <c r="X12" s="3">
        <f t="shared" si="5"/>
        <v>0.14356435643564355</v>
      </c>
    </row>
    <row r="13" spans="2:24" ht="18">
      <c r="B13" s="59">
        <v>3</v>
      </c>
      <c r="C13" s="59">
        <v>1</v>
      </c>
      <c r="D13" s="59">
        <v>1</v>
      </c>
      <c r="E13" s="59">
        <v>32</v>
      </c>
      <c r="F13" s="59">
        <v>31</v>
      </c>
      <c r="G13" s="60">
        <v>14</v>
      </c>
      <c r="L13" s="23"/>
      <c r="M13" s="23">
        <v>1</v>
      </c>
      <c r="N13" s="120">
        <v>0.375</v>
      </c>
      <c r="O13" s="2">
        <v>4</v>
      </c>
      <c r="P13" s="4">
        <f t="shared" si="0"/>
        <v>35</v>
      </c>
      <c r="Q13" s="5">
        <f t="shared" si="6"/>
        <v>221</v>
      </c>
      <c r="R13" s="10">
        <f t="shared" si="3"/>
        <v>0.47222222222222221</v>
      </c>
      <c r="S13" s="4">
        <f t="shared" si="1"/>
        <v>23</v>
      </c>
      <c r="T13" s="5">
        <f t="shared" si="7"/>
        <v>183</v>
      </c>
      <c r="U13" s="10">
        <f t="shared" si="4"/>
        <v>0.39102564102564102</v>
      </c>
      <c r="V13" s="4">
        <f t="shared" si="2"/>
        <v>6</v>
      </c>
      <c r="W13" s="5">
        <f t="shared" si="8"/>
        <v>64</v>
      </c>
      <c r="X13" s="3">
        <f t="shared" si="5"/>
        <v>0.13675213675213677</v>
      </c>
    </row>
    <row r="14" spans="2:24" ht="18">
      <c r="B14" s="59">
        <v>3</v>
      </c>
      <c r="C14" s="59">
        <v>9</v>
      </c>
      <c r="D14" s="59">
        <v>3</v>
      </c>
      <c r="E14" s="59">
        <v>7</v>
      </c>
      <c r="F14" s="59">
        <v>3</v>
      </c>
      <c r="G14" s="60">
        <v>1</v>
      </c>
      <c r="L14" s="23"/>
      <c r="M14" s="23">
        <v>1</v>
      </c>
      <c r="N14" s="120">
        <v>0.39583333333333298</v>
      </c>
      <c r="O14" s="2">
        <v>5</v>
      </c>
      <c r="P14" s="4">
        <f t="shared" si="0"/>
        <v>74</v>
      </c>
      <c r="Q14" s="5">
        <f t="shared" si="6"/>
        <v>295</v>
      </c>
      <c r="R14" s="10">
        <f t="shared" si="3"/>
        <v>0.50170068027210879</v>
      </c>
      <c r="S14" s="4">
        <f t="shared" si="1"/>
        <v>32</v>
      </c>
      <c r="T14" s="5">
        <f t="shared" si="7"/>
        <v>215</v>
      </c>
      <c r="U14" s="10">
        <f t="shared" si="4"/>
        <v>0.36564625850340138</v>
      </c>
      <c r="V14" s="4">
        <f t="shared" si="2"/>
        <v>14</v>
      </c>
      <c r="W14" s="5">
        <f t="shared" si="8"/>
        <v>78</v>
      </c>
      <c r="X14" s="3">
        <f t="shared" si="5"/>
        <v>0.1326530612244898</v>
      </c>
    </row>
    <row r="15" spans="2:24" ht="18">
      <c r="B15" s="59">
        <v>3</v>
      </c>
      <c r="C15" s="59">
        <v>9</v>
      </c>
      <c r="D15" s="59">
        <v>2</v>
      </c>
      <c r="E15" s="59">
        <v>2</v>
      </c>
      <c r="F15" s="59">
        <v>1</v>
      </c>
      <c r="G15" s="60">
        <v>0</v>
      </c>
      <c r="L15" s="23"/>
      <c r="M15" s="23">
        <v>1</v>
      </c>
      <c r="N15" s="120">
        <v>0.41666666666666702</v>
      </c>
      <c r="O15" s="2">
        <v>6</v>
      </c>
      <c r="P15" s="4">
        <f t="shared" si="0"/>
        <v>82</v>
      </c>
      <c r="Q15" s="5">
        <f t="shared" si="6"/>
        <v>377</v>
      </c>
      <c r="R15" s="10">
        <f t="shared" si="3"/>
        <v>0.52653631284916202</v>
      </c>
      <c r="S15" s="4">
        <f t="shared" si="1"/>
        <v>29</v>
      </c>
      <c r="T15" s="5">
        <f t="shared" si="7"/>
        <v>244</v>
      </c>
      <c r="U15" s="10">
        <f t="shared" si="4"/>
        <v>0.34078212290502791</v>
      </c>
      <c r="V15" s="4">
        <f t="shared" si="2"/>
        <v>17</v>
      </c>
      <c r="W15" s="5">
        <f t="shared" si="8"/>
        <v>95</v>
      </c>
      <c r="X15" s="3">
        <f t="shared" si="5"/>
        <v>0.13268156424581007</v>
      </c>
    </row>
    <row r="16" spans="2:24" ht="18">
      <c r="B16" s="59">
        <v>3</v>
      </c>
      <c r="C16" s="59">
        <v>8</v>
      </c>
      <c r="D16" s="59">
        <v>2</v>
      </c>
      <c r="E16" s="59">
        <v>6</v>
      </c>
      <c r="F16" s="59">
        <v>2</v>
      </c>
      <c r="G16" s="60">
        <v>0</v>
      </c>
      <c r="L16" s="23"/>
      <c r="M16" s="23">
        <v>1</v>
      </c>
      <c r="N16" s="120">
        <v>0.4375</v>
      </c>
      <c r="O16" s="2">
        <v>7</v>
      </c>
      <c r="P16" s="4">
        <f t="shared" si="0"/>
        <v>62</v>
      </c>
      <c r="Q16" s="5">
        <f t="shared" si="6"/>
        <v>439</v>
      </c>
      <c r="R16" s="10">
        <f t="shared" si="3"/>
        <v>0.53212121212121211</v>
      </c>
      <c r="S16" s="4">
        <f t="shared" si="1"/>
        <v>40</v>
      </c>
      <c r="T16" s="5">
        <f t="shared" si="7"/>
        <v>284</v>
      </c>
      <c r="U16" s="10">
        <f t="shared" si="4"/>
        <v>0.34424242424242424</v>
      </c>
      <c r="V16" s="4">
        <f t="shared" si="2"/>
        <v>7</v>
      </c>
      <c r="W16" s="5">
        <f t="shared" si="8"/>
        <v>102</v>
      </c>
      <c r="X16" s="3">
        <f t="shared" si="5"/>
        <v>0.12363636363636364</v>
      </c>
    </row>
    <row r="17" spans="2:24" ht="18">
      <c r="B17" s="59">
        <v>3</v>
      </c>
      <c r="C17" s="59">
        <v>8</v>
      </c>
      <c r="D17" s="59">
        <v>3</v>
      </c>
      <c r="E17" s="59">
        <v>10</v>
      </c>
      <c r="F17" s="59">
        <v>3</v>
      </c>
      <c r="G17" s="60">
        <v>3</v>
      </c>
      <c r="L17" s="23"/>
      <c r="M17" s="23">
        <v>1</v>
      </c>
      <c r="N17" s="120">
        <v>0.45833333333333298</v>
      </c>
      <c r="O17" s="2">
        <v>8</v>
      </c>
      <c r="P17" s="4">
        <f t="shared" si="0"/>
        <v>94</v>
      </c>
      <c r="Q17" s="5">
        <f t="shared" si="6"/>
        <v>533</v>
      </c>
      <c r="R17" s="10">
        <f t="shared" si="3"/>
        <v>0.53567839195979905</v>
      </c>
      <c r="S17" s="4">
        <f t="shared" si="1"/>
        <v>57</v>
      </c>
      <c r="T17" s="5">
        <f t="shared" si="7"/>
        <v>341</v>
      </c>
      <c r="U17" s="10">
        <f t="shared" si="4"/>
        <v>0.34271356783919599</v>
      </c>
      <c r="V17" s="4">
        <f t="shared" si="2"/>
        <v>19</v>
      </c>
      <c r="W17" s="5">
        <f t="shared" si="8"/>
        <v>121</v>
      </c>
      <c r="X17" s="3">
        <f t="shared" si="5"/>
        <v>0.12160804020100502</v>
      </c>
    </row>
    <row r="18" spans="2:24" ht="18">
      <c r="B18" s="59">
        <v>3</v>
      </c>
      <c r="C18" s="59">
        <v>1</v>
      </c>
      <c r="D18" s="59">
        <v>4</v>
      </c>
      <c r="E18" s="59">
        <v>11</v>
      </c>
      <c r="F18" s="59">
        <v>3</v>
      </c>
      <c r="G18" s="60">
        <v>0</v>
      </c>
      <c r="L18" s="23"/>
      <c r="M18" s="23">
        <v>1</v>
      </c>
      <c r="N18" s="120">
        <v>0.47916666666666702</v>
      </c>
      <c r="O18" s="2">
        <v>9</v>
      </c>
      <c r="P18" s="4">
        <f t="shared" si="0"/>
        <v>98</v>
      </c>
      <c r="Q18" s="5">
        <f t="shared" si="6"/>
        <v>631</v>
      </c>
      <c r="R18" s="10">
        <f t="shared" si="3"/>
        <v>0.54070265638389037</v>
      </c>
      <c r="S18" s="4">
        <f t="shared" si="1"/>
        <v>56</v>
      </c>
      <c r="T18" s="5">
        <f t="shared" si="7"/>
        <v>397</v>
      </c>
      <c r="U18" s="10">
        <f t="shared" si="4"/>
        <v>0.34018851756640961</v>
      </c>
      <c r="V18" s="4">
        <f t="shared" si="2"/>
        <v>18</v>
      </c>
      <c r="W18" s="5">
        <f t="shared" si="8"/>
        <v>139</v>
      </c>
      <c r="X18" s="3">
        <f t="shared" si="5"/>
        <v>0.11910882604970009</v>
      </c>
    </row>
    <row r="19" spans="2:24" ht="18">
      <c r="B19" s="59">
        <v>3</v>
      </c>
      <c r="C19" s="59">
        <v>1</v>
      </c>
      <c r="D19" s="59">
        <v>1</v>
      </c>
      <c r="E19" s="59">
        <v>32</v>
      </c>
      <c r="F19" s="59">
        <v>31</v>
      </c>
      <c r="G19" s="60">
        <v>14</v>
      </c>
      <c r="L19" s="23"/>
      <c r="M19" s="23">
        <v>1</v>
      </c>
      <c r="N19" s="120">
        <v>0.5</v>
      </c>
      <c r="O19" s="2">
        <v>10</v>
      </c>
      <c r="P19" s="4">
        <f t="shared" si="0"/>
        <v>80</v>
      </c>
      <c r="Q19" s="5">
        <f t="shared" si="6"/>
        <v>711</v>
      </c>
      <c r="R19" s="10">
        <f t="shared" si="3"/>
        <v>0.54399387911247132</v>
      </c>
      <c r="S19" s="4">
        <f t="shared" si="1"/>
        <v>49</v>
      </c>
      <c r="T19" s="5">
        <f t="shared" si="7"/>
        <v>446</v>
      </c>
      <c r="U19" s="10">
        <f t="shared" si="4"/>
        <v>0.34123947972456004</v>
      </c>
      <c r="V19" s="4">
        <f t="shared" si="2"/>
        <v>11</v>
      </c>
      <c r="W19" s="5">
        <f t="shared" si="8"/>
        <v>150</v>
      </c>
      <c r="X19" s="3">
        <f t="shared" si="5"/>
        <v>0.11476664116296863</v>
      </c>
    </row>
    <row r="20" spans="2:24" ht="18">
      <c r="B20" s="59">
        <v>3</v>
      </c>
      <c r="C20" s="59">
        <v>1</v>
      </c>
      <c r="D20" s="59">
        <v>2</v>
      </c>
      <c r="E20" s="59">
        <v>21</v>
      </c>
      <c r="F20" s="59">
        <v>24</v>
      </c>
      <c r="G20" s="60">
        <v>4</v>
      </c>
      <c r="L20" s="23"/>
      <c r="M20" s="23">
        <v>1</v>
      </c>
      <c r="N20" s="120">
        <v>0.52083333333333304</v>
      </c>
      <c r="O20" s="2">
        <v>11</v>
      </c>
      <c r="P20" s="4">
        <f t="shared" si="0"/>
        <v>86</v>
      </c>
      <c r="Q20" s="5">
        <f t="shared" si="6"/>
        <v>797</v>
      </c>
      <c r="R20" s="10">
        <f t="shared" si="3"/>
        <v>0.54291553133514991</v>
      </c>
      <c r="S20" s="4">
        <f t="shared" si="1"/>
        <v>64</v>
      </c>
      <c r="T20" s="5">
        <f t="shared" si="7"/>
        <v>510</v>
      </c>
      <c r="U20" s="10">
        <f t="shared" si="4"/>
        <v>0.3474114441416894</v>
      </c>
      <c r="V20" s="4">
        <f t="shared" si="2"/>
        <v>11</v>
      </c>
      <c r="W20" s="5">
        <f t="shared" si="8"/>
        <v>161</v>
      </c>
      <c r="X20" s="3">
        <f t="shared" si="5"/>
        <v>0.10967302452316076</v>
      </c>
    </row>
    <row r="21" spans="2:24" ht="18">
      <c r="B21" s="59">
        <v>3</v>
      </c>
      <c r="C21" s="59">
        <v>1</v>
      </c>
      <c r="D21" s="59">
        <v>3</v>
      </c>
      <c r="E21" s="59">
        <v>12</v>
      </c>
      <c r="F21" s="59">
        <v>15</v>
      </c>
      <c r="G21" s="60">
        <v>8</v>
      </c>
      <c r="M21" s="23">
        <v>1</v>
      </c>
      <c r="N21" s="120">
        <v>4.1666666666666664E-2</v>
      </c>
      <c r="O21" s="2">
        <v>12</v>
      </c>
      <c r="P21" s="4">
        <f t="shared" si="0"/>
        <v>97</v>
      </c>
      <c r="Q21" s="5">
        <f t="shared" si="6"/>
        <v>894</v>
      </c>
      <c r="R21" s="10">
        <f t="shared" si="3"/>
        <v>0.53725961538461542</v>
      </c>
      <c r="S21" s="4">
        <f t="shared" si="1"/>
        <v>71</v>
      </c>
      <c r="T21" s="5">
        <f t="shared" si="7"/>
        <v>581</v>
      </c>
      <c r="U21" s="10">
        <f t="shared" si="4"/>
        <v>0.34915865384615385</v>
      </c>
      <c r="V21" s="4">
        <f t="shared" si="2"/>
        <v>28</v>
      </c>
      <c r="W21" s="5">
        <f t="shared" si="8"/>
        <v>189</v>
      </c>
      <c r="X21" s="3">
        <f t="shared" si="5"/>
        <v>0.11358173076923077</v>
      </c>
    </row>
    <row r="22" spans="2:24" ht="18">
      <c r="B22" s="59">
        <v>3</v>
      </c>
      <c r="C22" s="59">
        <v>10</v>
      </c>
      <c r="D22" s="59">
        <v>3</v>
      </c>
      <c r="E22" s="59">
        <v>21</v>
      </c>
      <c r="F22" s="59">
        <v>14</v>
      </c>
      <c r="G22" s="60">
        <v>2</v>
      </c>
      <c r="M22" s="23">
        <v>1</v>
      </c>
      <c r="N22" s="120">
        <v>6.25E-2</v>
      </c>
      <c r="O22" s="2">
        <v>13</v>
      </c>
      <c r="P22" s="4">
        <f t="shared" si="0"/>
        <v>74</v>
      </c>
      <c r="Q22" s="5">
        <f t="shared" si="6"/>
        <v>968</v>
      </c>
      <c r="R22" s="10">
        <f t="shared" si="3"/>
        <v>0.53837597330367071</v>
      </c>
      <c r="S22" s="4">
        <f t="shared" si="1"/>
        <v>47</v>
      </c>
      <c r="T22" s="5">
        <f t="shared" si="7"/>
        <v>628</v>
      </c>
      <c r="U22" s="10">
        <f t="shared" si="4"/>
        <v>0.34927697441601779</v>
      </c>
      <c r="V22" s="4">
        <f t="shared" si="2"/>
        <v>13</v>
      </c>
      <c r="W22" s="5">
        <f t="shared" si="8"/>
        <v>202</v>
      </c>
      <c r="X22" s="3">
        <f t="shared" si="5"/>
        <v>0.11234705228031146</v>
      </c>
    </row>
    <row r="23" spans="2:24" ht="18">
      <c r="B23" s="59">
        <v>3</v>
      </c>
      <c r="C23" s="59">
        <v>2</v>
      </c>
      <c r="D23" s="59">
        <v>4</v>
      </c>
      <c r="E23" s="59">
        <v>8</v>
      </c>
      <c r="F23" s="59">
        <v>4</v>
      </c>
      <c r="G23" s="60">
        <v>3</v>
      </c>
      <c r="M23" s="23">
        <v>1</v>
      </c>
      <c r="N23" s="120">
        <v>8.3333333333333329E-2</v>
      </c>
      <c r="O23" s="2">
        <v>14</v>
      </c>
      <c r="P23" s="4">
        <f t="shared" si="0"/>
        <v>61</v>
      </c>
      <c r="Q23" s="5">
        <f t="shared" si="6"/>
        <v>1029</v>
      </c>
      <c r="R23" s="10">
        <f t="shared" si="3"/>
        <v>0.53426791277258567</v>
      </c>
      <c r="S23" s="4">
        <f t="shared" si="1"/>
        <v>40</v>
      </c>
      <c r="T23" s="5">
        <f t="shared" si="7"/>
        <v>668</v>
      </c>
      <c r="U23" s="10">
        <f t="shared" si="4"/>
        <v>0.34683281412253375</v>
      </c>
      <c r="V23" s="4">
        <f t="shared" si="2"/>
        <v>27</v>
      </c>
      <c r="W23" s="5">
        <f t="shared" si="8"/>
        <v>229</v>
      </c>
      <c r="X23" s="3">
        <f t="shared" si="5"/>
        <v>0.11889927310488058</v>
      </c>
    </row>
    <row r="24" spans="2:24" ht="18">
      <c r="B24" s="59">
        <v>3</v>
      </c>
      <c r="C24" s="59">
        <v>2</v>
      </c>
      <c r="D24" s="59">
        <v>5</v>
      </c>
      <c r="E24" s="59">
        <v>5</v>
      </c>
      <c r="F24" s="59">
        <v>3</v>
      </c>
      <c r="G24" s="60">
        <v>6</v>
      </c>
      <c r="M24" s="23">
        <v>1</v>
      </c>
      <c r="N24" s="120">
        <v>0.104166666666667</v>
      </c>
      <c r="O24" s="2">
        <v>15</v>
      </c>
      <c r="P24" s="4">
        <f t="shared" si="0"/>
        <v>35</v>
      </c>
      <c r="Q24" s="5">
        <f t="shared" si="6"/>
        <v>1064</v>
      </c>
      <c r="R24" s="10">
        <f t="shared" si="3"/>
        <v>0.52909000497265046</v>
      </c>
      <c r="S24" s="4">
        <f t="shared" si="1"/>
        <v>32</v>
      </c>
      <c r="T24" s="5">
        <f t="shared" si="7"/>
        <v>700</v>
      </c>
      <c r="U24" s="10">
        <f t="shared" si="4"/>
        <v>0.34808552958727002</v>
      </c>
      <c r="V24" s="4">
        <f t="shared" si="2"/>
        <v>18</v>
      </c>
      <c r="W24" s="5">
        <f t="shared" si="8"/>
        <v>247</v>
      </c>
      <c r="X24" s="3">
        <f t="shared" si="5"/>
        <v>0.12282446544007956</v>
      </c>
    </row>
    <row r="25" spans="2:24" ht="18">
      <c r="B25" s="59">
        <v>3</v>
      </c>
      <c r="C25" s="59">
        <v>4</v>
      </c>
      <c r="D25" s="59">
        <v>5</v>
      </c>
      <c r="E25" s="59">
        <v>19</v>
      </c>
      <c r="F25" s="59">
        <v>6</v>
      </c>
      <c r="G25" s="60">
        <v>0</v>
      </c>
      <c r="M25" s="23">
        <v>1</v>
      </c>
      <c r="N25" s="120">
        <v>0.125</v>
      </c>
      <c r="O25" s="2">
        <v>16</v>
      </c>
      <c r="P25" s="4">
        <f t="shared" si="0"/>
        <v>17</v>
      </c>
      <c r="Q25" s="5">
        <f t="shared" si="6"/>
        <v>1081</v>
      </c>
      <c r="R25" s="10">
        <f t="shared" si="3"/>
        <v>0.53042198233562321</v>
      </c>
      <c r="S25" s="4">
        <f t="shared" si="1"/>
        <v>9</v>
      </c>
      <c r="T25" s="5">
        <f t="shared" si="7"/>
        <v>709</v>
      </c>
      <c r="U25" s="10">
        <f t="shared" si="4"/>
        <v>0.34789008832188423</v>
      </c>
      <c r="V25" s="4">
        <f t="shared" si="2"/>
        <v>1</v>
      </c>
      <c r="W25" s="5">
        <f t="shared" si="8"/>
        <v>248</v>
      </c>
      <c r="X25" s="3">
        <f t="shared" si="5"/>
        <v>0.12168792934249265</v>
      </c>
    </row>
    <row r="26" spans="2:24" ht="18">
      <c r="B26" s="59">
        <v>3</v>
      </c>
      <c r="C26" s="59">
        <v>7</v>
      </c>
      <c r="D26" s="59">
        <v>2</v>
      </c>
      <c r="E26" s="59">
        <v>12</v>
      </c>
      <c r="F26" s="59">
        <v>8</v>
      </c>
      <c r="G26" s="60">
        <v>2</v>
      </c>
      <c r="M26" s="23">
        <v>1</v>
      </c>
      <c r="N26" s="120">
        <v>0.14583333333333301</v>
      </c>
      <c r="O26" s="2">
        <v>17</v>
      </c>
      <c r="P26" s="4">
        <f t="shared" si="0"/>
        <v>0</v>
      </c>
      <c r="Q26" s="5">
        <f t="shared" si="6"/>
        <v>1081</v>
      </c>
      <c r="R26" s="10" t="e">
        <f t="shared" si="3"/>
        <v>#N/A</v>
      </c>
      <c r="S26" s="4">
        <f t="shared" si="1"/>
        <v>0</v>
      </c>
      <c r="T26" s="5">
        <f t="shared" si="7"/>
        <v>709</v>
      </c>
      <c r="U26" s="10" t="e">
        <f t="shared" si="4"/>
        <v>#N/A</v>
      </c>
      <c r="V26" s="4">
        <f t="shared" si="2"/>
        <v>0</v>
      </c>
      <c r="W26" s="5">
        <f t="shared" si="8"/>
        <v>248</v>
      </c>
      <c r="X26" s="3" t="e">
        <f t="shared" si="5"/>
        <v>#N/A</v>
      </c>
    </row>
    <row r="27" spans="2:24" ht="18">
      <c r="B27" s="59">
        <v>3</v>
      </c>
      <c r="C27" s="59">
        <v>7</v>
      </c>
      <c r="D27" s="59">
        <v>4</v>
      </c>
      <c r="E27" s="59">
        <v>6</v>
      </c>
      <c r="F27" s="59">
        <v>10</v>
      </c>
      <c r="G27" s="60">
        <v>3</v>
      </c>
      <c r="M27" s="23">
        <v>1</v>
      </c>
      <c r="N27" s="120">
        <v>0.16666666666666599</v>
      </c>
      <c r="O27" s="2">
        <v>18</v>
      </c>
      <c r="P27" s="4">
        <f t="shared" si="0"/>
        <v>0</v>
      </c>
      <c r="Q27" s="5">
        <f t="shared" si="6"/>
        <v>1081</v>
      </c>
      <c r="R27" s="10" t="e">
        <f t="shared" si="3"/>
        <v>#N/A</v>
      </c>
      <c r="S27" s="4">
        <f t="shared" si="1"/>
        <v>0</v>
      </c>
      <c r="T27" s="5">
        <f t="shared" si="7"/>
        <v>709</v>
      </c>
      <c r="U27" s="10" t="e">
        <f t="shared" si="4"/>
        <v>#N/A</v>
      </c>
      <c r="V27" s="4">
        <f t="shared" si="2"/>
        <v>0</v>
      </c>
      <c r="W27" s="5">
        <f t="shared" si="8"/>
        <v>248</v>
      </c>
      <c r="X27" s="3" t="e">
        <f t="shared" si="5"/>
        <v>#N/A</v>
      </c>
    </row>
    <row r="28" spans="2:24" ht="18">
      <c r="B28" s="59">
        <v>3</v>
      </c>
      <c r="C28" s="59">
        <v>7</v>
      </c>
      <c r="D28" s="59">
        <v>3</v>
      </c>
      <c r="E28" s="59">
        <v>8</v>
      </c>
      <c r="F28" s="59">
        <v>7</v>
      </c>
      <c r="G28" s="60">
        <v>1</v>
      </c>
      <c r="M28" s="23">
        <v>1</v>
      </c>
      <c r="N28" s="120">
        <v>0.187499999999999</v>
      </c>
      <c r="O28" s="2">
        <v>19</v>
      </c>
      <c r="P28" s="4">
        <f t="shared" si="0"/>
        <v>0</v>
      </c>
      <c r="Q28" s="5">
        <f t="shared" si="6"/>
        <v>1081</v>
      </c>
      <c r="R28" s="10" t="e">
        <f t="shared" si="3"/>
        <v>#N/A</v>
      </c>
      <c r="S28" s="4">
        <f t="shared" si="1"/>
        <v>0</v>
      </c>
      <c r="T28" s="5">
        <f t="shared" si="7"/>
        <v>709</v>
      </c>
      <c r="U28" s="10" t="e">
        <f t="shared" si="4"/>
        <v>#N/A</v>
      </c>
      <c r="V28" s="4">
        <f t="shared" si="2"/>
        <v>0</v>
      </c>
      <c r="W28" s="5">
        <f t="shared" si="8"/>
        <v>248</v>
      </c>
      <c r="X28" s="3" t="e">
        <f t="shared" si="5"/>
        <v>#N/A</v>
      </c>
    </row>
    <row r="29" spans="2:24" ht="18.75" thickBot="1">
      <c r="B29" s="59">
        <v>3</v>
      </c>
      <c r="C29" s="59">
        <v>5</v>
      </c>
      <c r="D29" s="59">
        <v>5</v>
      </c>
      <c r="E29" s="59">
        <v>19</v>
      </c>
      <c r="F29" s="59">
        <v>6</v>
      </c>
      <c r="G29" s="60">
        <v>0</v>
      </c>
      <c r="M29" s="23">
        <v>1</v>
      </c>
      <c r="N29" s="120">
        <v>0.20833333333333201</v>
      </c>
      <c r="O29" s="2">
        <v>20</v>
      </c>
      <c r="P29" s="7">
        <f t="shared" si="0"/>
        <v>0</v>
      </c>
      <c r="Q29" s="8">
        <f t="shared" si="6"/>
        <v>1081</v>
      </c>
      <c r="R29" s="11" t="e">
        <f t="shared" si="3"/>
        <v>#N/A</v>
      </c>
      <c r="S29" s="7">
        <f t="shared" si="1"/>
        <v>0</v>
      </c>
      <c r="T29" s="8">
        <f t="shared" si="7"/>
        <v>709</v>
      </c>
      <c r="U29" s="11" t="e">
        <f t="shared" si="4"/>
        <v>#N/A</v>
      </c>
      <c r="V29" s="7">
        <f t="shared" si="2"/>
        <v>0</v>
      </c>
      <c r="W29" s="8">
        <f t="shared" si="8"/>
        <v>248</v>
      </c>
      <c r="X29" s="9" t="e">
        <f t="shared" si="5"/>
        <v>#N/A</v>
      </c>
    </row>
    <row r="30" spans="2:24" ht="18">
      <c r="B30" s="59">
        <v>3</v>
      </c>
      <c r="C30" s="59">
        <v>8</v>
      </c>
      <c r="D30" s="59">
        <v>7</v>
      </c>
      <c r="E30" s="59">
        <v>9</v>
      </c>
      <c r="F30" s="59">
        <v>5</v>
      </c>
      <c r="G30" s="60">
        <v>2</v>
      </c>
      <c r="M30" s="23">
        <v>1</v>
      </c>
    </row>
    <row r="31" spans="2:24" ht="18">
      <c r="B31" s="59">
        <v>3</v>
      </c>
      <c r="C31" s="59">
        <v>8</v>
      </c>
      <c r="D31" s="59">
        <v>6</v>
      </c>
      <c r="E31" s="59">
        <v>9</v>
      </c>
      <c r="F31" s="59">
        <v>3</v>
      </c>
      <c r="G31" s="60">
        <v>5</v>
      </c>
      <c r="M31" s="23">
        <v>1</v>
      </c>
    </row>
    <row r="32" spans="2:24" ht="18">
      <c r="B32" s="59">
        <v>3</v>
      </c>
      <c r="C32" s="59">
        <v>8</v>
      </c>
      <c r="D32" s="59">
        <v>5</v>
      </c>
      <c r="E32" s="59">
        <v>10</v>
      </c>
      <c r="F32" s="59">
        <v>3</v>
      </c>
      <c r="G32" s="60">
        <v>3</v>
      </c>
      <c r="M32" s="23">
        <v>1</v>
      </c>
      <c r="O32" s="23">
        <v>1</v>
      </c>
    </row>
    <row r="33" spans="2:15" ht="18">
      <c r="B33" s="59">
        <v>3</v>
      </c>
      <c r="C33" s="59">
        <v>10</v>
      </c>
      <c r="D33" s="59">
        <v>5</v>
      </c>
      <c r="E33" s="59">
        <v>21</v>
      </c>
      <c r="F33" s="59">
        <v>14</v>
      </c>
      <c r="G33" s="60">
        <v>5</v>
      </c>
      <c r="M33" s="23">
        <v>1</v>
      </c>
      <c r="O33" s="23">
        <v>2</v>
      </c>
    </row>
    <row r="34" spans="2:15" ht="18">
      <c r="B34" s="59">
        <v>3</v>
      </c>
      <c r="C34" s="59">
        <v>10</v>
      </c>
      <c r="D34" s="59">
        <v>6</v>
      </c>
      <c r="E34" s="59">
        <v>17</v>
      </c>
      <c r="F34" s="59">
        <v>8</v>
      </c>
      <c r="G34" s="60">
        <v>4</v>
      </c>
      <c r="M34" s="23">
        <v>1</v>
      </c>
      <c r="O34" s="23">
        <v>3</v>
      </c>
    </row>
    <row r="35" spans="2:15" ht="18">
      <c r="B35" s="59">
        <v>3</v>
      </c>
      <c r="C35" s="59">
        <v>10</v>
      </c>
      <c r="D35" s="59">
        <v>7</v>
      </c>
      <c r="E35" s="59">
        <v>11</v>
      </c>
      <c r="F35" s="59">
        <v>12</v>
      </c>
      <c r="G35" s="60">
        <v>3</v>
      </c>
      <c r="M35" s="23">
        <v>1</v>
      </c>
      <c r="O35" s="23">
        <v>4</v>
      </c>
    </row>
    <row r="36" spans="2:15" ht="18">
      <c r="B36" s="59">
        <v>3</v>
      </c>
      <c r="C36" s="59">
        <v>9</v>
      </c>
      <c r="D36" s="59">
        <v>2</v>
      </c>
      <c r="E36" s="59">
        <v>2</v>
      </c>
      <c r="F36" s="59">
        <v>1</v>
      </c>
      <c r="G36" s="60">
        <v>0</v>
      </c>
      <c r="M36" s="23">
        <v>1</v>
      </c>
      <c r="O36" s="23">
        <v>5</v>
      </c>
    </row>
    <row r="37" spans="2:15" ht="18">
      <c r="B37" s="59">
        <v>3</v>
      </c>
      <c r="C37" s="59">
        <v>9</v>
      </c>
      <c r="D37" s="59">
        <v>3</v>
      </c>
      <c r="E37" s="59">
        <v>7</v>
      </c>
      <c r="F37" s="59">
        <v>3</v>
      </c>
      <c r="G37" s="60">
        <v>1</v>
      </c>
      <c r="M37" s="23">
        <v>1</v>
      </c>
      <c r="O37" s="23">
        <v>6</v>
      </c>
    </row>
    <row r="38" spans="2:15" ht="18">
      <c r="B38" s="59">
        <v>3</v>
      </c>
      <c r="C38" s="59">
        <v>9</v>
      </c>
      <c r="D38" s="59">
        <v>4</v>
      </c>
      <c r="E38" s="59">
        <v>10</v>
      </c>
      <c r="F38" s="59">
        <v>6</v>
      </c>
      <c r="G38" s="60">
        <v>0</v>
      </c>
      <c r="M38" s="23">
        <v>1</v>
      </c>
      <c r="O38" s="23">
        <v>7</v>
      </c>
    </row>
    <row r="39" spans="2:15" ht="18">
      <c r="B39" s="59">
        <v>3</v>
      </c>
      <c r="C39" s="59">
        <v>9</v>
      </c>
      <c r="D39" s="59">
        <v>6</v>
      </c>
      <c r="E39" s="59">
        <v>16</v>
      </c>
      <c r="F39" s="59">
        <v>0</v>
      </c>
      <c r="G39" s="60">
        <v>2</v>
      </c>
      <c r="M39" s="23">
        <v>1</v>
      </c>
      <c r="O39" s="23">
        <v>8</v>
      </c>
    </row>
    <row r="40" spans="2:15" ht="18">
      <c r="B40" s="59">
        <v>3</v>
      </c>
      <c r="C40" s="59">
        <v>9</v>
      </c>
      <c r="D40" s="59">
        <v>7</v>
      </c>
      <c r="E40" s="59">
        <v>9</v>
      </c>
      <c r="F40" s="59">
        <v>0</v>
      </c>
      <c r="G40" s="60">
        <v>0</v>
      </c>
      <c r="M40" s="23">
        <v>1</v>
      </c>
      <c r="O40" s="23">
        <v>9</v>
      </c>
    </row>
    <row r="41" spans="2:15" ht="18">
      <c r="B41" s="59">
        <v>3</v>
      </c>
      <c r="C41" s="59">
        <v>4</v>
      </c>
      <c r="D41" s="59">
        <v>6</v>
      </c>
      <c r="E41" s="59">
        <v>16</v>
      </c>
      <c r="F41" s="59">
        <v>7</v>
      </c>
      <c r="G41" s="60">
        <v>2</v>
      </c>
      <c r="M41" s="23">
        <v>1</v>
      </c>
      <c r="O41" s="23">
        <v>10</v>
      </c>
    </row>
    <row r="42" spans="2:15" ht="18">
      <c r="B42" s="59">
        <v>3</v>
      </c>
      <c r="C42" s="59">
        <v>4</v>
      </c>
      <c r="D42" s="59">
        <v>7</v>
      </c>
      <c r="E42" s="59">
        <v>7</v>
      </c>
      <c r="F42" s="59">
        <v>17</v>
      </c>
      <c r="G42" s="60">
        <v>1</v>
      </c>
      <c r="M42" s="23">
        <v>1</v>
      </c>
      <c r="O42" s="23">
        <v>11</v>
      </c>
    </row>
    <row r="43" spans="2:15" ht="18">
      <c r="B43" s="59">
        <v>3</v>
      </c>
      <c r="C43" s="59">
        <v>5</v>
      </c>
      <c r="D43" s="59">
        <v>7</v>
      </c>
      <c r="E43" s="59">
        <v>22</v>
      </c>
      <c r="F43" s="59">
        <v>3</v>
      </c>
      <c r="G43" s="60">
        <v>0</v>
      </c>
      <c r="M43" s="23">
        <v>1</v>
      </c>
    </row>
    <row r="44" spans="2:15" ht="18">
      <c r="B44" s="59">
        <v>3</v>
      </c>
      <c r="C44" s="59">
        <v>5</v>
      </c>
      <c r="D44" s="59">
        <v>6</v>
      </c>
      <c r="E44" s="59">
        <v>17</v>
      </c>
      <c r="F44" s="59">
        <v>7</v>
      </c>
      <c r="G44" s="60">
        <v>1</v>
      </c>
      <c r="M44" s="23">
        <v>1</v>
      </c>
    </row>
    <row r="45" spans="2:15" ht="18">
      <c r="B45" s="59">
        <v>3</v>
      </c>
      <c r="C45" s="59">
        <v>7</v>
      </c>
      <c r="D45" s="59">
        <v>7</v>
      </c>
      <c r="E45" s="59">
        <v>4</v>
      </c>
      <c r="F45" s="59">
        <v>3</v>
      </c>
      <c r="G45" s="60">
        <v>1</v>
      </c>
      <c r="M45" s="23">
        <v>1</v>
      </c>
    </row>
    <row r="46" spans="2:15" ht="18">
      <c r="B46" s="59">
        <v>3</v>
      </c>
      <c r="C46" s="59">
        <v>7</v>
      </c>
      <c r="D46" s="59">
        <v>6</v>
      </c>
      <c r="E46" s="59">
        <v>7</v>
      </c>
      <c r="F46" s="59">
        <v>4</v>
      </c>
      <c r="G46" s="60">
        <v>3</v>
      </c>
      <c r="M46" s="23">
        <v>1</v>
      </c>
    </row>
    <row r="47" spans="2:15" ht="18">
      <c r="B47" s="59">
        <v>3</v>
      </c>
      <c r="C47" s="59">
        <v>10</v>
      </c>
      <c r="D47" s="59">
        <v>9</v>
      </c>
      <c r="E47" s="59">
        <v>18</v>
      </c>
      <c r="F47" s="59">
        <v>10</v>
      </c>
      <c r="G47" s="60">
        <v>1</v>
      </c>
      <c r="M47" s="23">
        <v>1</v>
      </c>
    </row>
    <row r="48" spans="2:15" ht="18">
      <c r="B48" s="59">
        <v>3</v>
      </c>
      <c r="C48" s="59">
        <v>10</v>
      </c>
      <c r="D48" s="59">
        <v>8</v>
      </c>
      <c r="E48" s="59">
        <v>11</v>
      </c>
      <c r="F48" s="59">
        <v>10</v>
      </c>
      <c r="G48" s="60">
        <v>1</v>
      </c>
      <c r="M48" s="23">
        <v>1</v>
      </c>
    </row>
    <row r="49" spans="2:13" ht="18">
      <c r="B49" s="59">
        <v>3</v>
      </c>
      <c r="C49" s="59">
        <v>7</v>
      </c>
      <c r="D49" s="59">
        <v>8</v>
      </c>
      <c r="E49" s="59">
        <v>21</v>
      </c>
      <c r="F49" s="59">
        <v>3</v>
      </c>
      <c r="G49" s="60">
        <v>3</v>
      </c>
      <c r="M49" s="23">
        <v>1</v>
      </c>
    </row>
    <row r="50" spans="2:13" ht="18">
      <c r="B50" s="59">
        <v>3</v>
      </c>
      <c r="C50" s="59">
        <v>7</v>
      </c>
      <c r="D50" s="59">
        <v>9</v>
      </c>
      <c r="E50" s="59">
        <v>12</v>
      </c>
      <c r="F50" s="59">
        <v>3</v>
      </c>
      <c r="G50" s="60">
        <v>5</v>
      </c>
      <c r="M50" s="23">
        <v>1</v>
      </c>
    </row>
    <row r="51" spans="2:13" ht="18">
      <c r="B51" s="59">
        <v>3</v>
      </c>
      <c r="C51" s="59">
        <v>8</v>
      </c>
      <c r="D51" s="59">
        <v>8</v>
      </c>
      <c r="E51" s="59">
        <v>16</v>
      </c>
      <c r="F51" s="59">
        <v>3</v>
      </c>
      <c r="G51" s="60">
        <v>3</v>
      </c>
      <c r="M51" s="23">
        <v>1</v>
      </c>
    </row>
    <row r="52" spans="2:13" ht="18">
      <c r="B52" s="59">
        <v>3</v>
      </c>
      <c r="C52" s="59">
        <v>8</v>
      </c>
      <c r="D52" s="59">
        <v>9</v>
      </c>
      <c r="E52" s="59">
        <v>12</v>
      </c>
      <c r="F52" s="59">
        <v>0</v>
      </c>
      <c r="G52" s="60">
        <v>1</v>
      </c>
      <c r="M52" s="23">
        <v>1</v>
      </c>
    </row>
    <row r="53" spans="2:13" ht="18">
      <c r="B53" s="59">
        <v>3</v>
      </c>
      <c r="C53" s="59">
        <v>8</v>
      </c>
      <c r="D53" s="59">
        <v>10</v>
      </c>
      <c r="E53" s="59">
        <v>19</v>
      </c>
      <c r="F53" s="59">
        <v>3</v>
      </c>
      <c r="G53" s="60">
        <v>0</v>
      </c>
      <c r="M53" s="23">
        <v>1</v>
      </c>
    </row>
    <row r="54" spans="2:13" ht="18">
      <c r="B54" s="59">
        <v>3</v>
      </c>
      <c r="C54" s="59">
        <v>8</v>
      </c>
      <c r="D54" s="59">
        <v>11</v>
      </c>
      <c r="E54" s="59">
        <v>13</v>
      </c>
      <c r="F54" s="59">
        <v>1</v>
      </c>
      <c r="G54" s="60">
        <v>2</v>
      </c>
      <c r="M54" s="23">
        <v>1</v>
      </c>
    </row>
    <row r="55" spans="2:13" ht="18">
      <c r="B55" s="59">
        <v>3</v>
      </c>
      <c r="C55" s="59">
        <v>1</v>
      </c>
      <c r="D55" s="59">
        <v>8</v>
      </c>
      <c r="E55" s="59">
        <v>5</v>
      </c>
      <c r="F55" s="59">
        <v>4</v>
      </c>
      <c r="G55" s="60">
        <v>1</v>
      </c>
      <c r="M55" s="23">
        <v>1</v>
      </c>
    </row>
    <row r="56" spans="2:13" ht="18">
      <c r="B56" s="59">
        <v>3</v>
      </c>
      <c r="C56" s="59">
        <v>1</v>
      </c>
      <c r="D56" s="59">
        <v>9</v>
      </c>
      <c r="E56" s="59">
        <v>5</v>
      </c>
      <c r="F56" s="59">
        <v>3</v>
      </c>
      <c r="G56" s="60">
        <v>0</v>
      </c>
      <c r="M56" s="23">
        <v>1</v>
      </c>
    </row>
    <row r="57" spans="2:13" ht="18">
      <c r="B57" s="59">
        <v>3</v>
      </c>
      <c r="C57" s="59">
        <v>1</v>
      </c>
      <c r="D57" s="59">
        <v>10</v>
      </c>
      <c r="E57" s="59">
        <v>3</v>
      </c>
      <c r="F57" s="59">
        <v>7</v>
      </c>
      <c r="G57" s="60">
        <v>0</v>
      </c>
      <c r="M57" s="23">
        <v>1</v>
      </c>
    </row>
    <row r="58" spans="2:13" ht="18">
      <c r="B58" s="59">
        <v>3</v>
      </c>
      <c r="C58" s="59">
        <v>2</v>
      </c>
      <c r="D58" s="59">
        <v>8</v>
      </c>
      <c r="E58" s="59">
        <v>7</v>
      </c>
      <c r="F58" s="59">
        <v>12</v>
      </c>
      <c r="G58" s="60">
        <v>3</v>
      </c>
      <c r="M58" s="23">
        <v>1</v>
      </c>
    </row>
    <row r="59" spans="2:13" ht="18">
      <c r="B59" s="59">
        <v>3</v>
      </c>
      <c r="C59" s="59">
        <v>2</v>
      </c>
      <c r="D59" s="59">
        <v>9</v>
      </c>
      <c r="E59" s="59">
        <v>14</v>
      </c>
      <c r="F59" s="59">
        <v>16</v>
      </c>
      <c r="G59" s="60">
        <v>3</v>
      </c>
      <c r="M59" s="23">
        <v>1</v>
      </c>
    </row>
    <row r="60" spans="2:13" ht="18">
      <c r="B60" s="59">
        <v>3</v>
      </c>
      <c r="C60" s="59">
        <v>2</v>
      </c>
      <c r="D60" s="59">
        <v>10</v>
      </c>
      <c r="E60" s="59">
        <v>12</v>
      </c>
      <c r="F60" s="59">
        <v>11</v>
      </c>
      <c r="G60" s="60">
        <v>2</v>
      </c>
      <c r="M60" s="23">
        <v>1</v>
      </c>
    </row>
    <row r="61" spans="2:13" ht="18">
      <c r="B61" s="59">
        <v>3</v>
      </c>
      <c r="C61" s="59">
        <v>2</v>
      </c>
      <c r="D61" s="59">
        <v>11</v>
      </c>
      <c r="E61" s="59">
        <v>7</v>
      </c>
      <c r="F61" s="59">
        <v>16</v>
      </c>
      <c r="G61" s="60">
        <v>4</v>
      </c>
      <c r="M61" s="23">
        <v>1</v>
      </c>
    </row>
    <row r="62" spans="2:13" ht="18">
      <c r="B62" s="59">
        <v>3</v>
      </c>
      <c r="C62" s="59">
        <v>5</v>
      </c>
      <c r="D62" s="59">
        <v>9</v>
      </c>
      <c r="E62" s="59">
        <v>16</v>
      </c>
      <c r="F62" s="59">
        <v>8</v>
      </c>
      <c r="G62" s="60">
        <v>1</v>
      </c>
      <c r="M62" s="23">
        <v>1</v>
      </c>
    </row>
    <row r="63" spans="2:13" ht="18">
      <c r="B63" s="59">
        <v>3</v>
      </c>
      <c r="C63" s="59">
        <v>5</v>
      </c>
      <c r="D63" s="59">
        <v>8</v>
      </c>
      <c r="E63" s="59">
        <v>20</v>
      </c>
      <c r="F63" s="59">
        <v>5</v>
      </c>
      <c r="G63" s="60">
        <v>0</v>
      </c>
      <c r="M63" s="23">
        <v>1</v>
      </c>
    </row>
    <row r="64" spans="2:13" ht="18">
      <c r="B64" s="59">
        <v>3</v>
      </c>
      <c r="C64" s="59">
        <v>4</v>
      </c>
      <c r="D64" s="59">
        <v>8</v>
      </c>
      <c r="E64" s="59">
        <v>9</v>
      </c>
      <c r="F64" s="59">
        <v>13</v>
      </c>
      <c r="G64" s="60">
        <v>3</v>
      </c>
      <c r="M64" s="23">
        <v>1</v>
      </c>
    </row>
    <row r="65" spans="2:13" ht="18">
      <c r="B65" s="59">
        <v>3</v>
      </c>
      <c r="C65" s="59">
        <v>4</v>
      </c>
      <c r="D65" s="59">
        <v>9</v>
      </c>
      <c r="E65" s="59">
        <v>9</v>
      </c>
      <c r="F65" s="59">
        <v>8</v>
      </c>
      <c r="G65" s="60">
        <v>4</v>
      </c>
      <c r="M65" s="23">
        <v>1</v>
      </c>
    </row>
    <row r="66" spans="2:13" ht="18">
      <c r="B66" s="59">
        <v>3</v>
      </c>
      <c r="C66" s="59">
        <v>4</v>
      </c>
      <c r="D66" s="59">
        <v>10</v>
      </c>
      <c r="E66" s="59">
        <v>9</v>
      </c>
      <c r="F66" s="59">
        <v>11</v>
      </c>
      <c r="G66" s="60">
        <v>5</v>
      </c>
      <c r="M66" s="23">
        <v>1</v>
      </c>
    </row>
    <row r="67" spans="2:13" ht="18">
      <c r="B67" s="59">
        <v>3</v>
      </c>
      <c r="C67" s="59">
        <v>4</v>
      </c>
      <c r="D67" s="59">
        <v>11</v>
      </c>
      <c r="E67" s="59">
        <v>8</v>
      </c>
      <c r="F67" s="59">
        <v>14</v>
      </c>
      <c r="G67" s="60">
        <v>0</v>
      </c>
      <c r="M67" s="23">
        <v>1</v>
      </c>
    </row>
    <row r="68" spans="2:13" ht="18">
      <c r="B68" s="59">
        <v>3</v>
      </c>
      <c r="C68" s="59">
        <v>5</v>
      </c>
      <c r="D68" s="59">
        <v>10</v>
      </c>
      <c r="E68" s="59">
        <v>22</v>
      </c>
      <c r="F68" s="59">
        <v>3</v>
      </c>
      <c r="G68" s="60">
        <v>0</v>
      </c>
      <c r="M68" s="23">
        <v>1</v>
      </c>
    </row>
    <row r="69" spans="2:13" ht="18">
      <c r="B69" s="59">
        <v>3</v>
      </c>
      <c r="C69" s="59">
        <v>9</v>
      </c>
      <c r="D69" s="59">
        <v>8</v>
      </c>
      <c r="E69" s="59">
        <v>5</v>
      </c>
      <c r="F69" s="59">
        <v>7</v>
      </c>
      <c r="G69" s="60">
        <v>5</v>
      </c>
      <c r="M69" s="23">
        <v>1</v>
      </c>
    </row>
    <row r="70" spans="2:13" ht="18">
      <c r="B70" s="59">
        <v>3</v>
      </c>
      <c r="C70" s="59">
        <v>9</v>
      </c>
      <c r="D70" s="59">
        <v>9</v>
      </c>
      <c r="E70" s="59">
        <v>12</v>
      </c>
      <c r="F70" s="59">
        <v>8</v>
      </c>
      <c r="G70" s="60">
        <v>3</v>
      </c>
      <c r="M70" s="23">
        <v>1</v>
      </c>
    </row>
    <row r="71" spans="2:13" ht="18">
      <c r="B71" s="59">
        <v>3</v>
      </c>
      <c r="C71" s="59">
        <v>9</v>
      </c>
      <c r="D71" s="59">
        <v>10</v>
      </c>
      <c r="E71" s="59">
        <v>10</v>
      </c>
      <c r="F71" s="59">
        <v>8</v>
      </c>
      <c r="G71" s="60">
        <v>2</v>
      </c>
      <c r="M71" s="23">
        <v>1</v>
      </c>
    </row>
    <row r="72" spans="2:13" ht="18">
      <c r="B72" s="59">
        <v>3</v>
      </c>
      <c r="C72" s="59">
        <v>9</v>
      </c>
      <c r="D72" s="59">
        <v>11</v>
      </c>
      <c r="E72" s="59">
        <v>7</v>
      </c>
      <c r="F72" s="59">
        <v>10</v>
      </c>
      <c r="G72" s="60">
        <v>2</v>
      </c>
      <c r="M72" s="23">
        <v>1</v>
      </c>
    </row>
    <row r="73" spans="2:13" ht="18">
      <c r="B73" s="59">
        <v>3</v>
      </c>
      <c r="C73" s="59">
        <v>9</v>
      </c>
      <c r="D73" s="59">
        <v>12</v>
      </c>
      <c r="E73" s="59">
        <v>12</v>
      </c>
      <c r="F73" s="59">
        <v>6</v>
      </c>
      <c r="G73" s="60">
        <v>5</v>
      </c>
      <c r="M73" s="23">
        <v>1</v>
      </c>
    </row>
    <row r="74" spans="2:13" ht="18">
      <c r="B74" s="59">
        <v>3</v>
      </c>
      <c r="C74" s="59">
        <v>10</v>
      </c>
      <c r="D74" s="59">
        <v>11</v>
      </c>
      <c r="E74" s="59">
        <v>15</v>
      </c>
      <c r="F74" s="59">
        <v>6</v>
      </c>
      <c r="G74" s="60">
        <v>1</v>
      </c>
      <c r="M74" s="23">
        <v>1</v>
      </c>
    </row>
    <row r="75" spans="2:13" ht="18">
      <c r="B75" s="59">
        <v>3</v>
      </c>
      <c r="C75" s="59">
        <v>10</v>
      </c>
      <c r="D75" s="59">
        <v>12</v>
      </c>
      <c r="E75" s="59">
        <v>7</v>
      </c>
      <c r="F75" s="59">
        <v>14</v>
      </c>
      <c r="G75" s="60">
        <v>2</v>
      </c>
      <c r="M75" s="23">
        <v>1</v>
      </c>
    </row>
    <row r="76" spans="2:13" ht="18">
      <c r="B76" s="59">
        <v>3</v>
      </c>
      <c r="C76" s="59">
        <v>10</v>
      </c>
      <c r="D76" s="59">
        <v>13</v>
      </c>
      <c r="E76" s="59">
        <v>10</v>
      </c>
      <c r="F76" s="59">
        <v>1</v>
      </c>
      <c r="G76" s="60">
        <v>2</v>
      </c>
      <c r="M76" s="23">
        <v>1</v>
      </c>
    </row>
    <row r="77" spans="2:13" ht="18">
      <c r="B77" s="59">
        <v>3</v>
      </c>
      <c r="C77" s="59">
        <v>7</v>
      </c>
      <c r="D77" s="59">
        <v>12</v>
      </c>
      <c r="E77" s="59">
        <v>6</v>
      </c>
      <c r="F77" s="59">
        <v>8</v>
      </c>
      <c r="G77" s="60">
        <v>4</v>
      </c>
      <c r="M77" s="23">
        <v>1</v>
      </c>
    </row>
    <row r="78" spans="2:13" ht="18">
      <c r="B78" s="59">
        <v>3</v>
      </c>
      <c r="C78" s="59">
        <v>7</v>
      </c>
      <c r="D78" s="59">
        <v>10</v>
      </c>
      <c r="E78" s="59">
        <v>5</v>
      </c>
      <c r="F78" s="59">
        <v>6</v>
      </c>
      <c r="G78" s="60">
        <v>2</v>
      </c>
      <c r="M78" s="23">
        <v>1</v>
      </c>
    </row>
    <row r="79" spans="2:13" ht="18">
      <c r="B79" s="59">
        <v>3</v>
      </c>
      <c r="C79" s="59">
        <v>7</v>
      </c>
      <c r="D79" s="59">
        <v>11</v>
      </c>
      <c r="E79" s="59">
        <v>6</v>
      </c>
      <c r="F79" s="59">
        <v>4</v>
      </c>
      <c r="G79" s="60">
        <v>0</v>
      </c>
      <c r="M79" s="23">
        <v>1</v>
      </c>
    </row>
    <row r="80" spans="2:13" ht="18">
      <c r="B80" s="59">
        <v>3</v>
      </c>
      <c r="C80" s="59">
        <v>8</v>
      </c>
      <c r="D80" s="59">
        <v>12</v>
      </c>
      <c r="E80" s="59">
        <v>22</v>
      </c>
      <c r="F80" s="59">
        <v>5</v>
      </c>
      <c r="G80" s="60">
        <v>4</v>
      </c>
      <c r="M80" s="23">
        <v>1</v>
      </c>
    </row>
    <row r="81" spans="2:13" ht="18">
      <c r="B81" s="59">
        <v>3</v>
      </c>
      <c r="C81" s="59">
        <v>8</v>
      </c>
      <c r="D81" s="59">
        <v>13</v>
      </c>
      <c r="E81" s="59">
        <v>14</v>
      </c>
      <c r="F81" s="59">
        <v>12</v>
      </c>
      <c r="G81" s="60">
        <v>5</v>
      </c>
      <c r="M81" s="23">
        <v>1</v>
      </c>
    </row>
    <row r="82" spans="2:13" ht="18">
      <c r="B82" s="59">
        <v>3</v>
      </c>
      <c r="C82" s="59">
        <v>1</v>
      </c>
      <c r="D82" s="59">
        <v>12</v>
      </c>
      <c r="E82" s="59">
        <v>6</v>
      </c>
      <c r="F82" s="59">
        <v>8</v>
      </c>
      <c r="G82" s="60">
        <v>1</v>
      </c>
      <c r="M82" s="23">
        <v>1</v>
      </c>
    </row>
    <row r="83" spans="2:13" ht="18">
      <c r="B83" s="59">
        <v>3</v>
      </c>
      <c r="C83" s="59">
        <v>1</v>
      </c>
      <c r="D83" s="59">
        <v>13</v>
      </c>
      <c r="E83" s="59">
        <v>10</v>
      </c>
      <c r="F83" s="59">
        <v>4</v>
      </c>
      <c r="G83" s="60">
        <v>3</v>
      </c>
      <c r="M83" s="23">
        <v>1</v>
      </c>
    </row>
    <row r="84" spans="2:13" ht="18">
      <c r="B84" s="59">
        <v>3</v>
      </c>
      <c r="C84" s="59">
        <v>1</v>
      </c>
      <c r="D84" s="59">
        <v>11</v>
      </c>
      <c r="E84" s="59">
        <v>8</v>
      </c>
      <c r="F84" s="59">
        <v>10</v>
      </c>
      <c r="G84" s="60">
        <v>2</v>
      </c>
      <c r="M84" s="23">
        <v>1</v>
      </c>
    </row>
    <row r="85" spans="2:13" ht="18">
      <c r="B85" s="59">
        <v>3</v>
      </c>
      <c r="C85" s="59">
        <v>2</v>
      </c>
      <c r="D85" s="59">
        <v>12</v>
      </c>
      <c r="E85" s="59">
        <v>9</v>
      </c>
      <c r="F85" s="59">
        <v>8</v>
      </c>
      <c r="G85" s="60">
        <v>1</v>
      </c>
      <c r="M85" s="23">
        <v>1</v>
      </c>
    </row>
    <row r="86" spans="2:13" ht="18">
      <c r="B86" s="59">
        <v>3</v>
      </c>
      <c r="C86" s="59">
        <v>2</v>
      </c>
      <c r="D86" s="59">
        <v>13</v>
      </c>
      <c r="E86" s="59">
        <v>12</v>
      </c>
      <c r="F86" s="59">
        <v>13</v>
      </c>
      <c r="G86" s="60">
        <v>0</v>
      </c>
      <c r="M86" s="23">
        <v>1</v>
      </c>
    </row>
    <row r="87" spans="2:13" ht="18">
      <c r="B87" s="59">
        <v>3</v>
      </c>
      <c r="C87" s="59">
        <v>2</v>
      </c>
      <c r="D87" s="59">
        <v>14</v>
      </c>
      <c r="E87" s="59">
        <v>10</v>
      </c>
      <c r="F87" s="59">
        <v>12</v>
      </c>
      <c r="G87" s="60">
        <v>1</v>
      </c>
      <c r="M87" s="23">
        <v>1</v>
      </c>
    </row>
    <row r="88" spans="2:13" ht="18">
      <c r="B88" s="59">
        <v>3</v>
      </c>
      <c r="C88" s="59">
        <v>4</v>
      </c>
      <c r="D88" s="59">
        <v>12</v>
      </c>
      <c r="E88" s="59">
        <v>15</v>
      </c>
      <c r="F88" s="59">
        <v>6</v>
      </c>
      <c r="G88" s="60">
        <v>4</v>
      </c>
      <c r="M88" s="23">
        <v>1</v>
      </c>
    </row>
    <row r="89" spans="2:13" ht="18">
      <c r="B89" s="59">
        <v>3</v>
      </c>
      <c r="C89" s="59">
        <v>4</v>
      </c>
      <c r="D89" s="59">
        <v>13</v>
      </c>
      <c r="E89" s="59">
        <v>15</v>
      </c>
      <c r="F89" s="59">
        <v>8</v>
      </c>
      <c r="G89" s="60">
        <v>2</v>
      </c>
      <c r="M89" s="23">
        <v>1</v>
      </c>
    </row>
    <row r="90" spans="2:13" ht="18">
      <c r="B90" s="59">
        <v>3</v>
      </c>
      <c r="C90" s="59">
        <v>4</v>
      </c>
      <c r="D90" s="59">
        <v>14</v>
      </c>
      <c r="E90" s="59">
        <v>9</v>
      </c>
      <c r="F90" s="59">
        <v>8</v>
      </c>
      <c r="G90" s="60">
        <v>8</v>
      </c>
      <c r="M90" s="23">
        <v>1</v>
      </c>
    </row>
    <row r="91" spans="2:13" ht="18">
      <c r="B91" s="59">
        <v>3</v>
      </c>
      <c r="C91" s="59">
        <v>5</v>
      </c>
      <c r="D91" s="59">
        <v>11</v>
      </c>
      <c r="E91" s="59">
        <v>22</v>
      </c>
      <c r="F91" s="59">
        <v>3</v>
      </c>
      <c r="G91" s="60">
        <v>0</v>
      </c>
      <c r="M91" s="23">
        <v>1</v>
      </c>
    </row>
    <row r="92" spans="2:13" ht="18">
      <c r="B92" s="59">
        <v>3</v>
      </c>
      <c r="C92" s="59">
        <v>5</v>
      </c>
      <c r="D92" s="59">
        <v>12</v>
      </c>
      <c r="E92" s="59">
        <v>14</v>
      </c>
      <c r="F92" s="59">
        <v>8</v>
      </c>
      <c r="G92" s="60">
        <v>3</v>
      </c>
      <c r="M92" s="23">
        <v>1</v>
      </c>
    </row>
    <row r="93" spans="2:13" ht="18">
      <c r="B93" s="59">
        <v>3</v>
      </c>
      <c r="C93" s="59">
        <v>7</v>
      </c>
      <c r="D93" s="59">
        <v>12</v>
      </c>
      <c r="E93" s="59">
        <v>6</v>
      </c>
      <c r="F93" s="59">
        <v>8</v>
      </c>
      <c r="G93" s="60">
        <v>4</v>
      </c>
      <c r="M93" s="23">
        <v>1</v>
      </c>
    </row>
    <row r="94" spans="2:13" ht="18">
      <c r="B94" s="59">
        <v>3</v>
      </c>
      <c r="C94" s="59">
        <v>7</v>
      </c>
      <c r="D94" s="59">
        <v>13</v>
      </c>
      <c r="E94" s="59">
        <v>7</v>
      </c>
      <c r="F94" s="59">
        <v>5</v>
      </c>
      <c r="G94" s="60">
        <v>0</v>
      </c>
      <c r="M94" s="23">
        <v>1</v>
      </c>
    </row>
    <row r="95" spans="2:13" ht="18">
      <c r="B95" s="59">
        <v>3</v>
      </c>
      <c r="C95" s="59">
        <v>8</v>
      </c>
      <c r="D95" s="59">
        <v>14</v>
      </c>
      <c r="E95" s="59">
        <v>16</v>
      </c>
      <c r="F95" s="59">
        <v>4</v>
      </c>
      <c r="G95" s="60">
        <v>3</v>
      </c>
      <c r="M95" s="23">
        <v>1</v>
      </c>
    </row>
    <row r="96" spans="2:13" ht="18">
      <c r="B96" s="59">
        <v>3</v>
      </c>
      <c r="C96" s="59">
        <v>8</v>
      </c>
      <c r="D96" s="59">
        <v>15</v>
      </c>
      <c r="E96" s="59">
        <v>6</v>
      </c>
      <c r="F96" s="59">
        <v>2</v>
      </c>
      <c r="G96" s="60">
        <v>5</v>
      </c>
      <c r="M96" s="23">
        <v>1</v>
      </c>
    </row>
    <row r="97" spans="2:13" ht="18">
      <c r="B97" s="59">
        <v>3</v>
      </c>
      <c r="C97" s="59">
        <v>1</v>
      </c>
      <c r="D97" s="59">
        <v>14</v>
      </c>
      <c r="E97" s="59">
        <v>7</v>
      </c>
      <c r="F97" s="59">
        <v>5</v>
      </c>
      <c r="G97" s="60">
        <v>4</v>
      </c>
      <c r="M97" s="23">
        <v>1</v>
      </c>
    </row>
    <row r="98" spans="2:13" ht="18">
      <c r="B98" s="59">
        <v>3</v>
      </c>
      <c r="C98" s="59">
        <v>1</v>
      </c>
      <c r="D98" s="59">
        <v>15</v>
      </c>
      <c r="E98" s="59">
        <v>4</v>
      </c>
      <c r="F98" s="59">
        <v>4</v>
      </c>
      <c r="G98" s="60">
        <v>1</v>
      </c>
      <c r="M98" s="23">
        <v>1</v>
      </c>
    </row>
    <row r="99" spans="2:13" ht="18">
      <c r="B99" s="59">
        <v>3</v>
      </c>
      <c r="C99" s="59">
        <v>4</v>
      </c>
      <c r="D99" s="59">
        <v>15</v>
      </c>
      <c r="E99" s="59">
        <v>8</v>
      </c>
      <c r="F99" s="59">
        <v>15</v>
      </c>
      <c r="G99" s="60">
        <v>2</v>
      </c>
      <c r="M99" s="23">
        <v>1</v>
      </c>
    </row>
    <row r="100" spans="2:13" ht="18">
      <c r="B100" s="59">
        <v>3</v>
      </c>
      <c r="C100" s="59">
        <v>10</v>
      </c>
      <c r="D100" s="59">
        <v>14</v>
      </c>
      <c r="E100" s="59">
        <v>10</v>
      </c>
      <c r="F100" s="59">
        <v>6</v>
      </c>
      <c r="G100" s="60">
        <v>7</v>
      </c>
      <c r="M100" s="23">
        <v>1</v>
      </c>
    </row>
    <row r="101" spans="2:13" ht="18">
      <c r="B101" s="59">
        <v>3</v>
      </c>
      <c r="C101" s="59">
        <v>10</v>
      </c>
      <c r="D101" s="59">
        <v>15</v>
      </c>
      <c r="E101" s="59">
        <v>14</v>
      </c>
      <c r="F101" s="59">
        <v>4</v>
      </c>
      <c r="G101" s="60">
        <v>5</v>
      </c>
      <c r="M101" s="23">
        <v>1</v>
      </c>
    </row>
    <row r="102" spans="2:13" ht="18">
      <c r="B102" s="59">
        <v>3</v>
      </c>
      <c r="C102" s="59">
        <v>10</v>
      </c>
      <c r="D102" s="59">
        <v>16</v>
      </c>
      <c r="E102" s="59">
        <v>8</v>
      </c>
      <c r="F102" s="59">
        <v>4</v>
      </c>
      <c r="G102" s="60">
        <v>1</v>
      </c>
      <c r="M102" s="23">
        <v>1</v>
      </c>
    </row>
    <row r="103" spans="2:13" ht="18">
      <c r="B103" s="59">
        <v>3</v>
      </c>
      <c r="C103" s="59">
        <v>7</v>
      </c>
      <c r="D103" s="59">
        <v>14</v>
      </c>
      <c r="E103" s="59">
        <v>9</v>
      </c>
      <c r="F103" s="59">
        <v>5</v>
      </c>
      <c r="G103" s="60">
        <v>4</v>
      </c>
      <c r="M103" s="23">
        <v>1</v>
      </c>
    </row>
    <row r="104" spans="2:13" ht="18">
      <c r="B104" s="59">
        <v>3</v>
      </c>
      <c r="C104" s="59">
        <v>7</v>
      </c>
      <c r="D104" s="59">
        <v>16</v>
      </c>
      <c r="E104" s="59">
        <v>9</v>
      </c>
      <c r="F104" s="59">
        <v>5</v>
      </c>
      <c r="G104" s="60">
        <v>0</v>
      </c>
      <c r="M104" s="23">
        <v>1</v>
      </c>
    </row>
    <row r="105" spans="2:13" ht="18">
      <c r="B105" s="59">
        <v>3</v>
      </c>
      <c r="C105" s="59">
        <v>7</v>
      </c>
      <c r="D105" s="59">
        <v>13</v>
      </c>
      <c r="E105" s="59">
        <v>6</v>
      </c>
      <c r="F105" s="59">
        <v>4</v>
      </c>
      <c r="G105" s="60">
        <v>1</v>
      </c>
      <c r="M105" s="23">
        <v>1</v>
      </c>
    </row>
    <row r="106" spans="2:13" ht="18">
      <c r="B106" s="59">
        <v>3</v>
      </c>
      <c r="C106" s="59">
        <v>7</v>
      </c>
      <c r="D106" s="59">
        <v>15</v>
      </c>
      <c r="E106" s="59">
        <v>3</v>
      </c>
      <c r="F106" s="59">
        <v>7</v>
      </c>
      <c r="G106" s="60">
        <v>5</v>
      </c>
      <c r="M106" s="23">
        <v>1</v>
      </c>
    </row>
    <row r="107" spans="2:13" ht="18">
      <c r="B107" s="59"/>
      <c r="C107" s="59"/>
      <c r="D107" s="59"/>
      <c r="E107" s="59"/>
      <c r="F107" s="59"/>
      <c r="G107" s="60"/>
      <c r="M107" s="23">
        <v>1</v>
      </c>
    </row>
    <row r="108" spans="2:13" ht="18">
      <c r="B108" s="59"/>
      <c r="C108" s="59"/>
      <c r="D108" s="59"/>
      <c r="E108" s="59"/>
      <c r="F108" s="59"/>
      <c r="G108" s="60"/>
      <c r="M108" s="23">
        <v>1</v>
      </c>
    </row>
    <row r="109" spans="2:13" ht="18">
      <c r="B109" s="59"/>
      <c r="C109" s="59"/>
      <c r="D109" s="59"/>
      <c r="E109" s="59"/>
      <c r="F109" s="59"/>
      <c r="G109" s="60"/>
      <c r="M109" s="23">
        <v>1</v>
      </c>
    </row>
    <row r="110" spans="2:13" ht="18">
      <c r="B110" s="59"/>
      <c r="C110" s="59"/>
      <c r="D110" s="59"/>
      <c r="E110" s="59"/>
      <c r="F110" s="59"/>
      <c r="G110" s="60"/>
      <c r="M110" s="23">
        <v>1</v>
      </c>
    </row>
    <row r="111" spans="2:13" ht="18">
      <c r="B111" s="59"/>
      <c r="C111" s="59"/>
      <c r="D111" s="59"/>
      <c r="E111" s="59"/>
      <c r="F111" s="59"/>
      <c r="G111" s="60"/>
      <c r="M111" s="23">
        <v>1</v>
      </c>
    </row>
    <row r="112" spans="2:13" ht="18">
      <c r="B112" s="59"/>
      <c r="C112" s="59"/>
      <c r="D112" s="59"/>
      <c r="E112" s="59"/>
      <c r="F112" s="59"/>
      <c r="G112" s="60"/>
      <c r="M112" s="23">
        <v>1</v>
      </c>
    </row>
    <row r="113" spans="2:13" ht="18">
      <c r="B113" s="59"/>
      <c r="C113" s="59"/>
      <c r="D113" s="59"/>
      <c r="E113" s="59"/>
      <c r="F113" s="59"/>
      <c r="G113" s="60"/>
      <c r="M113" s="23">
        <v>1</v>
      </c>
    </row>
    <row r="114" spans="2:13" ht="18">
      <c r="B114" s="59"/>
      <c r="C114" s="59"/>
      <c r="D114" s="59"/>
      <c r="E114" s="59"/>
      <c r="F114" s="59"/>
      <c r="G114" s="60"/>
      <c r="M114" s="23">
        <v>1</v>
      </c>
    </row>
    <row r="115" spans="2:13" ht="18">
      <c r="B115" s="59"/>
      <c r="C115" s="59"/>
      <c r="D115" s="59"/>
      <c r="E115" s="59"/>
      <c r="F115" s="59"/>
      <c r="G115" s="60"/>
      <c r="M115" s="23">
        <v>1</v>
      </c>
    </row>
    <row r="116" spans="2:13" ht="18">
      <c r="B116" s="59"/>
      <c r="C116" s="59"/>
      <c r="D116" s="59"/>
      <c r="E116" s="59"/>
      <c r="F116" s="59"/>
      <c r="G116" s="60"/>
      <c r="M116" s="23">
        <v>1</v>
      </c>
    </row>
    <row r="117" spans="2:13" ht="18">
      <c r="B117" s="59"/>
      <c r="C117" s="59"/>
      <c r="D117" s="59"/>
      <c r="E117" s="59"/>
      <c r="F117" s="59"/>
      <c r="G117" s="60"/>
      <c r="M117" s="23">
        <v>1</v>
      </c>
    </row>
    <row r="118" spans="2:13" ht="18">
      <c r="B118" s="59"/>
      <c r="C118" s="59"/>
      <c r="D118" s="59"/>
      <c r="E118" s="59"/>
      <c r="F118" s="59"/>
      <c r="G118" s="60"/>
      <c r="M118" s="23">
        <v>1</v>
      </c>
    </row>
    <row r="119" spans="2:13" ht="18">
      <c r="B119" s="59"/>
      <c r="C119" s="59"/>
      <c r="D119" s="59"/>
      <c r="E119" s="59"/>
      <c r="F119" s="59"/>
      <c r="G119" s="60"/>
      <c r="M119" s="23">
        <v>1</v>
      </c>
    </row>
    <row r="120" spans="2:13" ht="18">
      <c r="B120" s="59"/>
      <c r="C120" s="59"/>
      <c r="D120" s="59"/>
      <c r="E120" s="59"/>
      <c r="F120" s="59"/>
      <c r="G120" s="60"/>
      <c r="M120" s="23">
        <v>1</v>
      </c>
    </row>
    <row r="121" spans="2:13" ht="18">
      <c r="B121" s="59"/>
      <c r="C121" s="59"/>
      <c r="D121" s="59"/>
      <c r="E121" s="59"/>
      <c r="F121" s="59"/>
      <c r="G121" s="60"/>
      <c r="M121" s="23">
        <v>1</v>
      </c>
    </row>
    <row r="122" spans="2:13" ht="18">
      <c r="B122" s="59"/>
      <c r="C122" s="59"/>
      <c r="D122" s="59"/>
      <c r="E122" s="59"/>
      <c r="F122" s="59"/>
      <c r="G122" s="60"/>
      <c r="M122" s="23">
        <v>1</v>
      </c>
    </row>
    <row r="123" spans="2:13" ht="18">
      <c r="B123" s="59"/>
      <c r="C123" s="59"/>
      <c r="D123" s="59"/>
      <c r="E123" s="59"/>
      <c r="F123" s="59"/>
      <c r="G123" s="60"/>
      <c r="M123" s="23">
        <v>1</v>
      </c>
    </row>
    <row r="124" spans="2:13" ht="18">
      <c r="B124" s="59"/>
      <c r="C124" s="59"/>
      <c r="D124" s="59"/>
      <c r="E124" s="59"/>
      <c r="F124" s="59"/>
      <c r="G124" s="60"/>
      <c r="M124" s="23">
        <v>1</v>
      </c>
    </row>
    <row r="125" spans="2:13" ht="18">
      <c r="B125" s="59"/>
      <c r="C125" s="59"/>
      <c r="D125" s="59"/>
      <c r="E125" s="59"/>
      <c r="F125" s="59"/>
      <c r="G125" s="60"/>
      <c r="M125" s="23">
        <v>1</v>
      </c>
    </row>
    <row r="126" spans="2:13" ht="18">
      <c r="B126" s="59"/>
      <c r="C126" s="59"/>
      <c r="D126" s="59"/>
      <c r="E126" s="59"/>
      <c r="F126" s="59"/>
      <c r="G126" s="60"/>
      <c r="M126" s="23">
        <v>1</v>
      </c>
    </row>
    <row r="127" spans="2:13" ht="18">
      <c r="B127" s="59"/>
      <c r="C127" s="59"/>
      <c r="D127" s="59"/>
      <c r="E127" s="59"/>
      <c r="F127" s="59"/>
      <c r="G127" s="60"/>
      <c r="M127" s="23">
        <v>1</v>
      </c>
    </row>
    <row r="128" spans="2:13" ht="18">
      <c r="B128" s="59"/>
      <c r="C128" s="59"/>
      <c r="D128" s="59"/>
      <c r="E128" s="59"/>
      <c r="F128" s="59"/>
      <c r="G128" s="60"/>
      <c r="M128" s="23">
        <v>1</v>
      </c>
    </row>
    <row r="129" spans="2:13" ht="18">
      <c r="B129" s="59"/>
      <c r="C129" s="59"/>
      <c r="D129" s="59"/>
      <c r="E129" s="59"/>
      <c r="F129" s="59"/>
      <c r="G129" s="60"/>
      <c r="M129" s="23">
        <v>1</v>
      </c>
    </row>
    <row r="130" spans="2:13" ht="18">
      <c r="B130" s="59"/>
      <c r="C130" s="59"/>
      <c r="D130" s="59"/>
      <c r="E130" s="59"/>
      <c r="F130" s="59"/>
      <c r="G130" s="60"/>
      <c r="M130" s="23">
        <v>1</v>
      </c>
    </row>
    <row r="131" spans="2:13" ht="18">
      <c r="B131" s="59"/>
      <c r="C131" s="59"/>
      <c r="D131" s="59"/>
      <c r="E131" s="59"/>
      <c r="F131" s="59"/>
      <c r="G131" s="60"/>
      <c r="M131" s="23">
        <v>1</v>
      </c>
    </row>
    <row r="132" spans="2:13" ht="18">
      <c r="B132" s="59"/>
      <c r="C132" s="59"/>
      <c r="D132" s="59"/>
      <c r="E132" s="59"/>
      <c r="F132" s="59"/>
      <c r="G132" s="60"/>
      <c r="M132" s="23">
        <v>1</v>
      </c>
    </row>
    <row r="133" spans="2:13" ht="18">
      <c r="B133" s="59"/>
      <c r="C133" s="59"/>
      <c r="D133" s="59"/>
      <c r="E133" s="59"/>
      <c r="F133" s="59"/>
      <c r="G133" s="60"/>
      <c r="M133" s="23">
        <v>1</v>
      </c>
    </row>
    <row r="134" spans="2:13" ht="18">
      <c r="B134" s="59"/>
      <c r="C134" s="59"/>
      <c r="D134" s="59"/>
      <c r="E134" s="59"/>
      <c r="F134" s="59"/>
      <c r="G134" s="60"/>
      <c r="M134" s="23">
        <v>1</v>
      </c>
    </row>
    <row r="135" spans="2:13" ht="18">
      <c r="B135" s="59"/>
      <c r="C135" s="59"/>
      <c r="D135" s="59"/>
      <c r="E135" s="59"/>
      <c r="F135" s="59"/>
      <c r="G135" s="60"/>
      <c r="M135" s="23">
        <v>1</v>
      </c>
    </row>
    <row r="136" spans="2:13" ht="18">
      <c r="B136" s="59"/>
      <c r="C136" s="59"/>
      <c r="D136" s="59"/>
      <c r="E136" s="59"/>
      <c r="F136" s="59"/>
      <c r="G136" s="60"/>
      <c r="M136" s="23">
        <v>1</v>
      </c>
    </row>
    <row r="137" spans="2:13" ht="18">
      <c r="B137" s="59"/>
      <c r="C137" s="59"/>
      <c r="D137" s="59"/>
      <c r="E137" s="59"/>
      <c r="F137" s="59"/>
      <c r="G137" s="60"/>
      <c r="M137" s="23">
        <v>1</v>
      </c>
    </row>
    <row r="138" spans="2:13" ht="18">
      <c r="B138" s="59"/>
      <c r="C138" s="59"/>
      <c r="D138" s="59"/>
      <c r="E138" s="59"/>
      <c r="F138" s="59"/>
      <c r="G138" s="60"/>
      <c r="M138" s="23">
        <v>1</v>
      </c>
    </row>
    <row r="139" spans="2:13" ht="18">
      <c r="B139" s="59"/>
      <c r="C139" s="59"/>
      <c r="D139" s="59"/>
      <c r="E139" s="59"/>
      <c r="F139" s="59"/>
      <c r="G139" s="60"/>
      <c r="M139" s="23">
        <v>1</v>
      </c>
    </row>
    <row r="140" spans="2:13" ht="18">
      <c r="B140" s="59"/>
      <c r="C140" s="59"/>
      <c r="D140" s="59"/>
      <c r="E140" s="59"/>
      <c r="F140" s="59"/>
      <c r="G140" s="60"/>
      <c r="M140" s="23">
        <v>1</v>
      </c>
    </row>
    <row r="141" spans="2:13" ht="18">
      <c r="B141" s="59"/>
      <c r="C141" s="59"/>
      <c r="D141" s="59"/>
      <c r="E141" s="59"/>
      <c r="F141" s="59"/>
      <c r="G141" s="60"/>
      <c r="M141" s="23">
        <v>1</v>
      </c>
    </row>
    <row r="142" spans="2:13" ht="18">
      <c r="B142" s="59"/>
      <c r="C142" s="59"/>
      <c r="D142" s="59"/>
      <c r="E142" s="59"/>
      <c r="F142" s="59"/>
      <c r="G142" s="60"/>
      <c r="M142" s="23">
        <v>1</v>
      </c>
    </row>
    <row r="143" spans="2:13" ht="18">
      <c r="B143" s="59"/>
      <c r="C143" s="59"/>
      <c r="D143" s="59"/>
      <c r="E143" s="59"/>
      <c r="F143" s="59"/>
      <c r="G143" s="60"/>
      <c r="M143" s="23">
        <v>1</v>
      </c>
    </row>
    <row r="144" spans="2:13" ht="18">
      <c r="B144" s="59"/>
      <c r="C144" s="59"/>
      <c r="D144" s="59"/>
      <c r="E144" s="59"/>
      <c r="F144" s="59"/>
      <c r="G144" s="60"/>
      <c r="M144" s="23">
        <v>1</v>
      </c>
    </row>
    <row r="145" spans="2:13" ht="18">
      <c r="B145" s="59"/>
      <c r="C145" s="59"/>
      <c r="D145" s="59"/>
      <c r="E145" s="59"/>
      <c r="F145" s="59"/>
      <c r="G145" s="60"/>
      <c r="M145" s="23">
        <v>1</v>
      </c>
    </row>
    <row r="146" spans="2:13" ht="18">
      <c r="B146" s="59"/>
      <c r="C146" s="59"/>
      <c r="D146" s="59"/>
      <c r="E146" s="59"/>
      <c r="F146" s="59"/>
      <c r="G146" s="60"/>
      <c r="M146" s="23">
        <v>1</v>
      </c>
    </row>
    <row r="147" spans="2:13" ht="18">
      <c r="B147" s="59"/>
      <c r="C147" s="59"/>
      <c r="D147" s="59"/>
      <c r="E147" s="59"/>
      <c r="F147" s="59"/>
      <c r="G147" s="60"/>
      <c r="M147" s="23">
        <v>1</v>
      </c>
    </row>
    <row r="148" spans="2:13" ht="18">
      <c r="B148" s="59"/>
      <c r="C148" s="59"/>
      <c r="D148" s="59"/>
      <c r="E148" s="59"/>
      <c r="F148" s="59"/>
      <c r="G148" s="60"/>
      <c r="M148" s="23">
        <v>1</v>
      </c>
    </row>
    <row r="149" spans="2:13" ht="18">
      <c r="B149" s="59"/>
      <c r="C149" s="59"/>
      <c r="D149" s="59"/>
      <c r="E149" s="59"/>
      <c r="F149" s="59"/>
      <c r="G149" s="60"/>
      <c r="M149" s="23">
        <v>1</v>
      </c>
    </row>
    <row r="150" spans="2:13" ht="18">
      <c r="B150" s="59"/>
      <c r="C150" s="59"/>
      <c r="D150" s="59"/>
      <c r="E150" s="59"/>
      <c r="F150" s="59"/>
      <c r="G150" s="60"/>
      <c r="M150" s="23">
        <v>1</v>
      </c>
    </row>
    <row r="151" spans="2:13" ht="18">
      <c r="B151" s="59"/>
      <c r="C151" s="59"/>
      <c r="D151" s="59"/>
      <c r="E151" s="59"/>
      <c r="F151" s="59"/>
      <c r="G151" s="60"/>
      <c r="M151" s="23">
        <v>1</v>
      </c>
    </row>
    <row r="152" spans="2:13" ht="18">
      <c r="B152" s="59"/>
      <c r="C152" s="59"/>
      <c r="D152" s="59"/>
      <c r="E152" s="59"/>
      <c r="F152" s="59"/>
      <c r="G152" s="60"/>
      <c r="M152" s="23">
        <v>1</v>
      </c>
    </row>
    <row r="153" spans="2:13" ht="18">
      <c r="B153" s="59"/>
      <c r="C153" s="59"/>
      <c r="D153" s="59"/>
      <c r="E153" s="59"/>
      <c r="F153" s="59"/>
      <c r="G153" s="60"/>
      <c r="M153" s="23">
        <v>1</v>
      </c>
    </row>
    <row r="154" spans="2:13" ht="18">
      <c r="B154" s="59"/>
      <c r="C154" s="59"/>
      <c r="D154" s="59"/>
      <c r="E154" s="59"/>
      <c r="F154" s="59"/>
      <c r="G154" s="60"/>
      <c r="M154" s="23">
        <v>1</v>
      </c>
    </row>
    <row r="155" spans="2:13" ht="18">
      <c r="B155" s="59"/>
      <c r="C155" s="59"/>
      <c r="D155" s="59"/>
      <c r="E155" s="59"/>
      <c r="F155" s="59"/>
      <c r="G155" s="60"/>
      <c r="M155" s="23">
        <v>1</v>
      </c>
    </row>
    <row r="156" spans="2:13" ht="18">
      <c r="B156" s="59"/>
      <c r="C156" s="59"/>
      <c r="D156" s="59"/>
      <c r="E156" s="59"/>
      <c r="F156" s="59"/>
      <c r="G156" s="60"/>
      <c r="M156" s="23">
        <v>1</v>
      </c>
    </row>
    <row r="157" spans="2:13" ht="18">
      <c r="B157" s="59"/>
      <c r="C157" s="59"/>
      <c r="D157" s="59"/>
      <c r="E157" s="59"/>
      <c r="F157" s="59"/>
      <c r="G157" s="60"/>
      <c r="M157" s="23">
        <v>1</v>
      </c>
    </row>
    <row r="158" spans="2:13" ht="18">
      <c r="B158" s="59"/>
      <c r="C158" s="59"/>
      <c r="D158" s="59"/>
      <c r="E158" s="59"/>
      <c r="F158" s="59"/>
      <c r="G158" s="60"/>
      <c r="M158" s="23">
        <v>1</v>
      </c>
    </row>
    <row r="159" spans="2:13" ht="18">
      <c r="B159" s="59"/>
      <c r="C159" s="59"/>
      <c r="D159" s="59"/>
      <c r="E159" s="59"/>
      <c r="F159" s="59"/>
      <c r="G159" s="60"/>
      <c r="M159" s="23">
        <v>1</v>
      </c>
    </row>
    <row r="160" spans="2:13" ht="18">
      <c r="B160" s="59"/>
      <c r="C160" s="59"/>
      <c r="D160" s="59"/>
      <c r="E160" s="59"/>
      <c r="F160" s="59"/>
      <c r="G160" s="60"/>
      <c r="M160" s="23">
        <v>1</v>
      </c>
    </row>
    <row r="161" spans="2:13" ht="18">
      <c r="B161" s="59"/>
      <c r="C161" s="59"/>
      <c r="D161" s="59"/>
      <c r="E161" s="59"/>
      <c r="F161" s="59"/>
      <c r="G161" s="60"/>
      <c r="M161" s="23">
        <v>1</v>
      </c>
    </row>
    <row r="162" spans="2:13" ht="18">
      <c r="B162" s="59"/>
      <c r="C162" s="59"/>
      <c r="D162" s="59"/>
      <c r="E162" s="59"/>
      <c r="F162" s="59"/>
      <c r="G162" s="60"/>
      <c r="M162" s="23">
        <v>1</v>
      </c>
    </row>
    <row r="163" spans="2:13" ht="18">
      <c r="B163" s="59"/>
      <c r="C163" s="59"/>
      <c r="D163" s="59"/>
      <c r="E163" s="59"/>
      <c r="F163" s="59"/>
      <c r="G163" s="60"/>
      <c r="M163" s="23">
        <v>1</v>
      </c>
    </row>
    <row r="164" spans="2:13" ht="18">
      <c r="B164" s="59"/>
      <c r="C164" s="59"/>
      <c r="D164" s="59"/>
      <c r="E164" s="59"/>
      <c r="F164" s="59"/>
      <c r="G164" s="60"/>
      <c r="M164" s="23">
        <v>1</v>
      </c>
    </row>
    <row r="165" spans="2:13" ht="18">
      <c r="B165" s="59"/>
      <c r="C165" s="59"/>
      <c r="D165" s="59"/>
      <c r="E165" s="59"/>
      <c r="F165" s="59"/>
      <c r="G165" s="60"/>
      <c r="M165" s="23">
        <v>1</v>
      </c>
    </row>
    <row r="166" spans="2:13" ht="18">
      <c r="B166" s="59"/>
      <c r="C166" s="59"/>
      <c r="D166" s="59"/>
      <c r="E166" s="59"/>
      <c r="F166" s="59"/>
      <c r="G166" s="60"/>
      <c r="M166" s="23">
        <v>1</v>
      </c>
    </row>
    <row r="167" spans="2:13" ht="18">
      <c r="B167" s="59"/>
      <c r="C167" s="59"/>
      <c r="D167" s="59"/>
      <c r="E167" s="59"/>
      <c r="F167" s="59"/>
      <c r="G167" s="60"/>
      <c r="M167" s="23">
        <v>1</v>
      </c>
    </row>
    <row r="168" spans="2:13" ht="18">
      <c r="B168" s="59"/>
      <c r="C168" s="59"/>
      <c r="D168" s="59"/>
      <c r="E168" s="59"/>
      <c r="F168" s="59"/>
      <c r="G168" s="60"/>
      <c r="M168" s="23">
        <v>1</v>
      </c>
    </row>
    <row r="169" spans="2:13" ht="18">
      <c r="B169" s="59"/>
      <c r="C169" s="59"/>
      <c r="D169" s="59"/>
      <c r="E169" s="59"/>
      <c r="F169" s="59"/>
      <c r="G169" s="60"/>
      <c r="M169" s="23">
        <v>1</v>
      </c>
    </row>
    <row r="170" spans="2:13" ht="18">
      <c r="B170" s="59"/>
      <c r="C170" s="59"/>
      <c r="D170" s="59"/>
      <c r="E170" s="59"/>
      <c r="F170" s="59"/>
      <c r="G170" s="60"/>
      <c r="M170" s="23">
        <v>1</v>
      </c>
    </row>
    <row r="171" spans="2:13" ht="18">
      <c r="B171" s="59"/>
      <c r="C171" s="59"/>
      <c r="D171" s="59"/>
      <c r="E171" s="59"/>
      <c r="F171" s="59"/>
      <c r="G171" s="60"/>
      <c r="M171" s="23">
        <v>1</v>
      </c>
    </row>
    <row r="172" spans="2:13" ht="18">
      <c r="B172" s="59"/>
      <c r="C172" s="59"/>
      <c r="D172" s="59"/>
      <c r="E172" s="59"/>
      <c r="F172" s="59"/>
      <c r="G172" s="60"/>
      <c r="M172" s="23">
        <v>1</v>
      </c>
    </row>
    <row r="173" spans="2:13" ht="18">
      <c r="B173" s="59"/>
      <c r="C173" s="59"/>
      <c r="D173" s="59"/>
      <c r="E173" s="59"/>
      <c r="F173" s="59"/>
      <c r="G173" s="60"/>
      <c r="M173" s="23">
        <v>1</v>
      </c>
    </row>
    <row r="174" spans="2:13" ht="18">
      <c r="B174" s="59"/>
      <c r="C174" s="59"/>
      <c r="D174" s="59"/>
      <c r="E174" s="59"/>
      <c r="F174" s="59"/>
      <c r="G174" s="60"/>
      <c r="M174" s="23">
        <v>1</v>
      </c>
    </row>
    <row r="175" spans="2:13" ht="18">
      <c r="B175" s="59"/>
      <c r="C175" s="59"/>
      <c r="D175" s="59"/>
      <c r="E175" s="59"/>
      <c r="F175" s="59"/>
      <c r="G175" s="60"/>
      <c r="M175" s="23">
        <v>1</v>
      </c>
    </row>
    <row r="176" spans="2:13" ht="18">
      <c r="B176" s="59"/>
      <c r="C176" s="59"/>
      <c r="D176" s="59"/>
      <c r="E176" s="59"/>
      <c r="F176" s="59"/>
      <c r="G176" s="60"/>
      <c r="M176" s="23">
        <v>1</v>
      </c>
    </row>
    <row r="177" spans="2:13" ht="18">
      <c r="B177" s="59"/>
      <c r="C177" s="59"/>
      <c r="D177" s="59"/>
      <c r="E177" s="59"/>
      <c r="F177" s="59"/>
      <c r="G177" s="60"/>
      <c r="M177" s="23">
        <v>1</v>
      </c>
    </row>
    <row r="178" spans="2:13" ht="18">
      <c r="B178" s="59"/>
      <c r="C178" s="59"/>
      <c r="D178" s="59"/>
      <c r="E178" s="59"/>
      <c r="F178" s="59"/>
      <c r="G178" s="60"/>
      <c r="M178" s="23">
        <v>1</v>
      </c>
    </row>
    <row r="179" spans="2:13" ht="18">
      <c r="B179" s="59"/>
      <c r="C179" s="59"/>
      <c r="D179" s="59"/>
      <c r="E179" s="59"/>
      <c r="F179" s="59"/>
      <c r="G179" s="60"/>
      <c r="M179" s="23">
        <v>1</v>
      </c>
    </row>
    <row r="180" spans="2:13" ht="18">
      <c r="B180" s="59"/>
      <c r="C180" s="59"/>
      <c r="D180" s="59"/>
      <c r="E180" s="59"/>
      <c r="F180" s="59"/>
      <c r="G180" s="60"/>
      <c r="M180" s="23">
        <v>1</v>
      </c>
    </row>
    <row r="181" spans="2:13" ht="18">
      <c r="B181" s="59"/>
      <c r="C181" s="59"/>
      <c r="D181" s="59"/>
      <c r="E181" s="59"/>
      <c r="F181" s="59"/>
      <c r="G181" s="60"/>
      <c r="M181" s="23">
        <v>1</v>
      </c>
    </row>
    <row r="182" spans="2:13" ht="18">
      <c r="B182" s="59"/>
      <c r="C182" s="59"/>
      <c r="D182" s="59"/>
      <c r="E182" s="59"/>
      <c r="F182" s="59"/>
      <c r="G182" s="60"/>
      <c r="M182" s="23">
        <v>1</v>
      </c>
    </row>
    <row r="183" spans="2:13" ht="18">
      <c r="B183" s="59"/>
      <c r="C183" s="59"/>
      <c r="D183" s="59"/>
      <c r="E183" s="59"/>
      <c r="F183" s="59"/>
      <c r="G183" s="60"/>
      <c r="M183" s="23">
        <v>1</v>
      </c>
    </row>
    <row r="184" spans="2:13" ht="18">
      <c r="B184" s="59"/>
      <c r="C184" s="59"/>
      <c r="D184" s="59"/>
      <c r="E184" s="59"/>
      <c r="F184" s="59"/>
      <c r="G184" s="60"/>
      <c r="M184" s="23">
        <v>1</v>
      </c>
    </row>
    <row r="185" spans="2:13" ht="18">
      <c r="B185" s="59"/>
      <c r="C185" s="59"/>
      <c r="D185" s="59"/>
      <c r="E185" s="59"/>
      <c r="F185" s="59"/>
      <c r="G185" s="60"/>
      <c r="M185" s="23">
        <v>1</v>
      </c>
    </row>
    <row r="186" spans="2:13" ht="18">
      <c r="B186" s="59"/>
      <c r="C186" s="59"/>
      <c r="D186" s="59"/>
      <c r="E186" s="59"/>
      <c r="F186" s="59"/>
      <c r="G186" s="60"/>
      <c r="M186" s="23">
        <v>1</v>
      </c>
    </row>
    <row r="187" spans="2:13" ht="18">
      <c r="B187" s="59"/>
      <c r="C187" s="59"/>
      <c r="D187" s="59"/>
      <c r="E187" s="59"/>
      <c r="F187" s="59"/>
      <c r="G187" s="60"/>
      <c r="M187" s="23">
        <v>1</v>
      </c>
    </row>
    <row r="188" spans="2:13" ht="18">
      <c r="B188" s="59"/>
      <c r="C188" s="59"/>
      <c r="D188" s="59"/>
      <c r="E188" s="59"/>
      <c r="F188" s="59"/>
      <c r="G188" s="60"/>
      <c r="M188" s="23">
        <v>1</v>
      </c>
    </row>
    <row r="189" spans="2:13" ht="18">
      <c r="B189" s="59"/>
      <c r="C189" s="59"/>
      <c r="D189" s="59"/>
      <c r="E189" s="59"/>
      <c r="F189" s="59"/>
      <c r="G189" s="60"/>
      <c r="M189" s="23">
        <v>1</v>
      </c>
    </row>
    <row r="190" spans="2:13" ht="18">
      <c r="B190" s="59"/>
      <c r="C190" s="59"/>
      <c r="D190" s="59"/>
      <c r="E190" s="59"/>
      <c r="F190" s="59"/>
      <c r="G190" s="60"/>
      <c r="M190" s="23">
        <v>1</v>
      </c>
    </row>
    <row r="191" spans="2:13" ht="18">
      <c r="B191" s="59"/>
      <c r="C191" s="59"/>
      <c r="D191" s="59"/>
      <c r="E191" s="59"/>
      <c r="F191" s="59"/>
      <c r="G191" s="60"/>
      <c r="M191" s="23">
        <v>1</v>
      </c>
    </row>
    <row r="192" spans="2:13" ht="18">
      <c r="B192" s="59"/>
      <c r="C192" s="59"/>
      <c r="D192" s="59"/>
      <c r="E192" s="59"/>
      <c r="F192" s="59"/>
      <c r="G192" s="60"/>
      <c r="M192" s="23">
        <v>1</v>
      </c>
    </row>
    <row r="193" spans="2:13" ht="18">
      <c r="B193" s="59"/>
      <c r="C193" s="59"/>
      <c r="D193" s="59"/>
      <c r="E193" s="59"/>
      <c r="F193" s="59"/>
      <c r="G193" s="60"/>
      <c r="M193" s="23">
        <v>1</v>
      </c>
    </row>
    <row r="194" spans="2:13" ht="18">
      <c r="B194" s="59"/>
      <c r="C194" s="59"/>
      <c r="D194" s="59"/>
      <c r="E194" s="59"/>
      <c r="F194" s="59"/>
      <c r="G194" s="60"/>
      <c r="M194" s="23">
        <v>1</v>
      </c>
    </row>
    <row r="195" spans="2:13" ht="18">
      <c r="B195" s="59"/>
      <c r="C195" s="59"/>
      <c r="D195" s="59"/>
      <c r="E195" s="59"/>
      <c r="F195" s="59"/>
      <c r="G195" s="60"/>
      <c r="M195" s="23">
        <v>1</v>
      </c>
    </row>
    <row r="196" spans="2:13" ht="18">
      <c r="B196" s="59"/>
      <c r="C196" s="59"/>
      <c r="D196" s="59"/>
      <c r="E196" s="59"/>
      <c r="F196" s="59"/>
      <c r="G196" s="60"/>
      <c r="M196" s="23">
        <v>1</v>
      </c>
    </row>
    <row r="197" spans="2:13" ht="18">
      <c r="B197" s="59"/>
      <c r="C197" s="59"/>
      <c r="D197" s="59"/>
      <c r="E197" s="59"/>
      <c r="F197" s="59"/>
      <c r="G197" s="60"/>
      <c r="M197" s="23">
        <v>1</v>
      </c>
    </row>
    <row r="198" spans="2:13" ht="18">
      <c r="B198" s="59"/>
      <c r="C198" s="59"/>
      <c r="D198" s="59"/>
      <c r="E198" s="59"/>
      <c r="F198" s="59"/>
      <c r="G198" s="60"/>
      <c r="M198" s="23">
        <v>1</v>
      </c>
    </row>
    <row r="199" spans="2:13" ht="18">
      <c r="B199" s="59"/>
      <c r="C199" s="59"/>
      <c r="D199" s="59"/>
      <c r="E199" s="59"/>
      <c r="F199" s="59"/>
      <c r="G199" s="60"/>
      <c r="M199" s="23">
        <v>1</v>
      </c>
    </row>
    <row r="200" spans="2:13" ht="18">
      <c r="B200" s="59"/>
      <c r="C200" s="59"/>
      <c r="D200" s="59"/>
      <c r="E200" s="59"/>
      <c r="F200" s="59"/>
      <c r="G200" s="60"/>
      <c r="M200" s="23">
        <v>1</v>
      </c>
    </row>
    <row r="201" spans="2:13" ht="18">
      <c r="B201" s="59"/>
      <c r="C201" s="59"/>
      <c r="D201" s="59"/>
      <c r="E201" s="59"/>
      <c r="F201" s="59"/>
      <c r="G201" s="60"/>
      <c r="M201" s="23">
        <v>1</v>
      </c>
    </row>
    <row r="202" spans="2:13" ht="18">
      <c r="B202" s="59"/>
      <c r="C202" s="59"/>
      <c r="D202" s="59"/>
      <c r="E202" s="59"/>
      <c r="F202" s="59"/>
      <c r="G202" s="60"/>
      <c r="M202" s="23">
        <v>1</v>
      </c>
    </row>
    <row r="203" spans="2:13" ht="18">
      <c r="B203" s="59"/>
      <c r="C203" s="59"/>
      <c r="D203" s="59"/>
      <c r="E203" s="59"/>
      <c r="F203" s="59"/>
      <c r="G203" s="60"/>
      <c r="M203" s="23">
        <v>1</v>
      </c>
    </row>
    <row r="204" spans="2:13" ht="18">
      <c r="B204" s="59"/>
      <c r="C204" s="59"/>
      <c r="D204" s="59"/>
      <c r="E204" s="59"/>
      <c r="F204" s="59"/>
      <c r="G204" s="60"/>
      <c r="M204" s="23">
        <v>1</v>
      </c>
    </row>
    <row r="205" spans="2:13" ht="18">
      <c r="B205" s="59"/>
      <c r="C205" s="59"/>
      <c r="D205" s="59"/>
      <c r="E205" s="59"/>
      <c r="F205" s="59"/>
      <c r="G205" s="60"/>
      <c r="M205" s="23">
        <v>1</v>
      </c>
    </row>
    <row r="206" spans="2:13" ht="18">
      <c r="B206" s="59"/>
      <c r="C206" s="59"/>
      <c r="D206" s="59"/>
      <c r="E206" s="59"/>
      <c r="F206" s="59"/>
      <c r="G206" s="60"/>
      <c r="M206" s="23">
        <v>1</v>
      </c>
    </row>
    <row r="207" spans="2:13" ht="18">
      <c r="B207" s="59"/>
      <c r="C207" s="59"/>
      <c r="D207" s="59"/>
      <c r="E207" s="59"/>
      <c r="F207" s="59"/>
      <c r="G207" s="60"/>
      <c r="M207" s="23">
        <v>1</v>
      </c>
    </row>
    <row r="208" spans="2:13" ht="18">
      <c r="B208" s="59"/>
      <c r="C208" s="59"/>
      <c r="D208" s="59"/>
      <c r="E208" s="59"/>
      <c r="F208" s="59"/>
      <c r="G208" s="60"/>
      <c r="M208" s="23">
        <v>1</v>
      </c>
    </row>
    <row r="209" spans="2:13" ht="18">
      <c r="B209" s="59"/>
      <c r="C209" s="59"/>
      <c r="D209" s="59"/>
      <c r="E209" s="59"/>
      <c r="F209" s="59"/>
      <c r="G209" s="60"/>
      <c r="M209" s="23">
        <v>1</v>
      </c>
    </row>
    <row r="210" spans="2:13" ht="18">
      <c r="B210" s="59"/>
      <c r="C210" s="59"/>
      <c r="D210" s="59"/>
      <c r="E210" s="59"/>
      <c r="F210" s="59"/>
      <c r="G210" s="60"/>
      <c r="M210" s="23">
        <v>1</v>
      </c>
    </row>
    <row r="211" spans="2:13" ht="18">
      <c r="B211" s="59"/>
      <c r="C211" s="59"/>
      <c r="D211" s="59"/>
      <c r="E211" s="59"/>
      <c r="F211" s="59"/>
      <c r="G211" s="60"/>
      <c r="M211" s="23">
        <v>1</v>
      </c>
    </row>
    <row r="212" spans="2:13" ht="18">
      <c r="B212" s="59"/>
      <c r="C212" s="59"/>
      <c r="D212" s="59"/>
      <c r="E212" s="59"/>
      <c r="F212" s="59"/>
      <c r="G212" s="60"/>
      <c r="M212" s="23">
        <v>1</v>
      </c>
    </row>
    <row r="213" spans="2:13" ht="18">
      <c r="B213" s="59"/>
      <c r="C213" s="59"/>
      <c r="D213" s="59"/>
      <c r="E213" s="59"/>
      <c r="F213" s="59"/>
      <c r="G213" s="60"/>
      <c r="M213" s="23">
        <v>1</v>
      </c>
    </row>
    <row r="214" spans="2:13" ht="18">
      <c r="B214" s="59"/>
      <c r="C214" s="59"/>
      <c r="D214" s="59"/>
      <c r="E214" s="59"/>
      <c r="F214" s="59"/>
      <c r="G214" s="60"/>
      <c r="M214" s="23">
        <v>1</v>
      </c>
    </row>
    <row r="215" spans="2:13" ht="18">
      <c r="B215" s="59"/>
      <c r="C215" s="59"/>
      <c r="D215" s="59"/>
      <c r="E215" s="59"/>
      <c r="F215" s="59"/>
      <c r="G215" s="60"/>
      <c r="M215" s="23">
        <v>1</v>
      </c>
    </row>
    <row r="216" spans="2:13" ht="18">
      <c r="B216" s="59"/>
      <c r="C216" s="59"/>
      <c r="D216" s="59"/>
      <c r="E216" s="59"/>
      <c r="F216" s="59"/>
      <c r="G216" s="60"/>
      <c r="M216" s="23">
        <v>1</v>
      </c>
    </row>
    <row r="217" spans="2:13" ht="18">
      <c r="B217" s="59"/>
      <c r="C217" s="59"/>
      <c r="D217" s="59"/>
      <c r="E217" s="59"/>
      <c r="F217" s="59"/>
      <c r="G217" s="60"/>
      <c r="M217" s="23">
        <v>1</v>
      </c>
    </row>
    <row r="218" spans="2:13" ht="18">
      <c r="B218" s="59"/>
      <c r="C218" s="59"/>
      <c r="D218" s="59"/>
      <c r="E218" s="59"/>
      <c r="F218" s="59"/>
      <c r="G218" s="60"/>
      <c r="M218" s="23">
        <v>1</v>
      </c>
    </row>
    <row r="219" spans="2:13" ht="18">
      <c r="B219" s="59"/>
      <c r="C219" s="59"/>
      <c r="D219" s="59"/>
      <c r="E219" s="59"/>
      <c r="F219" s="59"/>
      <c r="G219" s="60"/>
      <c r="M219" s="23">
        <v>1</v>
      </c>
    </row>
    <row r="220" spans="2:13" ht="18">
      <c r="B220" s="59"/>
      <c r="C220" s="59"/>
      <c r="D220" s="59"/>
      <c r="E220" s="59"/>
      <c r="F220" s="59"/>
      <c r="G220" s="60"/>
      <c r="M220" s="23">
        <v>1</v>
      </c>
    </row>
    <row r="221" spans="2:13" ht="18">
      <c r="B221" s="59"/>
      <c r="C221" s="59"/>
      <c r="D221" s="59"/>
      <c r="E221" s="59"/>
      <c r="F221" s="59"/>
      <c r="G221" s="60"/>
      <c r="M221" s="23">
        <v>1</v>
      </c>
    </row>
    <row r="222" spans="2:13" ht="18">
      <c r="B222" s="59"/>
      <c r="C222" s="59"/>
      <c r="D222" s="59"/>
      <c r="E222" s="59"/>
      <c r="F222" s="59"/>
      <c r="G222" s="60"/>
      <c r="M222" s="23">
        <v>1</v>
      </c>
    </row>
    <row r="223" spans="2:13" ht="18">
      <c r="B223" s="59"/>
      <c r="C223" s="59"/>
      <c r="D223" s="59"/>
      <c r="E223" s="59"/>
      <c r="F223" s="59"/>
      <c r="G223" s="60"/>
      <c r="M223" s="23">
        <v>1</v>
      </c>
    </row>
    <row r="224" spans="2:13" ht="18">
      <c r="B224" s="59"/>
      <c r="C224" s="59"/>
      <c r="D224" s="59"/>
      <c r="E224" s="59"/>
      <c r="F224" s="59"/>
      <c r="G224" s="60"/>
      <c r="M224" s="23">
        <v>1</v>
      </c>
    </row>
    <row r="225" spans="2:13" ht="18">
      <c r="B225" s="59"/>
      <c r="C225" s="59"/>
      <c r="D225" s="59"/>
      <c r="E225" s="59"/>
      <c r="F225" s="59"/>
      <c r="G225" s="60"/>
      <c r="M225" s="23">
        <v>1</v>
      </c>
    </row>
    <row r="226" spans="2:13" ht="18">
      <c r="B226" s="59"/>
      <c r="C226" s="59"/>
      <c r="D226" s="59"/>
      <c r="E226" s="59"/>
      <c r="F226" s="59"/>
      <c r="G226" s="60"/>
      <c r="M226" s="23">
        <v>1</v>
      </c>
    </row>
    <row r="227" spans="2:13" ht="18">
      <c r="B227" s="59"/>
      <c r="C227" s="59"/>
      <c r="D227" s="59"/>
      <c r="E227" s="59"/>
      <c r="F227" s="59"/>
      <c r="G227" s="60"/>
      <c r="M227" s="23">
        <v>1</v>
      </c>
    </row>
    <row r="228" spans="2:13" ht="18">
      <c r="B228" s="59"/>
      <c r="C228" s="59"/>
      <c r="D228" s="59"/>
      <c r="E228" s="59"/>
      <c r="F228" s="59"/>
      <c r="G228" s="60"/>
      <c r="M228" s="23">
        <v>1</v>
      </c>
    </row>
    <row r="229" spans="2:13" ht="18">
      <c r="B229" s="59"/>
      <c r="C229" s="59"/>
      <c r="D229" s="59"/>
      <c r="E229" s="59"/>
      <c r="F229" s="59"/>
      <c r="G229" s="60"/>
      <c r="M229" s="23">
        <v>1</v>
      </c>
    </row>
    <row r="230" spans="2:13" ht="27.75" thickBot="1">
      <c r="B230" s="29" t="s">
        <v>3</v>
      </c>
      <c r="C230" s="29" t="s">
        <v>3</v>
      </c>
      <c r="D230" s="29" t="s">
        <v>3</v>
      </c>
      <c r="E230" s="30" t="s">
        <v>3</v>
      </c>
      <c r="F230" s="30" t="s">
        <v>3</v>
      </c>
      <c r="G230" s="31" t="s">
        <v>3</v>
      </c>
      <c r="L230" s="64" t="s">
        <v>25</v>
      </c>
      <c r="M230" s="65" t="s">
        <v>3</v>
      </c>
    </row>
    <row r="231" spans="2:13" ht="13.5" thickTop="1"/>
  </sheetData>
  <sheetProtection sheet="1" objects="1" scenarios="1" selectLockedCells="1"/>
  <customSheetViews>
    <customSheetView guid="{F92CD80A-2F20-447E-84B4-C32E1E2FE9A3}" showGridLines="0" showRowCol="0">
      <pane ySplit="7" topLeftCell="A18" activePane="bottomLeft" state="frozen"/>
      <selection pane="bottomLeft" activeCell="I3" sqref="I3"/>
      <pageMargins left="0.7" right="0.7" top="0.75" bottom="0.75" header="0.3" footer="0.3"/>
      <pageSetup paperSize="9" orientation="portrait" r:id="rId1"/>
    </customSheetView>
    <customSheetView guid="{56AFE396-18B0-4AF5-AE05-5CBE92BF4893}" showGridLines="0" showRowCol="0">
      <pane ySplit="8" topLeftCell="A9" activePane="bottomLeft" state="frozen"/>
      <selection pane="bottomLeft" activeCell="I3" sqref="I3"/>
      <pageMargins left="0.7" right="0.7" top="0.75" bottom="0.75" header="0.3" footer="0.3"/>
      <pageSetup paperSize="9" orientation="portrait" r:id="rId2"/>
    </customSheetView>
    <customSheetView guid="{79B4DA94-8F3B-455B-B3D6-7A15488FD419}" showGridLines="0" showRowCol="0">
      <pane ySplit="8" topLeftCell="A18" activePane="bottomLeft" state="frozen"/>
      <selection pane="bottomLeft" activeCell="I3" sqref="I3"/>
      <pageMargins left="0.7" right="0.7" top="0.75" bottom="0.75" header="0.3" footer="0.3"/>
      <pageSetup paperSize="9" orientation="portrait" r:id="rId3"/>
    </customSheetView>
    <customSheetView guid="{4EA0FCF4-4E92-4FEF-BBB1-FFCF2D2846A6}" showGridLines="0" showRowCol="0">
      <pane ySplit="8" topLeftCell="A95" activePane="bottomLeft" state="frozen"/>
      <selection pane="bottomLeft" activeCell="I2" sqref="I2"/>
      <pageMargins left="0.7" right="0.7" top="0.75" bottom="0.75" header="0.3" footer="0.3"/>
      <pageSetup paperSize="9" orientation="portrait" r:id="rId4"/>
    </customSheetView>
  </customSheetViews>
  <mergeCells count="4">
    <mergeCell ref="N9:O9"/>
    <mergeCell ref="P8:R8"/>
    <mergeCell ref="S8:U8"/>
    <mergeCell ref="V8:X8"/>
  </mergeCells>
  <dataValidations count="4">
    <dataValidation type="list" allowBlank="1" showDropDown="1" showInputMessage="1" showErrorMessage="1" sqref="D9:D229">
      <formula1>$O$10:$O$29</formula1>
    </dataValidation>
    <dataValidation type="list" allowBlank="1" showDropDown="1" showInputMessage="1" showErrorMessage="1" sqref="B9:B229">
      <formula1>$C$6</formula1>
    </dataValidation>
    <dataValidation allowBlank="1" showInputMessage="1" showErrorMessage="1" errorTitle="Dato no valido" error="El valor esta fuera de rango [0,30] o No es un numero" sqref="E9:G229"/>
    <dataValidation type="list" allowBlank="1" showDropDown="1" showInputMessage="1" showErrorMessage="1" sqref="C9:C229">
      <formula1>$O$32:$O$42</formula1>
    </dataValidation>
  </dataValidations>
  <hyperlinks>
    <hyperlink ref="I2" location="PPrincipal!A1" display="* Pagina Principal"/>
    <hyperlink ref="I3" location="Bolivar!A1" display="2 Bolivar"/>
    <hyperlink ref="I4" location="'Delta Amacuro'!A1" display="3 Delta Amacuro"/>
    <hyperlink ref="I5" location="Guarico!A1" display="4 Guarico"/>
  </hyperlinks>
  <pageMargins left="0.7" right="0.7" top="0.75" bottom="0.75" header="0.3" footer="0.3"/>
  <pageSetup paperSize="9"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>
  <dimension ref="B1:K46"/>
  <sheetViews>
    <sheetView showGridLines="0" showRowColHeaders="0" workbookViewId="0">
      <selection activeCell="J4" sqref="J4"/>
    </sheetView>
  </sheetViews>
  <sheetFormatPr baseColWidth="10" defaultColWidth="15.7109375" defaultRowHeight="22.5" customHeight="1"/>
  <cols>
    <col min="1" max="16384" width="15.7109375" style="63"/>
  </cols>
  <sheetData>
    <row r="1" spans="2:11" ht="15" customHeight="1">
      <c r="J1" s="109"/>
      <c r="K1" s="142"/>
    </row>
    <row r="2" spans="2:11" ht="15" customHeight="1">
      <c r="J2" s="98" t="s">
        <v>39</v>
      </c>
      <c r="K2" s="142"/>
    </row>
    <row r="3" spans="2:11" ht="15" customHeight="1">
      <c r="J3" s="118" t="s">
        <v>61</v>
      </c>
      <c r="K3" s="142"/>
    </row>
    <row r="4" spans="2:11" ht="15" customHeight="1">
      <c r="J4" s="119" t="s">
        <v>62</v>
      </c>
      <c r="K4" s="142"/>
    </row>
    <row r="5" spans="2:11" ht="15" customHeight="1">
      <c r="G5" s="66"/>
      <c r="J5" s="98" t="s">
        <v>63</v>
      </c>
      <c r="K5" s="142"/>
    </row>
    <row r="6" spans="2:11" ht="15" customHeight="1">
      <c r="B6" s="175" t="s">
        <v>27</v>
      </c>
      <c r="C6" s="175"/>
      <c r="D6" s="175"/>
      <c r="E6" s="175"/>
      <c r="F6" s="175"/>
      <c r="G6" s="175"/>
    </row>
    <row r="27" spans="2:7" ht="22.5" customHeight="1">
      <c r="B27" s="175"/>
      <c r="C27" s="175"/>
      <c r="D27" s="175"/>
      <c r="E27" s="175"/>
      <c r="F27" s="175"/>
      <c r="G27" s="175"/>
    </row>
    <row r="46" spans="7:7" ht="22.5" customHeight="1">
      <c r="G46" s="66"/>
    </row>
  </sheetData>
  <customSheetViews>
    <customSheetView guid="{F92CD80A-2F20-447E-84B4-C32E1E2FE9A3}" showGridLines="0" showRowCol="0">
      <selection activeCell="J4" sqref="J4"/>
      <pageMargins left="0.7" right="0.7" top="0.75" bottom="0.75" header="0.3" footer="0.3"/>
    </customSheetView>
    <customSheetView guid="{56AFE396-18B0-4AF5-AE05-5CBE92BF4893}" showPageBreaks="1" showGridLines="0" showRowCol="0" printArea="1">
      <selection activeCell="J3" sqref="J3"/>
      <pageMargins left="0.70866141732283472" right="0.70866141732283472" top="0.74803149606299213" bottom="0.74803149606299213" header="0.31496062992125984" footer="0.31496062992125984"/>
      <pageSetup scale="66" orientation="landscape" verticalDpi="0" r:id="rId1"/>
    </customSheetView>
    <customSheetView guid="{79B4DA94-8F3B-455B-B3D6-7A15488FD419}" showGridLines="0" showRowCol="0" topLeftCell="A4">
      <selection activeCell="J5" sqref="J5"/>
      <pageMargins left="0.7" right="0.7" top="0.75" bottom="0.75" header="0.3" footer="0.3"/>
    </customSheetView>
    <customSheetView guid="{4EA0FCF4-4E92-4FEF-BBB1-FFCF2D2846A6}" showGridLines="0" showRowCol="0">
      <selection activeCell="J3" sqref="J3"/>
      <pageMargins left="0.7" right="0.7" top="0.75" bottom="0.75" header="0.3" footer="0.3"/>
    </customSheetView>
  </customSheetViews>
  <mergeCells count="2">
    <mergeCell ref="B6:G6"/>
    <mergeCell ref="B27:G27"/>
  </mergeCells>
  <hyperlinks>
    <hyperlink ref="J2" location="PPrincipal!A1" display="* Pagina Principal"/>
    <hyperlink ref="J3" location="GBolivar!A1" display="Graficos de Bolivar"/>
    <hyperlink ref="J4" location="'GDelta Amacuro'!A1" display="Graficos de Delta Amacuro"/>
    <hyperlink ref="J5" location="GGuarico!A1" display="Graficos de Guarico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showGridLines="0" showRowColHeaders="0" workbookViewId="0">
      <selection activeCell="Y2" sqref="Y2"/>
    </sheetView>
  </sheetViews>
  <sheetFormatPr baseColWidth="10" defaultColWidth="5.85546875" defaultRowHeight="15" customHeight="1"/>
  <cols>
    <col min="1" max="1" width="2.85546875" style="78" customWidth="1"/>
    <col min="2" max="2" width="7.28515625" style="78" customWidth="1"/>
    <col min="3" max="3" width="5.5703125" style="78" bestFit="1" customWidth="1"/>
    <col min="4" max="4" width="5.42578125" style="78" customWidth="1"/>
    <col min="5" max="5" width="5.5703125" style="78" bestFit="1" customWidth="1"/>
    <col min="6" max="6" width="5.42578125" style="78" customWidth="1"/>
    <col min="7" max="13" width="5.5703125" style="78" bestFit="1" customWidth="1"/>
    <col min="14" max="14" width="5.5703125" style="79" bestFit="1" customWidth="1"/>
    <col min="15" max="22" width="5.5703125" style="78" bestFit="1" customWidth="1"/>
    <col min="23" max="23" width="1.42578125" style="78" customWidth="1"/>
    <col min="24" max="24" width="5.5703125" style="78" bestFit="1" customWidth="1"/>
    <col min="25" max="25" width="12.42578125" style="78" bestFit="1" customWidth="1"/>
    <col min="26" max="26" width="11.7109375" style="78" bestFit="1" customWidth="1"/>
    <col min="27" max="27" width="12.5703125" style="78" bestFit="1" customWidth="1"/>
    <col min="28" max="28" width="6.42578125" style="78" bestFit="1" customWidth="1"/>
    <col min="29" max="29" width="5.5703125" style="78" customWidth="1"/>
    <col min="30" max="16384" width="5.85546875" style="78"/>
  </cols>
  <sheetData>
    <row r="1" spans="1:28" ht="31.5" customHeight="1">
      <c r="B1" s="176" t="s">
        <v>37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</row>
    <row r="2" spans="1:28" ht="15" customHeight="1">
      <c r="C2" s="107"/>
      <c r="G2" s="108"/>
      <c r="H2" s="108"/>
      <c r="I2" s="97"/>
      <c r="J2" s="97"/>
      <c r="Y2" s="98" t="s">
        <v>39</v>
      </c>
      <c r="Z2" s="107"/>
      <c r="AA2" s="108"/>
    </row>
    <row r="3" spans="1:28" ht="15" customHeight="1">
      <c r="C3" s="107"/>
      <c r="G3" s="108"/>
      <c r="H3" s="108"/>
      <c r="I3" s="97"/>
      <c r="J3" s="97"/>
      <c r="Y3" s="98" t="s">
        <v>47</v>
      </c>
      <c r="Z3" s="107"/>
      <c r="AA3" s="108"/>
    </row>
    <row r="4" spans="1:28" ht="15" customHeight="1">
      <c r="C4" s="107"/>
      <c r="G4" s="108"/>
      <c r="H4" s="108"/>
      <c r="I4" s="97"/>
      <c r="J4" s="97"/>
      <c r="Y4" s="98" t="s">
        <v>43</v>
      </c>
      <c r="Z4" s="107"/>
      <c r="AA4" s="108"/>
    </row>
    <row r="5" spans="1:28" ht="15" customHeight="1">
      <c r="C5" s="107"/>
      <c r="G5" s="108"/>
      <c r="H5" s="108"/>
      <c r="I5" s="97"/>
      <c r="J5" s="97"/>
      <c r="Y5" s="98" t="s">
        <v>52</v>
      </c>
      <c r="Z5" s="107"/>
      <c r="AA5" s="108"/>
    </row>
    <row r="6" spans="1:28" s="1" customFormat="1" ht="15" customHeight="1" thickBot="1">
      <c r="A6" s="67"/>
      <c r="B6" s="74"/>
      <c r="C6" s="74"/>
      <c r="D6" s="74"/>
      <c r="E6" s="74"/>
      <c r="F6" s="74"/>
      <c r="G6" s="74"/>
      <c r="H6" s="74"/>
      <c r="I6" s="74"/>
      <c r="J6" s="74"/>
      <c r="K6" s="74"/>
      <c r="L6" s="78"/>
      <c r="M6" s="78"/>
      <c r="N6" s="79"/>
      <c r="O6" s="78"/>
      <c r="P6" s="78"/>
      <c r="Q6" s="78"/>
      <c r="R6" s="78"/>
      <c r="S6" s="78"/>
      <c r="T6" s="78"/>
      <c r="U6" s="78"/>
      <c r="V6" s="78"/>
    </row>
    <row r="7" spans="1:28" s="75" customFormat="1" ht="15" customHeight="1" thickBot="1">
      <c r="A7" s="68"/>
      <c r="B7" s="89" t="s">
        <v>0</v>
      </c>
      <c r="C7" s="99">
        <v>0.3125</v>
      </c>
      <c r="D7" s="100">
        <v>0.33333333333333298</v>
      </c>
      <c r="E7" s="100">
        <v>0.35416666666666702</v>
      </c>
      <c r="F7" s="100">
        <v>0.375</v>
      </c>
      <c r="G7" s="100">
        <v>0.39583333333333298</v>
      </c>
      <c r="H7" s="100">
        <v>0.41666666666666702</v>
      </c>
      <c r="I7" s="100">
        <v>0.4375</v>
      </c>
      <c r="J7" s="100">
        <v>0.45833333333333298</v>
      </c>
      <c r="K7" s="100">
        <v>0.47916666666666702</v>
      </c>
      <c r="L7" s="100">
        <v>0.5</v>
      </c>
      <c r="M7" s="100">
        <v>0.52083333333333304</v>
      </c>
      <c r="N7" s="100">
        <v>4.1666666666666664E-2</v>
      </c>
      <c r="O7" s="100">
        <v>6.25E-2</v>
      </c>
      <c r="P7" s="100">
        <v>8.3333333333333329E-2</v>
      </c>
      <c r="Q7" s="100">
        <v>0.104166666666667</v>
      </c>
      <c r="R7" s="100">
        <v>0.125</v>
      </c>
      <c r="S7" s="100">
        <v>0.14583333333333301</v>
      </c>
      <c r="T7" s="100">
        <v>0.16666666666666599</v>
      </c>
      <c r="U7" s="100">
        <v>0.187499999999999</v>
      </c>
      <c r="V7" s="101">
        <v>0.20833333333333201</v>
      </c>
    </row>
    <row r="8" spans="1:28" ht="15" customHeight="1" thickBot="1">
      <c r="A8" s="76"/>
      <c r="B8" s="148" t="s">
        <v>2</v>
      </c>
      <c r="C8" s="81">
        <v>1</v>
      </c>
      <c r="D8" s="81">
        <v>2</v>
      </c>
      <c r="E8" s="81">
        <v>3</v>
      </c>
      <c r="F8" s="81">
        <v>4</v>
      </c>
      <c r="G8" s="81">
        <v>5</v>
      </c>
      <c r="H8" s="81">
        <v>6</v>
      </c>
      <c r="I8" s="81">
        <v>7</v>
      </c>
      <c r="J8" s="81">
        <v>8</v>
      </c>
      <c r="K8" s="81">
        <v>9</v>
      </c>
      <c r="L8" s="81">
        <v>10</v>
      </c>
      <c r="M8" s="81">
        <v>11</v>
      </c>
      <c r="N8" s="81">
        <v>12</v>
      </c>
      <c r="O8" s="81">
        <v>13</v>
      </c>
      <c r="P8" s="81">
        <v>14</v>
      </c>
      <c r="Q8" s="81">
        <v>15</v>
      </c>
      <c r="R8" s="81">
        <v>16</v>
      </c>
      <c r="S8" s="81">
        <v>17</v>
      </c>
      <c r="T8" s="81">
        <v>18</v>
      </c>
      <c r="U8" s="81">
        <v>19</v>
      </c>
      <c r="V8" s="83">
        <v>20</v>
      </c>
      <c r="X8" s="121" t="s">
        <v>2</v>
      </c>
      <c r="Y8" s="121" t="s">
        <v>36</v>
      </c>
      <c r="Z8" s="121" t="s">
        <v>18</v>
      </c>
      <c r="AA8" s="121" t="s">
        <v>19</v>
      </c>
      <c r="AB8" s="125" t="s">
        <v>9</v>
      </c>
    </row>
    <row r="9" spans="1:28" ht="15" customHeight="1">
      <c r="A9" s="76"/>
      <c r="B9" s="82">
        <v>1</v>
      </c>
      <c r="C9" s="86">
        <f t="shared" ref="C9:L19" si="0">SUMIFS(SumaAp,CentroAp,$B9,TurnoAp,C$8)</f>
        <v>3</v>
      </c>
      <c r="D9" s="77">
        <f t="shared" si="0"/>
        <v>1</v>
      </c>
      <c r="E9" s="77">
        <f t="shared" si="0"/>
        <v>1</v>
      </c>
      <c r="F9" s="77">
        <f t="shared" si="0"/>
        <v>1</v>
      </c>
      <c r="G9" s="77">
        <f t="shared" si="0"/>
        <v>0</v>
      </c>
      <c r="H9" s="77">
        <f t="shared" si="0"/>
        <v>0</v>
      </c>
      <c r="I9" s="77">
        <f t="shared" si="0"/>
        <v>0</v>
      </c>
      <c r="J9" s="77">
        <f t="shared" si="0"/>
        <v>1</v>
      </c>
      <c r="K9" s="77">
        <f t="shared" si="0"/>
        <v>1</v>
      </c>
      <c r="L9" s="77">
        <f t="shared" si="0"/>
        <v>1</v>
      </c>
      <c r="M9" s="77">
        <f t="shared" ref="M9:V19" si="1">SUMIFS(SumaAp,CentroAp,$B9,TurnoAp,M$8)</f>
        <v>1</v>
      </c>
      <c r="N9" s="77">
        <f t="shared" si="1"/>
        <v>1</v>
      </c>
      <c r="O9" s="77">
        <f t="shared" si="1"/>
        <v>1</v>
      </c>
      <c r="P9" s="77">
        <f t="shared" si="1"/>
        <v>1</v>
      </c>
      <c r="Q9" s="77">
        <f t="shared" si="1"/>
        <v>1</v>
      </c>
      <c r="R9" s="77">
        <f t="shared" si="1"/>
        <v>0</v>
      </c>
      <c r="S9" s="77">
        <f t="shared" si="1"/>
        <v>0</v>
      </c>
      <c r="T9" s="77">
        <f t="shared" si="1"/>
        <v>0</v>
      </c>
      <c r="U9" s="77">
        <f t="shared" si="1"/>
        <v>0</v>
      </c>
      <c r="V9" s="103">
        <f t="shared" si="1"/>
        <v>0</v>
      </c>
      <c r="X9" s="126">
        <v>1</v>
      </c>
      <c r="Y9" s="122" t="s">
        <v>30</v>
      </c>
      <c r="Z9" s="126">
        <f t="shared" ref="Z9:Z19" si="2">SUMIF(CentroAp,$X9,Jesus_Aguilarte)</f>
        <v>157</v>
      </c>
      <c r="AA9" s="126">
        <f t="shared" ref="AA9:AA19" si="3">SUMIF(CentroAp,$X9,Mirian_de_Montilla)</f>
        <v>150</v>
      </c>
      <c r="AB9" s="127">
        <f t="shared" ref="AB9:AB19" si="4">SUMIF(CentroAp,$X9,OtroAp)</f>
        <v>53</v>
      </c>
    </row>
    <row r="10" spans="1:28" ht="15" customHeight="1">
      <c r="A10" s="76"/>
      <c r="B10" s="82">
        <v>2</v>
      </c>
      <c r="C10" s="86">
        <f t="shared" si="0"/>
        <v>1</v>
      </c>
      <c r="D10" s="77">
        <f t="shared" si="0"/>
        <v>0</v>
      </c>
      <c r="E10" s="77">
        <f t="shared" si="0"/>
        <v>0</v>
      </c>
      <c r="F10" s="77">
        <f t="shared" si="0"/>
        <v>1</v>
      </c>
      <c r="G10" s="77">
        <f t="shared" si="0"/>
        <v>1</v>
      </c>
      <c r="H10" s="77">
        <f t="shared" si="0"/>
        <v>0</v>
      </c>
      <c r="I10" s="77">
        <f t="shared" si="0"/>
        <v>0</v>
      </c>
      <c r="J10" s="77">
        <f t="shared" si="0"/>
        <v>1</v>
      </c>
      <c r="K10" s="77">
        <f t="shared" si="0"/>
        <v>1</v>
      </c>
      <c r="L10" s="77">
        <f t="shared" si="0"/>
        <v>1</v>
      </c>
      <c r="M10" s="77">
        <f t="shared" si="1"/>
        <v>1</v>
      </c>
      <c r="N10" s="77">
        <f t="shared" si="1"/>
        <v>1</v>
      </c>
      <c r="O10" s="77">
        <f t="shared" si="1"/>
        <v>1</v>
      </c>
      <c r="P10" s="77">
        <f t="shared" si="1"/>
        <v>1</v>
      </c>
      <c r="Q10" s="77">
        <f t="shared" si="1"/>
        <v>0</v>
      </c>
      <c r="R10" s="77">
        <f t="shared" si="1"/>
        <v>0</v>
      </c>
      <c r="S10" s="77">
        <f t="shared" si="1"/>
        <v>0</v>
      </c>
      <c r="T10" s="77">
        <f t="shared" si="1"/>
        <v>0</v>
      </c>
      <c r="U10" s="77">
        <f t="shared" si="1"/>
        <v>0</v>
      </c>
      <c r="V10" s="103">
        <f t="shared" si="1"/>
        <v>0</v>
      </c>
      <c r="X10" s="128">
        <v>2</v>
      </c>
      <c r="Y10" s="123" t="s">
        <v>31</v>
      </c>
      <c r="Z10" s="128">
        <f t="shared" si="2"/>
        <v>91</v>
      </c>
      <c r="AA10" s="128">
        <f t="shared" si="3"/>
        <v>99</v>
      </c>
      <c r="AB10" s="129">
        <f t="shared" si="4"/>
        <v>25</v>
      </c>
    </row>
    <row r="11" spans="1:28" ht="15" customHeight="1">
      <c r="A11" s="76"/>
      <c r="B11" s="82">
        <v>3</v>
      </c>
      <c r="C11" s="86">
        <f t="shared" si="0"/>
        <v>0</v>
      </c>
      <c r="D11" s="77">
        <f t="shared" si="0"/>
        <v>0</v>
      </c>
      <c r="E11" s="77">
        <f t="shared" si="0"/>
        <v>0</v>
      </c>
      <c r="F11" s="77">
        <f t="shared" si="0"/>
        <v>0</v>
      </c>
      <c r="G11" s="77">
        <f t="shared" si="0"/>
        <v>0</v>
      </c>
      <c r="H11" s="77">
        <f t="shared" si="0"/>
        <v>0</v>
      </c>
      <c r="I11" s="77">
        <f t="shared" si="0"/>
        <v>0</v>
      </c>
      <c r="J11" s="77">
        <f t="shared" si="0"/>
        <v>0</v>
      </c>
      <c r="K11" s="77">
        <f t="shared" si="0"/>
        <v>0</v>
      </c>
      <c r="L11" s="77">
        <f t="shared" si="0"/>
        <v>0</v>
      </c>
      <c r="M11" s="77">
        <f t="shared" si="1"/>
        <v>0</v>
      </c>
      <c r="N11" s="77">
        <f t="shared" si="1"/>
        <v>0</v>
      </c>
      <c r="O11" s="77">
        <f t="shared" si="1"/>
        <v>0</v>
      </c>
      <c r="P11" s="77">
        <f t="shared" si="1"/>
        <v>0</v>
      </c>
      <c r="Q11" s="77">
        <f t="shared" si="1"/>
        <v>0</v>
      </c>
      <c r="R11" s="77">
        <f t="shared" si="1"/>
        <v>0</v>
      </c>
      <c r="S11" s="77">
        <f t="shared" si="1"/>
        <v>0</v>
      </c>
      <c r="T11" s="77">
        <f t="shared" si="1"/>
        <v>0</v>
      </c>
      <c r="U11" s="77">
        <f t="shared" si="1"/>
        <v>0</v>
      </c>
      <c r="V11" s="103">
        <f t="shared" si="1"/>
        <v>0</v>
      </c>
      <c r="X11" s="130">
        <v>3</v>
      </c>
      <c r="Y11" s="123" t="s">
        <v>32</v>
      </c>
      <c r="Z11" s="128">
        <f t="shared" si="2"/>
        <v>0</v>
      </c>
      <c r="AA11" s="128">
        <f t="shared" si="3"/>
        <v>0</v>
      </c>
      <c r="AB11" s="129">
        <f t="shared" si="4"/>
        <v>0</v>
      </c>
    </row>
    <row r="12" spans="1:28" ht="15" customHeight="1">
      <c r="A12" s="76"/>
      <c r="B12" s="82">
        <v>4</v>
      </c>
      <c r="C12" s="86">
        <f t="shared" si="0"/>
        <v>0</v>
      </c>
      <c r="D12" s="77">
        <f t="shared" si="0"/>
        <v>0</v>
      </c>
      <c r="E12" s="77">
        <f t="shared" si="0"/>
        <v>0</v>
      </c>
      <c r="F12" s="77">
        <f t="shared" si="0"/>
        <v>0</v>
      </c>
      <c r="G12" s="77">
        <f t="shared" si="0"/>
        <v>1</v>
      </c>
      <c r="H12" s="77">
        <f t="shared" si="0"/>
        <v>1</v>
      </c>
      <c r="I12" s="77">
        <f t="shared" si="0"/>
        <v>1</v>
      </c>
      <c r="J12" s="77">
        <f t="shared" si="0"/>
        <v>1</v>
      </c>
      <c r="K12" s="77">
        <f t="shared" si="0"/>
        <v>1</v>
      </c>
      <c r="L12" s="77">
        <f t="shared" si="0"/>
        <v>1</v>
      </c>
      <c r="M12" s="77">
        <f t="shared" si="1"/>
        <v>1</v>
      </c>
      <c r="N12" s="77">
        <f t="shared" si="1"/>
        <v>1</v>
      </c>
      <c r="O12" s="77">
        <f t="shared" si="1"/>
        <v>1</v>
      </c>
      <c r="P12" s="77">
        <f t="shared" si="1"/>
        <v>1</v>
      </c>
      <c r="Q12" s="77">
        <f t="shared" si="1"/>
        <v>1</v>
      </c>
      <c r="R12" s="77">
        <f t="shared" si="1"/>
        <v>0</v>
      </c>
      <c r="S12" s="77">
        <f t="shared" si="1"/>
        <v>0</v>
      </c>
      <c r="T12" s="77">
        <f t="shared" si="1"/>
        <v>0</v>
      </c>
      <c r="U12" s="77">
        <f t="shared" si="1"/>
        <v>0</v>
      </c>
      <c r="V12" s="103">
        <f t="shared" si="1"/>
        <v>0</v>
      </c>
      <c r="X12" s="128">
        <v>4</v>
      </c>
      <c r="Y12" s="123" t="s">
        <v>33</v>
      </c>
      <c r="Z12" s="128">
        <f t="shared" si="2"/>
        <v>124</v>
      </c>
      <c r="AA12" s="128">
        <f t="shared" si="3"/>
        <v>113</v>
      </c>
      <c r="AB12" s="129">
        <f t="shared" si="4"/>
        <v>31</v>
      </c>
    </row>
    <row r="13" spans="1:28" ht="15" customHeight="1">
      <c r="A13" s="76"/>
      <c r="B13" s="82">
        <v>5</v>
      </c>
      <c r="C13" s="86">
        <f t="shared" si="0"/>
        <v>0</v>
      </c>
      <c r="D13" s="77">
        <f t="shared" si="0"/>
        <v>0</v>
      </c>
      <c r="E13" s="77">
        <f t="shared" si="0"/>
        <v>0</v>
      </c>
      <c r="F13" s="77">
        <f t="shared" si="0"/>
        <v>0</v>
      </c>
      <c r="G13" s="77">
        <f t="shared" si="0"/>
        <v>1</v>
      </c>
      <c r="H13" s="77">
        <f t="shared" si="0"/>
        <v>1</v>
      </c>
      <c r="I13" s="77">
        <f t="shared" si="0"/>
        <v>1</v>
      </c>
      <c r="J13" s="77">
        <f t="shared" si="0"/>
        <v>1</v>
      </c>
      <c r="K13" s="77">
        <f t="shared" si="0"/>
        <v>1</v>
      </c>
      <c r="L13" s="77">
        <f t="shared" si="0"/>
        <v>1</v>
      </c>
      <c r="M13" s="77">
        <f t="shared" si="1"/>
        <v>1</v>
      </c>
      <c r="N13" s="77">
        <f t="shared" si="1"/>
        <v>1</v>
      </c>
      <c r="O13" s="77">
        <f t="shared" si="1"/>
        <v>0</v>
      </c>
      <c r="P13" s="77">
        <f t="shared" si="1"/>
        <v>0</v>
      </c>
      <c r="Q13" s="77">
        <f t="shared" si="1"/>
        <v>0</v>
      </c>
      <c r="R13" s="77">
        <f t="shared" si="1"/>
        <v>0</v>
      </c>
      <c r="S13" s="77">
        <f t="shared" si="1"/>
        <v>0</v>
      </c>
      <c r="T13" s="77">
        <f t="shared" si="1"/>
        <v>0</v>
      </c>
      <c r="U13" s="77">
        <f t="shared" si="1"/>
        <v>0</v>
      </c>
      <c r="V13" s="103">
        <f t="shared" si="1"/>
        <v>0</v>
      </c>
      <c r="X13" s="130">
        <v>5</v>
      </c>
      <c r="Y13" s="123" t="s">
        <v>33</v>
      </c>
      <c r="Z13" s="128">
        <f t="shared" si="2"/>
        <v>152</v>
      </c>
      <c r="AA13" s="128">
        <f t="shared" si="3"/>
        <v>43</v>
      </c>
      <c r="AB13" s="129">
        <f t="shared" si="4"/>
        <v>5</v>
      </c>
    </row>
    <row r="14" spans="1:28" ht="15" customHeight="1">
      <c r="B14" s="82">
        <v>6</v>
      </c>
      <c r="C14" s="86">
        <f t="shared" si="0"/>
        <v>0</v>
      </c>
      <c r="D14" s="77">
        <f t="shared" si="0"/>
        <v>0</v>
      </c>
      <c r="E14" s="77">
        <f t="shared" si="0"/>
        <v>0</v>
      </c>
      <c r="F14" s="77">
        <f t="shared" si="0"/>
        <v>0</v>
      </c>
      <c r="G14" s="77">
        <f t="shared" si="0"/>
        <v>0</v>
      </c>
      <c r="H14" s="77">
        <f t="shared" si="0"/>
        <v>0</v>
      </c>
      <c r="I14" s="77">
        <f t="shared" si="0"/>
        <v>0</v>
      </c>
      <c r="J14" s="77">
        <f t="shared" si="0"/>
        <v>0</v>
      </c>
      <c r="K14" s="77">
        <f t="shared" si="0"/>
        <v>0</v>
      </c>
      <c r="L14" s="77">
        <f t="shared" si="0"/>
        <v>0</v>
      </c>
      <c r="M14" s="77">
        <f t="shared" si="1"/>
        <v>0</v>
      </c>
      <c r="N14" s="77">
        <f t="shared" si="1"/>
        <v>0</v>
      </c>
      <c r="O14" s="77">
        <f t="shared" si="1"/>
        <v>0</v>
      </c>
      <c r="P14" s="77">
        <f t="shared" si="1"/>
        <v>0</v>
      </c>
      <c r="Q14" s="77">
        <f t="shared" si="1"/>
        <v>0</v>
      </c>
      <c r="R14" s="77">
        <f t="shared" si="1"/>
        <v>0</v>
      </c>
      <c r="S14" s="77">
        <f t="shared" si="1"/>
        <v>0</v>
      </c>
      <c r="T14" s="77">
        <f t="shared" si="1"/>
        <v>0</v>
      </c>
      <c r="U14" s="77">
        <f t="shared" si="1"/>
        <v>0</v>
      </c>
      <c r="V14" s="103">
        <f t="shared" si="1"/>
        <v>0</v>
      </c>
      <c r="X14" s="128">
        <v>6</v>
      </c>
      <c r="Y14" s="123" t="s">
        <v>34</v>
      </c>
      <c r="Z14" s="128">
        <f t="shared" si="2"/>
        <v>0</v>
      </c>
      <c r="AA14" s="128">
        <f t="shared" si="3"/>
        <v>0</v>
      </c>
      <c r="AB14" s="129">
        <f t="shared" si="4"/>
        <v>0</v>
      </c>
    </row>
    <row r="15" spans="1:28" ht="15" customHeight="1">
      <c r="B15" s="82">
        <v>7</v>
      </c>
      <c r="C15" s="86">
        <f t="shared" si="0"/>
        <v>0</v>
      </c>
      <c r="D15" s="77">
        <f t="shared" si="0"/>
        <v>1</v>
      </c>
      <c r="E15" s="77">
        <f t="shared" si="0"/>
        <v>1</v>
      </c>
      <c r="F15" s="77">
        <f t="shared" si="0"/>
        <v>1</v>
      </c>
      <c r="G15" s="77">
        <f t="shared" si="0"/>
        <v>0</v>
      </c>
      <c r="H15" s="77">
        <f t="shared" si="0"/>
        <v>1</v>
      </c>
      <c r="I15" s="77">
        <f t="shared" si="0"/>
        <v>1</v>
      </c>
      <c r="J15" s="77">
        <f t="shared" si="0"/>
        <v>1</v>
      </c>
      <c r="K15" s="77">
        <f t="shared" si="0"/>
        <v>1</v>
      </c>
      <c r="L15" s="77">
        <f t="shared" si="0"/>
        <v>1</v>
      </c>
      <c r="M15" s="77">
        <f t="shared" si="1"/>
        <v>1</v>
      </c>
      <c r="N15" s="77">
        <f t="shared" si="1"/>
        <v>2</v>
      </c>
      <c r="O15" s="77">
        <f t="shared" si="1"/>
        <v>2</v>
      </c>
      <c r="P15" s="77">
        <f t="shared" si="1"/>
        <v>1</v>
      </c>
      <c r="Q15" s="77">
        <f t="shared" si="1"/>
        <v>1</v>
      </c>
      <c r="R15" s="77">
        <f t="shared" si="1"/>
        <v>1</v>
      </c>
      <c r="S15" s="77">
        <f t="shared" si="1"/>
        <v>0</v>
      </c>
      <c r="T15" s="77">
        <f t="shared" si="1"/>
        <v>0</v>
      </c>
      <c r="U15" s="77">
        <f t="shared" si="1"/>
        <v>0</v>
      </c>
      <c r="V15" s="103">
        <f t="shared" si="1"/>
        <v>0</v>
      </c>
      <c r="X15" s="130">
        <v>7</v>
      </c>
      <c r="Y15" s="123" t="s">
        <v>35</v>
      </c>
      <c r="Z15" s="128">
        <f t="shared" si="2"/>
        <v>127</v>
      </c>
      <c r="AA15" s="128">
        <f t="shared" si="3"/>
        <v>90</v>
      </c>
      <c r="AB15" s="129">
        <f t="shared" si="4"/>
        <v>38</v>
      </c>
    </row>
    <row r="16" spans="1:28" ht="15" customHeight="1">
      <c r="B16" s="82">
        <v>8</v>
      </c>
      <c r="C16" s="86">
        <f t="shared" si="0"/>
        <v>1</v>
      </c>
      <c r="D16" s="77">
        <f t="shared" si="0"/>
        <v>2</v>
      </c>
      <c r="E16" s="77">
        <f t="shared" si="0"/>
        <v>1</v>
      </c>
      <c r="F16" s="77">
        <f t="shared" si="0"/>
        <v>0</v>
      </c>
      <c r="G16" s="77">
        <f t="shared" si="0"/>
        <v>1</v>
      </c>
      <c r="H16" s="77">
        <f t="shared" si="0"/>
        <v>1</v>
      </c>
      <c r="I16" s="77">
        <f t="shared" si="0"/>
        <v>1</v>
      </c>
      <c r="J16" s="77">
        <f t="shared" si="0"/>
        <v>1</v>
      </c>
      <c r="K16" s="77">
        <f t="shared" si="0"/>
        <v>1</v>
      </c>
      <c r="L16" s="77">
        <f t="shared" si="0"/>
        <v>1</v>
      </c>
      <c r="M16" s="77">
        <f t="shared" si="1"/>
        <v>1</v>
      </c>
      <c r="N16" s="77">
        <f t="shared" si="1"/>
        <v>1</v>
      </c>
      <c r="O16" s="77">
        <f t="shared" si="1"/>
        <v>1</v>
      </c>
      <c r="P16" s="77">
        <f t="shared" si="1"/>
        <v>1</v>
      </c>
      <c r="Q16" s="77">
        <f t="shared" si="1"/>
        <v>1</v>
      </c>
      <c r="R16" s="77">
        <f t="shared" si="1"/>
        <v>0</v>
      </c>
      <c r="S16" s="77">
        <f t="shared" si="1"/>
        <v>0</v>
      </c>
      <c r="T16" s="77">
        <f t="shared" si="1"/>
        <v>0</v>
      </c>
      <c r="U16" s="77">
        <f t="shared" si="1"/>
        <v>0</v>
      </c>
      <c r="V16" s="103">
        <f t="shared" si="1"/>
        <v>0</v>
      </c>
      <c r="X16" s="128">
        <v>8</v>
      </c>
      <c r="Y16" s="123" t="s">
        <v>35</v>
      </c>
      <c r="Z16" s="128">
        <f t="shared" si="2"/>
        <v>168</v>
      </c>
      <c r="AA16" s="128">
        <f t="shared" si="3"/>
        <v>58</v>
      </c>
      <c r="AB16" s="129">
        <f t="shared" si="4"/>
        <v>41</v>
      </c>
    </row>
    <row r="17" spans="2:28" ht="15" customHeight="1">
      <c r="B17" s="82">
        <v>9</v>
      </c>
      <c r="C17" s="86">
        <f t="shared" si="0"/>
        <v>0</v>
      </c>
      <c r="D17" s="77">
        <f t="shared" si="0"/>
        <v>2</v>
      </c>
      <c r="E17" s="77">
        <f t="shared" si="0"/>
        <v>2</v>
      </c>
      <c r="F17" s="77">
        <f t="shared" si="0"/>
        <v>1</v>
      </c>
      <c r="G17" s="77">
        <f t="shared" si="0"/>
        <v>0</v>
      </c>
      <c r="H17" s="77">
        <f t="shared" si="0"/>
        <v>1</v>
      </c>
      <c r="I17" s="77">
        <f t="shared" si="0"/>
        <v>1</v>
      </c>
      <c r="J17" s="77">
        <f t="shared" si="0"/>
        <v>1</v>
      </c>
      <c r="K17" s="77">
        <f t="shared" si="0"/>
        <v>1</v>
      </c>
      <c r="L17" s="77">
        <f t="shared" si="0"/>
        <v>1</v>
      </c>
      <c r="M17" s="77">
        <f t="shared" si="1"/>
        <v>1</v>
      </c>
      <c r="N17" s="77">
        <f t="shared" si="1"/>
        <v>1</v>
      </c>
      <c r="O17" s="77">
        <f t="shared" si="1"/>
        <v>0</v>
      </c>
      <c r="P17" s="77">
        <f t="shared" si="1"/>
        <v>0</v>
      </c>
      <c r="Q17" s="77">
        <f t="shared" si="1"/>
        <v>0</v>
      </c>
      <c r="R17" s="77">
        <f t="shared" si="1"/>
        <v>0</v>
      </c>
      <c r="S17" s="77">
        <f t="shared" si="1"/>
        <v>0</v>
      </c>
      <c r="T17" s="77">
        <f t="shared" si="1"/>
        <v>0</v>
      </c>
      <c r="U17" s="77">
        <f t="shared" si="1"/>
        <v>0</v>
      </c>
      <c r="V17" s="103">
        <f t="shared" si="1"/>
        <v>0</v>
      </c>
      <c r="X17" s="130">
        <v>9</v>
      </c>
      <c r="Y17" s="123" t="s">
        <v>35</v>
      </c>
      <c r="Z17" s="128">
        <f t="shared" si="2"/>
        <v>99</v>
      </c>
      <c r="AA17" s="128">
        <f t="shared" si="3"/>
        <v>53</v>
      </c>
      <c r="AB17" s="129">
        <f t="shared" si="4"/>
        <v>21</v>
      </c>
    </row>
    <row r="18" spans="2:28" ht="15" customHeight="1">
      <c r="B18" s="82">
        <v>10</v>
      </c>
      <c r="C18" s="86">
        <f t="shared" si="0"/>
        <v>0</v>
      </c>
      <c r="D18" s="77">
        <f t="shared" si="0"/>
        <v>0</v>
      </c>
      <c r="E18" s="77">
        <f t="shared" si="0"/>
        <v>1</v>
      </c>
      <c r="F18" s="77">
        <f t="shared" si="0"/>
        <v>0</v>
      </c>
      <c r="G18" s="77">
        <f t="shared" si="0"/>
        <v>1</v>
      </c>
      <c r="H18" s="77">
        <f t="shared" si="0"/>
        <v>1</v>
      </c>
      <c r="I18" s="77">
        <f t="shared" si="0"/>
        <v>1</v>
      </c>
      <c r="J18" s="77">
        <f t="shared" si="0"/>
        <v>1</v>
      </c>
      <c r="K18" s="77">
        <f t="shared" si="0"/>
        <v>1</v>
      </c>
      <c r="L18" s="77">
        <f t="shared" si="0"/>
        <v>0</v>
      </c>
      <c r="M18" s="77">
        <f t="shared" si="1"/>
        <v>1</v>
      </c>
      <c r="N18" s="77">
        <f t="shared" si="1"/>
        <v>1</v>
      </c>
      <c r="O18" s="77">
        <f t="shared" si="1"/>
        <v>1</v>
      </c>
      <c r="P18" s="77">
        <f t="shared" si="1"/>
        <v>1</v>
      </c>
      <c r="Q18" s="77">
        <f t="shared" si="1"/>
        <v>1</v>
      </c>
      <c r="R18" s="77">
        <f t="shared" si="1"/>
        <v>1</v>
      </c>
      <c r="S18" s="77">
        <f t="shared" si="1"/>
        <v>0</v>
      </c>
      <c r="T18" s="77">
        <f t="shared" si="1"/>
        <v>0</v>
      </c>
      <c r="U18" s="77">
        <f t="shared" si="1"/>
        <v>0</v>
      </c>
      <c r="V18" s="103">
        <f t="shared" si="1"/>
        <v>0</v>
      </c>
      <c r="X18" s="128">
        <v>10</v>
      </c>
      <c r="Y18" s="123" t="s">
        <v>35</v>
      </c>
      <c r="Z18" s="128">
        <f t="shared" si="2"/>
        <v>163</v>
      </c>
      <c r="AA18" s="128">
        <f t="shared" si="3"/>
        <v>103</v>
      </c>
      <c r="AB18" s="129">
        <f t="shared" si="4"/>
        <v>34</v>
      </c>
    </row>
    <row r="19" spans="2:28" ht="15" customHeight="1" thickBot="1">
      <c r="B19" s="84">
        <v>11</v>
      </c>
      <c r="C19" s="104">
        <f t="shared" si="0"/>
        <v>0</v>
      </c>
      <c r="D19" s="105">
        <f t="shared" si="0"/>
        <v>0</v>
      </c>
      <c r="E19" s="105">
        <f t="shared" si="0"/>
        <v>0</v>
      </c>
      <c r="F19" s="105">
        <f t="shared" si="0"/>
        <v>0</v>
      </c>
      <c r="G19" s="105">
        <f t="shared" si="0"/>
        <v>0</v>
      </c>
      <c r="H19" s="105">
        <f t="shared" si="0"/>
        <v>0</v>
      </c>
      <c r="I19" s="105">
        <f t="shared" si="0"/>
        <v>0</v>
      </c>
      <c r="J19" s="105">
        <f t="shared" si="0"/>
        <v>0</v>
      </c>
      <c r="K19" s="105">
        <f t="shared" si="0"/>
        <v>0</v>
      </c>
      <c r="L19" s="105">
        <f t="shared" si="0"/>
        <v>0</v>
      </c>
      <c r="M19" s="105">
        <f t="shared" si="1"/>
        <v>0</v>
      </c>
      <c r="N19" s="105">
        <f t="shared" si="1"/>
        <v>0</v>
      </c>
      <c r="O19" s="105">
        <f t="shared" si="1"/>
        <v>0</v>
      </c>
      <c r="P19" s="105">
        <f t="shared" si="1"/>
        <v>0</v>
      </c>
      <c r="Q19" s="105">
        <f t="shared" si="1"/>
        <v>0</v>
      </c>
      <c r="R19" s="105">
        <f t="shared" si="1"/>
        <v>0</v>
      </c>
      <c r="S19" s="105">
        <f t="shared" si="1"/>
        <v>0</v>
      </c>
      <c r="T19" s="105">
        <f t="shared" si="1"/>
        <v>0</v>
      </c>
      <c r="U19" s="105">
        <f t="shared" si="1"/>
        <v>0</v>
      </c>
      <c r="V19" s="106">
        <f t="shared" si="1"/>
        <v>0</v>
      </c>
      <c r="X19" s="131">
        <v>11</v>
      </c>
      <c r="Y19" s="124" t="s">
        <v>35</v>
      </c>
      <c r="Z19" s="132">
        <f t="shared" si="2"/>
        <v>0</v>
      </c>
      <c r="AA19" s="132">
        <f t="shared" si="3"/>
        <v>0</v>
      </c>
      <c r="AB19" s="133">
        <f t="shared" si="4"/>
        <v>0</v>
      </c>
    </row>
    <row r="20" spans="2:28" ht="15" customHeight="1" thickBot="1"/>
    <row r="21" spans="2:28" ht="15" customHeight="1">
      <c r="Y21" s="150" t="s">
        <v>30</v>
      </c>
      <c r="Z21" s="144">
        <f t="shared" ref="Z21:Z26" si="5">SUMIF(MunicipiosAP,Y21,Z$9:Z$19)</f>
        <v>157</v>
      </c>
      <c r="AA21" s="144">
        <f t="shared" ref="AA21:AA26" si="6">SUMIF(MunicipiosAP,Y21,AA$9:AA$19)</f>
        <v>150</v>
      </c>
      <c r="AB21" s="145">
        <f t="shared" ref="AB21:AB26" si="7">SUMIF(MunicipiosAP,Y21,AB$9:AB$19)</f>
        <v>53</v>
      </c>
    </row>
    <row r="22" spans="2:28" ht="15" customHeight="1">
      <c r="Y22" s="151" t="s">
        <v>31</v>
      </c>
      <c r="Z22" s="80">
        <f t="shared" si="5"/>
        <v>91</v>
      </c>
      <c r="AA22" s="80">
        <f t="shared" si="6"/>
        <v>99</v>
      </c>
      <c r="AB22" s="102">
        <f t="shared" si="7"/>
        <v>25</v>
      </c>
    </row>
    <row r="23" spans="2:28" ht="15" customHeight="1">
      <c r="Y23" s="151" t="s">
        <v>32</v>
      </c>
      <c r="Z23" s="80">
        <f t="shared" si="5"/>
        <v>0</v>
      </c>
      <c r="AA23" s="80">
        <f t="shared" si="6"/>
        <v>0</v>
      </c>
      <c r="AB23" s="102">
        <f t="shared" si="7"/>
        <v>0</v>
      </c>
    </row>
    <row r="24" spans="2:28" ht="15" customHeight="1">
      <c r="Y24" s="151" t="s">
        <v>33</v>
      </c>
      <c r="Z24" s="80">
        <f t="shared" si="5"/>
        <v>276</v>
      </c>
      <c r="AA24" s="80">
        <f t="shared" si="6"/>
        <v>156</v>
      </c>
      <c r="AB24" s="102">
        <f t="shared" si="7"/>
        <v>36</v>
      </c>
    </row>
    <row r="25" spans="2:28" ht="15" customHeight="1">
      <c r="Y25" s="151" t="s">
        <v>34</v>
      </c>
      <c r="Z25" s="80">
        <f t="shared" si="5"/>
        <v>0</v>
      </c>
      <c r="AA25" s="80">
        <f t="shared" si="6"/>
        <v>0</v>
      </c>
      <c r="AB25" s="102">
        <f t="shared" si="7"/>
        <v>0</v>
      </c>
    </row>
    <row r="26" spans="2:28" ht="15" customHeight="1" thickBot="1">
      <c r="Y26" s="152" t="s">
        <v>35</v>
      </c>
      <c r="Z26" s="114">
        <f t="shared" si="5"/>
        <v>557</v>
      </c>
      <c r="AA26" s="114">
        <f t="shared" si="6"/>
        <v>304</v>
      </c>
      <c r="AB26" s="115">
        <f t="shared" si="7"/>
        <v>134</v>
      </c>
    </row>
    <row r="27" spans="2:28" ht="15" customHeight="1">
      <c r="Y27" s="149"/>
    </row>
    <row r="28" spans="2:28" ht="15" customHeight="1">
      <c r="Y28" s="149"/>
    </row>
    <row r="29" spans="2:28" ht="15" customHeight="1">
      <c r="Y29" s="149"/>
    </row>
    <row r="30" spans="2:28" ht="15" customHeight="1">
      <c r="Y30" s="149"/>
    </row>
  </sheetData>
  <sheetProtection selectLockedCells="1"/>
  <customSheetViews>
    <customSheetView guid="{F92CD80A-2F20-447E-84B4-C32E1E2FE9A3}" showGridLines="0" showRowCol="0">
      <selection activeCell="Y2" sqref="Y2"/>
      <pageMargins left="0.75" right="0.75" top="1" bottom="1" header="0" footer="0"/>
      <pageSetup paperSize="9" orientation="portrait" r:id="rId1"/>
      <headerFooter alignWithMargins="0"/>
    </customSheetView>
    <customSheetView guid="{6E31FC92-C3FF-4227-932A-BABD82E820B9}" showRuler="0">
      <selection activeCell="J24" sqref="J24"/>
      <pageMargins left="0.75" right="0.75" top="1" bottom="1" header="0" footer="0"/>
      <headerFooter alignWithMargins="0"/>
    </customSheetView>
    <customSheetView guid="{57DF099C-2F69-48FA-8FC1-A9D4BE3C4B9B}" showRuler="0">
      <selection activeCell="J24" sqref="J24"/>
      <pageMargins left="0.75" right="0.75" top="1" bottom="1" header="0" footer="0"/>
      <headerFooter alignWithMargins="0"/>
    </customSheetView>
    <customSheetView guid="{8533A692-1FDC-4EF0-90A0-99C037A6D79B}" showPageBreaks="1" showRuler="0" topLeftCell="C1">
      <selection activeCell="C16" sqref="C16"/>
      <pageMargins left="0.75" right="0.75" top="1" bottom="1" header="0" footer="0"/>
      <headerFooter alignWithMargins="0"/>
    </customSheetView>
    <customSheetView guid="{CA2040AE-62FD-482F-B99E-D7687506BEE4}" showRuler="0">
      <selection activeCell="J24" sqref="J24"/>
      <pageMargins left="0.75" right="0.75" top="1" bottom="1" header="0" footer="0"/>
      <headerFooter alignWithMargins="0"/>
    </customSheetView>
    <customSheetView guid="{9FEEFF71-DB18-450A-9C46-2600DEBD4C2F}" showRuler="0">
      <selection activeCell="J24" sqref="J24"/>
      <pageMargins left="0.75" right="0.75" top="1" bottom="1" header="0" footer="0"/>
      <headerFooter alignWithMargins="0"/>
    </customSheetView>
    <customSheetView guid="{C985031D-D85E-4FDB-AC65-62493A942234}" showRuler="0">
      <selection activeCell="J24" sqref="J24"/>
      <pageMargins left="0.75" right="0.75" top="1" bottom="1" header="0" footer="0"/>
      <headerFooter alignWithMargins="0"/>
    </customSheetView>
    <customSheetView guid="{71ABA865-EF8A-4EB3-AA45-9433D0EFFA82}" showRuler="0">
      <selection activeCell="J24" sqref="J24"/>
      <pageMargins left="0.75" right="0.75" top="1" bottom="1" header="0" footer="0"/>
      <headerFooter alignWithMargins="0"/>
    </customSheetView>
    <customSheetView guid="{A77EC4ED-03BF-4540-A476-D8F99E900844}" showRuler="0">
      <selection activeCell="J24" sqref="J24"/>
      <pageMargins left="0.75" right="0.75" top="1" bottom="1" header="0" footer="0"/>
      <headerFooter alignWithMargins="0"/>
    </customSheetView>
    <customSheetView guid="{56AFE396-18B0-4AF5-AE05-5CBE92BF4893}" showGridLines="0" showRowCol="0">
      <selection activeCell="Y2" sqref="Y2"/>
      <pageMargins left="0.75" right="0.75" top="1" bottom="1" header="0" footer="0"/>
      <pageSetup paperSize="9" orientation="portrait" r:id="rId2"/>
      <headerFooter alignWithMargins="0"/>
    </customSheetView>
    <customSheetView guid="{79B4DA94-8F3B-455B-B3D6-7A15488FD419}" showGridLines="0" showRowCol="0">
      <selection activeCell="Y2" sqref="Y2"/>
      <pageMargins left="0.75" right="0.75" top="1" bottom="1" header="0" footer="0"/>
      <pageSetup paperSize="9" orientation="portrait" r:id="rId3"/>
      <headerFooter alignWithMargins="0"/>
    </customSheetView>
    <customSheetView guid="{4EA0FCF4-4E92-4FEF-BBB1-FFCF2D2846A6}" showGridLines="0" showRowCol="0">
      <selection activeCell="Y2" sqref="Y2"/>
      <pageMargins left="0.75" right="0.75" top="1" bottom="1" header="0" footer="0"/>
      <pageSetup paperSize="9" orientation="portrait" r:id="rId4"/>
      <headerFooter alignWithMargins="0"/>
    </customSheetView>
  </customSheetViews>
  <mergeCells count="1">
    <mergeCell ref="B1:V1"/>
  </mergeCells>
  <phoneticPr fontId="0" type="noConversion"/>
  <conditionalFormatting sqref="C8:V8 B6:K6">
    <cfRule type="cellIs" dxfId="23" priority="6" stopIfTrue="1" operator="equal">
      <formula>"F"</formula>
    </cfRule>
    <cfRule type="cellIs" dxfId="22" priority="7" stopIfTrue="1" operator="equal">
      <formula>"C"</formula>
    </cfRule>
    <cfRule type="cellIs" dxfId="21" priority="8" stopIfTrue="1" operator="equal">
      <formula>"C"</formula>
    </cfRule>
  </conditionalFormatting>
  <conditionalFormatting sqref="C9:V19">
    <cfRule type="cellIs" dxfId="20" priority="3" stopIfTrue="1" operator="equal">
      <formula>0</formula>
    </cfRule>
    <cfRule type="cellIs" dxfId="19" priority="4" stopIfTrue="1" operator="equal">
      <formula>1</formula>
    </cfRule>
    <cfRule type="cellIs" dxfId="18" priority="5" stopIfTrue="1" operator="greaterThan">
      <formula>1</formula>
    </cfRule>
  </conditionalFormatting>
  <hyperlinks>
    <hyperlink ref="Y2" location="PPrincipal!A1" display="* Pagina Principal"/>
    <hyperlink ref="Y3" location="CBolivar!A1" display="Sbolivar"/>
    <hyperlink ref="Y4" location="'CDelta Amacuro'!A1" display="Supervisor de Delta Amacuro"/>
    <hyperlink ref="Y5" location="CGuarico!A1" display="Supervisor de Guárico"/>
  </hyperlinks>
  <pageMargins left="0.75" right="0.75" top="1" bottom="1" header="0" footer="0"/>
  <pageSetup paperSize="9" orientation="portrait" r:id="rId5"/>
  <headerFooter alignWithMargins="0"/>
  <ignoredErrors>
    <ignoredError sqref="Z21:AB26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B1:AA650"/>
  <sheetViews>
    <sheetView showGridLines="0" showRowColHeaders="0" workbookViewId="0">
      <pane ySplit="8" topLeftCell="A96" activePane="bottomLeft" state="frozen"/>
      <selection pane="bottomLeft" activeCell="I5" sqref="I5"/>
    </sheetView>
  </sheetViews>
  <sheetFormatPr baseColWidth="10" defaultRowHeight="12.75"/>
  <cols>
    <col min="1" max="1" width="42.7109375" customWidth="1"/>
    <col min="2" max="8" width="13.7109375" customWidth="1"/>
    <col min="9" max="9" width="13.7109375" style="162" customWidth="1"/>
    <col min="10" max="11" width="13.7109375" customWidth="1"/>
    <col min="12" max="12" width="13.7109375" style="23" customWidth="1"/>
    <col min="13" max="28" width="13.7109375" customWidth="1"/>
  </cols>
  <sheetData>
    <row r="1" spans="2:27" s="14" customFormat="1">
      <c r="J1" s="44"/>
      <c r="L1" s="28"/>
    </row>
    <row r="2" spans="2:27" s="14" customFormat="1">
      <c r="I2" s="158" t="s">
        <v>39</v>
      </c>
      <c r="K2" s="96"/>
      <c r="L2" s="28"/>
      <c r="P2" s="71" t="s">
        <v>6</v>
      </c>
      <c r="Q2" s="72">
        <f>R9</f>
        <v>0.4679245283018868</v>
      </c>
      <c r="R2" s="69"/>
    </row>
    <row r="3" spans="2:27" s="14" customFormat="1">
      <c r="I3" s="159" t="s">
        <v>23</v>
      </c>
      <c r="K3" s="96"/>
      <c r="L3" s="28"/>
      <c r="P3" s="71" t="s">
        <v>7</v>
      </c>
      <c r="Q3" s="72">
        <f>U9</f>
        <v>0.28815094339622643</v>
      </c>
      <c r="R3" s="69"/>
    </row>
    <row r="4" spans="2:27" s="14" customFormat="1">
      <c r="I4" s="160" t="s">
        <v>5</v>
      </c>
      <c r="K4" s="96"/>
      <c r="L4" s="28"/>
      <c r="P4" s="71" t="s">
        <v>8</v>
      </c>
      <c r="Q4" s="72">
        <f>X9</f>
        <v>0.1518490566037736</v>
      </c>
      <c r="R4" s="69"/>
    </row>
    <row r="5" spans="2:27" s="14" customFormat="1">
      <c r="I5" s="158" t="s">
        <v>13</v>
      </c>
      <c r="K5" s="96"/>
      <c r="L5" s="28"/>
      <c r="P5" s="71" t="s">
        <v>9</v>
      </c>
      <c r="Q5" s="72">
        <f>AA9</f>
        <v>9.2075471698113212E-2</v>
      </c>
      <c r="R5" s="69"/>
    </row>
    <row r="6" spans="2:27" s="14" customFormat="1" ht="33">
      <c r="C6" s="24">
        <v>6</v>
      </c>
      <c r="D6" s="20" t="s">
        <v>14</v>
      </c>
      <c r="E6" s="15"/>
      <c r="F6" s="15"/>
      <c r="H6" s="15"/>
      <c r="I6" s="161"/>
      <c r="J6" s="44"/>
      <c r="L6" s="28"/>
    </row>
    <row r="7" spans="2:27" ht="13.5" thickBot="1"/>
    <row r="8" spans="2:27" ht="45.75" thickBot="1">
      <c r="B8" s="25" t="s">
        <v>1</v>
      </c>
      <c r="C8" s="26" t="s">
        <v>2</v>
      </c>
      <c r="D8" s="27" t="s">
        <v>0</v>
      </c>
      <c r="E8" s="13" t="s">
        <v>6</v>
      </c>
      <c r="F8" s="13" t="s">
        <v>7</v>
      </c>
      <c r="G8" s="13" t="s">
        <v>8</v>
      </c>
      <c r="H8" s="13" t="s">
        <v>9</v>
      </c>
      <c r="I8" s="163"/>
      <c r="K8" s="23"/>
      <c r="M8" s="90" t="s">
        <v>41</v>
      </c>
      <c r="P8" s="172" t="s">
        <v>6</v>
      </c>
      <c r="Q8" s="173"/>
      <c r="R8" s="174"/>
      <c r="S8" s="172" t="s">
        <v>7</v>
      </c>
      <c r="T8" s="173"/>
      <c r="U8" s="174"/>
      <c r="V8" s="172" t="s">
        <v>8</v>
      </c>
      <c r="W8" s="173"/>
      <c r="X8" s="174"/>
      <c r="Y8" s="172" t="s">
        <v>9</v>
      </c>
      <c r="Z8" s="173"/>
      <c r="AA8" s="174"/>
    </row>
    <row r="9" spans="2:27" ht="18">
      <c r="B9" s="35">
        <v>6</v>
      </c>
      <c r="C9" s="35">
        <v>12</v>
      </c>
      <c r="D9" s="35">
        <v>1</v>
      </c>
      <c r="E9" s="35">
        <v>1</v>
      </c>
      <c r="F9" s="35">
        <v>1</v>
      </c>
      <c r="G9" s="35">
        <v>1</v>
      </c>
      <c r="H9" s="35">
        <v>1</v>
      </c>
      <c r="I9" s="164"/>
      <c r="M9" s="23">
        <v>1</v>
      </c>
      <c r="N9" s="170" t="s">
        <v>0</v>
      </c>
      <c r="O9" s="170"/>
      <c r="P9" s="36">
        <f>SUM(Francisco_Rangel_Gomez)</f>
        <v>3100</v>
      </c>
      <c r="Q9" s="37">
        <f>P9</f>
        <v>3100</v>
      </c>
      <c r="R9" s="38">
        <f>P9/($P$9+$S$9+$V$9+$Y$9)</f>
        <v>0.4679245283018868</v>
      </c>
      <c r="S9" s="36">
        <f>SUM(Andres_Velasquez)</f>
        <v>1909</v>
      </c>
      <c r="T9" s="37">
        <f>S9</f>
        <v>1909</v>
      </c>
      <c r="U9" s="38">
        <f>S9/($P$9+$S$9+$V$9+$Y$9)</f>
        <v>0.28815094339622643</v>
      </c>
      <c r="V9" s="36">
        <f>SUM(Antonio_Rojas_Suarez)</f>
        <v>1006</v>
      </c>
      <c r="W9" s="37">
        <f>V9</f>
        <v>1006</v>
      </c>
      <c r="X9" s="38">
        <f>V9/($P$9+$S$9+$V$9+$Y$9)</f>
        <v>0.1518490566037736</v>
      </c>
      <c r="Y9" s="36">
        <f>SUM(OtroBo)</f>
        <v>610</v>
      </c>
      <c r="Z9" s="37">
        <f>Y9</f>
        <v>610</v>
      </c>
      <c r="AA9" s="39">
        <f>Y9/($P$9+$S$9+$V$9+$Y$9)</f>
        <v>9.2075471698113212E-2</v>
      </c>
    </row>
    <row r="10" spans="2:27" ht="18">
      <c r="B10" s="35">
        <v>6</v>
      </c>
      <c r="C10" s="35">
        <v>12</v>
      </c>
      <c r="D10" s="35">
        <v>1</v>
      </c>
      <c r="E10" s="35">
        <v>10</v>
      </c>
      <c r="F10" s="35">
        <v>1</v>
      </c>
      <c r="G10" s="35">
        <v>2</v>
      </c>
      <c r="H10" s="35">
        <v>0</v>
      </c>
      <c r="I10" s="164"/>
      <c r="M10" s="23">
        <v>1</v>
      </c>
      <c r="N10" s="6">
        <v>0.3125</v>
      </c>
      <c r="O10" s="2">
        <v>1</v>
      </c>
      <c r="P10" s="4">
        <f t="shared" ref="P10:P29" si="0">SUMIF(TurnoBo,$O10,Francisco_Rangel_Gomez)</f>
        <v>82</v>
      </c>
      <c r="Q10" s="5">
        <f>P10</f>
        <v>82</v>
      </c>
      <c r="R10" s="10">
        <f>IF(P10&lt;&gt;0,Q10/($Q10+$T10+$W10+$Z10),LOOKUP(2121,$R$3:$R$6))</f>
        <v>0.41</v>
      </c>
      <c r="S10" s="4">
        <f t="shared" ref="S10:S29" si="1">SUMIF(TurnoBo,$O10,Andres_Velasquez)</f>
        <v>71</v>
      </c>
      <c r="T10" s="5">
        <f>S10</f>
        <v>71</v>
      </c>
      <c r="U10" s="10">
        <f>IF(S10&lt;&gt;0,T10/($Q10+$T10+$W10+$Z10),LOOKUP(2121,$R$3:$R$6))</f>
        <v>0.35499999999999998</v>
      </c>
      <c r="V10" s="4">
        <f t="shared" ref="V10:V29" si="2">SUMIF(TurnoBo,$O10,Antonio_Rojas_Suarez)</f>
        <v>35</v>
      </c>
      <c r="W10" s="5">
        <f>V10</f>
        <v>35</v>
      </c>
      <c r="X10" s="10">
        <f>IF(V10&lt;&gt;0,W10/($Q10+$T10+$W10+$Z10),LOOKUP(2121,$R$3:$R$6))</f>
        <v>0.17499999999999999</v>
      </c>
      <c r="Y10" s="4">
        <f t="shared" ref="Y10:Y29" si="3">SUMIF(TurnoBo,$O10,OtroBo)</f>
        <v>12</v>
      </c>
      <c r="Z10" s="5">
        <f>Y10</f>
        <v>12</v>
      </c>
      <c r="AA10" s="3">
        <f>IF(Y10&lt;&gt;0,Z10/($Q10+$T10+$W10+$Z10),LOOKUP(2121,$R$3:$R$6))</f>
        <v>0.06</v>
      </c>
    </row>
    <row r="11" spans="2:27" ht="18">
      <c r="B11" s="35">
        <v>6</v>
      </c>
      <c r="C11" s="35">
        <v>42</v>
      </c>
      <c r="D11" s="35">
        <v>1</v>
      </c>
      <c r="E11" s="35">
        <v>5</v>
      </c>
      <c r="F11" s="35">
        <v>4</v>
      </c>
      <c r="G11" s="35">
        <v>2</v>
      </c>
      <c r="H11" s="35">
        <v>0</v>
      </c>
      <c r="I11" s="164"/>
      <c r="M11" s="23">
        <v>1</v>
      </c>
      <c r="N11" s="6">
        <v>0.33333333333333298</v>
      </c>
      <c r="O11" s="2">
        <v>2</v>
      </c>
      <c r="P11" s="4">
        <f t="shared" si="0"/>
        <v>119</v>
      </c>
      <c r="Q11" s="5">
        <f>Q10+P11</f>
        <v>201</v>
      </c>
      <c r="R11" s="10">
        <f t="shared" ref="R11:R29" si="4">IF(P11&lt;&gt;0,Q11/($Q11+$T11+$W11+$Z11),LOOKUP(2121,$R$3:$R$6))</f>
        <v>0.42675159235668791</v>
      </c>
      <c r="S11" s="4">
        <f t="shared" si="1"/>
        <v>93</v>
      </c>
      <c r="T11" s="5">
        <f>T10+S11</f>
        <v>164</v>
      </c>
      <c r="U11" s="10">
        <f t="shared" ref="U11:U29" si="5">IF(S11&lt;&gt;0,T11/($Q11+$T11+$W11+$Z11),LOOKUP(2121,$R$3:$R$6))</f>
        <v>0.34819532908704881</v>
      </c>
      <c r="V11" s="4">
        <f t="shared" si="2"/>
        <v>38</v>
      </c>
      <c r="W11" s="5">
        <f>W10+V11</f>
        <v>73</v>
      </c>
      <c r="X11" s="10">
        <f t="shared" ref="X11:X29" si="6">IF(V11&lt;&gt;0,W11/($Q11+$T11+$W11+$Z11),LOOKUP(2121,$R$3:$R$6))</f>
        <v>0.15498938428874734</v>
      </c>
      <c r="Y11" s="4">
        <f t="shared" si="3"/>
        <v>21</v>
      </c>
      <c r="Z11" s="5">
        <f>Z10+Y11</f>
        <v>33</v>
      </c>
      <c r="AA11" s="3">
        <f t="shared" ref="AA11:AA29" si="7">IF(Y11&lt;&gt;0,Z11/($Q11+$T11+$W11+$Z11),LOOKUP(2121,$R$3:$R$6))</f>
        <v>7.0063694267515922E-2</v>
      </c>
    </row>
    <row r="12" spans="2:27" ht="18">
      <c r="B12" s="35">
        <v>6</v>
      </c>
      <c r="C12" s="35">
        <v>18</v>
      </c>
      <c r="D12" s="35">
        <v>1</v>
      </c>
      <c r="E12" s="35">
        <v>2</v>
      </c>
      <c r="F12" s="35">
        <v>1</v>
      </c>
      <c r="G12" s="35">
        <v>1</v>
      </c>
      <c r="H12" s="35">
        <v>0</v>
      </c>
      <c r="I12" s="164"/>
      <c r="M12" s="23">
        <v>1</v>
      </c>
      <c r="N12" s="6">
        <v>0.35416666666666702</v>
      </c>
      <c r="O12" s="2">
        <v>3</v>
      </c>
      <c r="P12" s="4">
        <f t="shared" si="0"/>
        <v>131</v>
      </c>
      <c r="Q12" s="5">
        <f t="shared" ref="Q12:Q29" si="8">Q11+P12</f>
        <v>332</v>
      </c>
      <c r="R12" s="10">
        <f t="shared" si="4"/>
        <v>0.44864864864864867</v>
      </c>
      <c r="S12" s="4">
        <f t="shared" si="1"/>
        <v>70</v>
      </c>
      <c r="T12" s="5">
        <f t="shared" ref="T12:T29" si="9">T11+S12</f>
        <v>234</v>
      </c>
      <c r="U12" s="10">
        <f t="shared" si="5"/>
        <v>0.31621621621621621</v>
      </c>
      <c r="V12" s="4">
        <f t="shared" si="2"/>
        <v>47</v>
      </c>
      <c r="W12" s="5">
        <f t="shared" ref="W12:W29" si="10">W11+V12</f>
        <v>120</v>
      </c>
      <c r="X12" s="10">
        <f t="shared" si="6"/>
        <v>0.16216216216216217</v>
      </c>
      <c r="Y12" s="4">
        <f t="shared" si="3"/>
        <v>21</v>
      </c>
      <c r="Z12" s="5">
        <f t="shared" ref="Z12:Z29" si="11">Z11+Y12</f>
        <v>54</v>
      </c>
      <c r="AA12" s="3">
        <f t="shared" si="7"/>
        <v>7.2972972972972977E-2</v>
      </c>
    </row>
    <row r="13" spans="2:27" ht="18">
      <c r="B13" s="35">
        <v>6</v>
      </c>
      <c r="C13" s="35">
        <v>43</v>
      </c>
      <c r="D13" s="35">
        <v>2</v>
      </c>
      <c r="E13" s="35">
        <v>6</v>
      </c>
      <c r="F13" s="35">
        <v>6</v>
      </c>
      <c r="G13" s="35">
        <v>2</v>
      </c>
      <c r="H13" s="35">
        <v>0</v>
      </c>
      <c r="I13" s="164"/>
      <c r="M13" s="23">
        <v>1</v>
      </c>
      <c r="N13" s="6">
        <v>0.375</v>
      </c>
      <c r="O13" s="2">
        <v>4</v>
      </c>
      <c r="P13" s="4">
        <f t="shared" si="0"/>
        <v>194</v>
      </c>
      <c r="Q13" s="5">
        <f t="shared" si="8"/>
        <v>526</v>
      </c>
      <c r="R13" s="10">
        <f t="shared" si="4"/>
        <v>0.472596585804133</v>
      </c>
      <c r="S13" s="4">
        <f t="shared" si="1"/>
        <v>81</v>
      </c>
      <c r="T13" s="5">
        <f t="shared" si="9"/>
        <v>315</v>
      </c>
      <c r="U13" s="10">
        <f t="shared" si="5"/>
        <v>0.28301886792452829</v>
      </c>
      <c r="V13" s="4">
        <f t="shared" si="2"/>
        <v>67</v>
      </c>
      <c r="W13" s="5">
        <f t="shared" si="10"/>
        <v>187</v>
      </c>
      <c r="X13" s="10">
        <f t="shared" si="6"/>
        <v>0.16801437556154536</v>
      </c>
      <c r="Y13" s="4">
        <f t="shared" si="3"/>
        <v>31</v>
      </c>
      <c r="Z13" s="5">
        <f t="shared" si="11"/>
        <v>85</v>
      </c>
      <c r="AA13" s="3">
        <f t="shared" si="7"/>
        <v>7.637017070979335E-2</v>
      </c>
    </row>
    <row r="14" spans="2:27" ht="18">
      <c r="B14" s="35">
        <v>6</v>
      </c>
      <c r="C14" s="35">
        <v>34</v>
      </c>
      <c r="D14" s="35">
        <v>1</v>
      </c>
      <c r="E14" s="35">
        <v>12</v>
      </c>
      <c r="F14" s="35">
        <v>5</v>
      </c>
      <c r="G14" s="35">
        <v>2</v>
      </c>
      <c r="H14" s="35">
        <v>1</v>
      </c>
      <c r="I14" s="164"/>
      <c r="M14" s="23">
        <v>1</v>
      </c>
      <c r="N14" s="6">
        <v>0.39583333333333298</v>
      </c>
      <c r="O14" s="2">
        <v>5</v>
      </c>
      <c r="P14" s="4">
        <f t="shared" si="0"/>
        <v>178</v>
      </c>
      <c r="Q14" s="5">
        <f t="shared" si="8"/>
        <v>704</v>
      </c>
      <c r="R14" s="10">
        <f t="shared" si="4"/>
        <v>0.47664184157075151</v>
      </c>
      <c r="S14" s="4">
        <f t="shared" si="1"/>
        <v>99</v>
      </c>
      <c r="T14" s="5">
        <f t="shared" si="9"/>
        <v>414</v>
      </c>
      <c r="U14" s="10">
        <f t="shared" si="5"/>
        <v>0.28029790115098174</v>
      </c>
      <c r="V14" s="4">
        <f t="shared" si="2"/>
        <v>47</v>
      </c>
      <c r="W14" s="5">
        <f t="shared" si="10"/>
        <v>234</v>
      </c>
      <c r="X14" s="10">
        <f t="shared" si="6"/>
        <v>0.15842924847664183</v>
      </c>
      <c r="Y14" s="4">
        <f t="shared" si="3"/>
        <v>40</v>
      </c>
      <c r="Z14" s="5">
        <f t="shared" si="11"/>
        <v>125</v>
      </c>
      <c r="AA14" s="3">
        <f t="shared" si="7"/>
        <v>8.4631008801624913E-2</v>
      </c>
    </row>
    <row r="15" spans="2:27" ht="18">
      <c r="B15" s="167">
        <v>6</v>
      </c>
      <c r="C15" s="35">
        <v>13</v>
      </c>
      <c r="D15" s="35">
        <v>1</v>
      </c>
      <c r="E15" s="35">
        <v>6</v>
      </c>
      <c r="F15" s="35">
        <v>4</v>
      </c>
      <c r="G15" s="35">
        <v>3</v>
      </c>
      <c r="H15" s="35">
        <v>0</v>
      </c>
      <c r="I15" s="164"/>
      <c r="M15" s="23">
        <v>1</v>
      </c>
      <c r="N15" s="6">
        <v>0.41666666666666702</v>
      </c>
      <c r="O15" s="2">
        <v>6</v>
      </c>
      <c r="P15" s="4">
        <f t="shared" si="0"/>
        <v>263</v>
      </c>
      <c r="Q15" s="5">
        <f t="shared" si="8"/>
        <v>967</v>
      </c>
      <c r="R15" s="10">
        <f t="shared" si="4"/>
        <v>0.48690835850956699</v>
      </c>
      <c r="S15" s="4">
        <f t="shared" si="1"/>
        <v>120</v>
      </c>
      <c r="T15" s="5">
        <f t="shared" si="9"/>
        <v>534</v>
      </c>
      <c r="U15" s="10">
        <f t="shared" si="5"/>
        <v>0.26888217522658608</v>
      </c>
      <c r="V15" s="4">
        <f t="shared" si="2"/>
        <v>72</v>
      </c>
      <c r="W15" s="5">
        <f t="shared" si="10"/>
        <v>306</v>
      </c>
      <c r="X15" s="10">
        <f t="shared" si="6"/>
        <v>0.15407854984894259</v>
      </c>
      <c r="Y15" s="4">
        <f t="shared" si="3"/>
        <v>54</v>
      </c>
      <c r="Z15" s="5">
        <f t="shared" si="11"/>
        <v>179</v>
      </c>
      <c r="AA15" s="3">
        <f t="shared" si="7"/>
        <v>9.0130916414904325E-2</v>
      </c>
    </row>
    <row r="16" spans="2:27" ht="18">
      <c r="B16" s="35">
        <v>6</v>
      </c>
      <c r="C16" s="35">
        <v>13</v>
      </c>
      <c r="D16" s="35">
        <v>2</v>
      </c>
      <c r="E16" s="35">
        <v>5</v>
      </c>
      <c r="F16" s="35">
        <v>2</v>
      </c>
      <c r="G16" s="35">
        <v>4</v>
      </c>
      <c r="H16" s="35">
        <v>3</v>
      </c>
      <c r="I16" s="164"/>
      <c r="M16" s="23">
        <v>1</v>
      </c>
      <c r="N16" s="6">
        <v>0.4375</v>
      </c>
      <c r="O16" s="2">
        <v>7</v>
      </c>
      <c r="P16" s="4">
        <f t="shared" si="0"/>
        <v>192</v>
      </c>
      <c r="Q16" s="5">
        <f t="shared" si="8"/>
        <v>1159</v>
      </c>
      <c r="R16" s="10">
        <f t="shared" si="4"/>
        <v>0.48191268191268194</v>
      </c>
      <c r="S16" s="4">
        <f t="shared" si="1"/>
        <v>109</v>
      </c>
      <c r="T16" s="5">
        <f t="shared" si="9"/>
        <v>643</v>
      </c>
      <c r="U16" s="10">
        <f t="shared" si="5"/>
        <v>0.26735966735966737</v>
      </c>
      <c r="V16" s="4">
        <f t="shared" si="2"/>
        <v>72</v>
      </c>
      <c r="W16" s="5">
        <f t="shared" si="10"/>
        <v>378</v>
      </c>
      <c r="X16" s="10">
        <f t="shared" si="6"/>
        <v>0.15717255717255718</v>
      </c>
      <c r="Y16" s="4">
        <f t="shared" si="3"/>
        <v>46</v>
      </c>
      <c r="Z16" s="5">
        <f t="shared" si="11"/>
        <v>225</v>
      </c>
      <c r="AA16" s="3">
        <f t="shared" si="7"/>
        <v>9.355509355509356E-2</v>
      </c>
    </row>
    <row r="17" spans="2:27" ht="18">
      <c r="B17" s="35">
        <v>6</v>
      </c>
      <c r="C17" s="35">
        <v>25</v>
      </c>
      <c r="D17" s="35">
        <v>1</v>
      </c>
      <c r="E17" s="35">
        <v>5</v>
      </c>
      <c r="F17" s="35">
        <v>8</v>
      </c>
      <c r="G17" s="35">
        <v>1</v>
      </c>
      <c r="H17" s="35">
        <v>0</v>
      </c>
      <c r="I17" s="164"/>
      <c r="M17" s="23">
        <v>1</v>
      </c>
      <c r="N17" s="6">
        <v>0.45833333333333298</v>
      </c>
      <c r="O17" s="2">
        <v>8</v>
      </c>
      <c r="P17" s="4">
        <f t="shared" si="0"/>
        <v>275</v>
      </c>
      <c r="Q17" s="5">
        <f t="shared" si="8"/>
        <v>1434</v>
      </c>
      <c r="R17" s="10">
        <f t="shared" si="4"/>
        <v>0.48544346648612052</v>
      </c>
      <c r="S17" s="4">
        <f t="shared" si="1"/>
        <v>112</v>
      </c>
      <c r="T17" s="5">
        <f t="shared" si="9"/>
        <v>755</v>
      </c>
      <c r="U17" s="10">
        <f t="shared" si="5"/>
        <v>0.25558564658090727</v>
      </c>
      <c r="V17" s="4">
        <f t="shared" si="2"/>
        <v>86</v>
      </c>
      <c r="W17" s="5">
        <f t="shared" si="10"/>
        <v>464</v>
      </c>
      <c r="X17" s="10">
        <f t="shared" si="6"/>
        <v>0.15707515233581584</v>
      </c>
      <c r="Y17" s="4">
        <f t="shared" si="3"/>
        <v>76</v>
      </c>
      <c r="Z17" s="5">
        <f t="shared" si="11"/>
        <v>301</v>
      </c>
      <c r="AA17" s="3">
        <f t="shared" si="7"/>
        <v>0.1018957345971564</v>
      </c>
    </row>
    <row r="18" spans="2:27" ht="18">
      <c r="B18" s="35">
        <v>6</v>
      </c>
      <c r="C18" s="35">
        <v>14</v>
      </c>
      <c r="D18" s="35">
        <v>3</v>
      </c>
      <c r="E18" s="35">
        <v>6</v>
      </c>
      <c r="F18" s="35">
        <v>0</v>
      </c>
      <c r="G18" s="35">
        <v>1</v>
      </c>
      <c r="H18" s="35">
        <v>1</v>
      </c>
      <c r="I18" s="164"/>
      <c r="M18" s="23">
        <v>1</v>
      </c>
      <c r="N18" s="6">
        <v>0.47916666666666702</v>
      </c>
      <c r="O18" s="2">
        <v>9</v>
      </c>
      <c r="P18" s="4">
        <f t="shared" si="0"/>
        <v>255</v>
      </c>
      <c r="Q18" s="5">
        <f t="shared" si="8"/>
        <v>1689</v>
      </c>
      <c r="R18" s="10">
        <f t="shared" si="4"/>
        <v>0.48786828422876949</v>
      </c>
      <c r="S18" s="4">
        <f t="shared" si="1"/>
        <v>138</v>
      </c>
      <c r="T18" s="5">
        <f t="shared" si="9"/>
        <v>893</v>
      </c>
      <c r="U18" s="10">
        <f t="shared" si="5"/>
        <v>0.25794338532640093</v>
      </c>
      <c r="V18" s="4">
        <f t="shared" si="2"/>
        <v>66</v>
      </c>
      <c r="W18" s="5">
        <f t="shared" si="10"/>
        <v>530</v>
      </c>
      <c r="X18" s="10">
        <f t="shared" si="6"/>
        <v>0.15309069901790873</v>
      </c>
      <c r="Y18" s="4">
        <f t="shared" si="3"/>
        <v>49</v>
      </c>
      <c r="Z18" s="5">
        <f t="shared" si="11"/>
        <v>350</v>
      </c>
      <c r="AA18" s="3">
        <f t="shared" si="7"/>
        <v>0.10109763142692085</v>
      </c>
    </row>
    <row r="19" spans="2:27" ht="18">
      <c r="B19" s="35">
        <v>6</v>
      </c>
      <c r="C19" s="35">
        <v>37</v>
      </c>
      <c r="D19" s="35">
        <v>1</v>
      </c>
      <c r="E19" s="35">
        <v>1</v>
      </c>
      <c r="F19" s="35">
        <v>0</v>
      </c>
      <c r="G19" s="35">
        <v>0</v>
      </c>
      <c r="H19" s="35">
        <v>0</v>
      </c>
      <c r="I19" s="164"/>
      <c r="M19" s="23">
        <v>1</v>
      </c>
      <c r="N19" s="6">
        <v>0.5</v>
      </c>
      <c r="O19" s="2">
        <v>10</v>
      </c>
      <c r="P19" s="4">
        <f t="shared" si="0"/>
        <v>249</v>
      </c>
      <c r="Q19" s="5">
        <f t="shared" si="8"/>
        <v>1938</v>
      </c>
      <c r="R19" s="10">
        <f t="shared" si="4"/>
        <v>0.48620170597089812</v>
      </c>
      <c r="S19" s="4">
        <f t="shared" si="1"/>
        <v>153</v>
      </c>
      <c r="T19" s="5">
        <f t="shared" si="9"/>
        <v>1046</v>
      </c>
      <c r="U19" s="10">
        <f t="shared" si="5"/>
        <v>0.26241846462619167</v>
      </c>
      <c r="V19" s="4">
        <f t="shared" si="2"/>
        <v>68</v>
      </c>
      <c r="W19" s="5">
        <f t="shared" si="10"/>
        <v>598</v>
      </c>
      <c r="X19" s="10">
        <f t="shared" si="6"/>
        <v>0.15002508780732565</v>
      </c>
      <c r="Y19" s="4">
        <f t="shared" si="3"/>
        <v>54</v>
      </c>
      <c r="Z19" s="5">
        <f t="shared" si="11"/>
        <v>404</v>
      </c>
      <c r="AA19" s="3">
        <f t="shared" si="7"/>
        <v>0.10135474159558455</v>
      </c>
    </row>
    <row r="20" spans="2:27" ht="18">
      <c r="B20" s="35">
        <v>6</v>
      </c>
      <c r="C20" s="35">
        <v>39</v>
      </c>
      <c r="D20" s="35">
        <v>3</v>
      </c>
      <c r="E20" s="35">
        <v>2</v>
      </c>
      <c r="F20" s="35">
        <v>10</v>
      </c>
      <c r="G20" s="35">
        <v>0</v>
      </c>
      <c r="H20" s="35">
        <v>0</v>
      </c>
      <c r="I20" s="164"/>
      <c r="M20" s="23">
        <v>1</v>
      </c>
      <c r="N20" s="6">
        <v>0.52083333333333304</v>
      </c>
      <c r="O20" s="2">
        <v>11</v>
      </c>
      <c r="P20" s="4">
        <f t="shared" si="0"/>
        <v>214</v>
      </c>
      <c r="Q20" s="5">
        <f t="shared" si="8"/>
        <v>2152</v>
      </c>
      <c r="R20" s="10">
        <f t="shared" si="4"/>
        <v>0.47918058338900021</v>
      </c>
      <c r="S20" s="4">
        <f t="shared" si="1"/>
        <v>165</v>
      </c>
      <c r="T20" s="5">
        <f t="shared" si="9"/>
        <v>1211</v>
      </c>
      <c r="U20" s="10">
        <f t="shared" si="5"/>
        <v>0.26965041193498107</v>
      </c>
      <c r="V20" s="4">
        <f t="shared" si="2"/>
        <v>87</v>
      </c>
      <c r="W20" s="5">
        <f t="shared" si="10"/>
        <v>685</v>
      </c>
      <c r="X20" s="10">
        <f t="shared" si="6"/>
        <v>0.15252727677577377</v>
      </c>
      <c r="Y20" s="4">
        <f t="shared" si="3"/>
        <v>39</v>
      </c>
      <c r="Z20" s="5">
        <f t="shared" si="11"/>
        <v>443</v>
      </c>
      <c r="AA20" s="3">
        <f t="shared" si="7"/>
        <v>9.8641727900244933E-2</v>
      </c>
    </row>
    <row r="21" spans="2:27" ht="18">
      <c r="B21" s="35">
        <v>6</v>
      </c>
      <c r="C21" s="35">
        <v>38</v>
      </c>
      <c r="D21" s="35">
        <v>1</v>
      </c>
      <c r="E21" s="35">
        <v>6</v>
      </c>
      <c r="F21" s="35">
        <v>5</v>
      </c>
      <c r="G21" s="35">
        <v>0</v>
      </c>
      <c r="H21" s="35">
        <v>2</v>
      </c>
      <c r="I21" s="164"/>
      <c r="M21" s="23">
        <v>1</v>
      </c>
      <c r="N21" s="6">
        <v>4.1666666666666664E-2</v>
      </c>
      <c r="O21" s="2">
        <v>12</v>
      </c>
      <c r="P21" s="4">
        <f t="shared" si="0"/>
        <v>264</v>
      </c>
      <c r="Q21" s="5">
        <f t="shared" si="8"/>
        <v>2416</v>
      </c>
      <c r="R21" s="10">
        <f t="shared" si="4"/>
        <v>0.48137079099422198</v>
      </c>
      <c r="S21" s="4">
        <f t="shared" si="1"/>
        <v>151</v>
      </c>
      <c r="T21" s="5">
        <f t="shared" si="9"/>
        <v>1362</v>
      </c>
      <c r="U21" s="10">
        <f t="shared" si="5"/>
        <v>0.27136879856545126</v>
      </c>
      <c r="V21" s="4">
        <f t="shared" si="2"/>
        <v>68</v>
      </c>
      <c r="W21" s="5">
        <f t="shared" si="10"/>
        <v>753</v>
      </c>
      <c r="X21" s="10">
        <f t="shared" si="6"/>
        <v>0.15002988643156007</v>
      </c>
      <c r="Y21" s="4">
        <f t="shared" si="3"/>
        <v>45</v>
      </c>
      <c r="Z21" s="5">
        <f t="shared" si="11"/>
        <v>488</v>
      </c>
      <c r="AA21" s="3">
        <f t="shared" si="7"/>
        <v>9.7230524008766681E-2</v>
      </c>
    </row>
    <row r="22" spans="2:27" ht="18">
      <c r="B22" s="35">
        <v>6</v>
      </c>
      <c r="C22" s="35">
        <v>22</v>
      </c>
      <c r="D22" s="35">
        <v>1</v>
      </c>
      <c r="E22" s="35">
        <v>3</v>
      </c>
      <c r="F22" s="35">
        <v>5</v>
      </c>
      <c r="G22" s="35">
        <v>10</v>
      </c>
      <c r="H22" s="35">
        <v>0</v>
      </c>
      <c r="I22" s="164"/>
      <c r="M22" s="23">
        <v>1</v>
      </c>
      <c r="N22" s="6">
        <v>6.25E-2</v>
      </c>
      <c r="O22" s="2">
        <v>13</v>
      </c>
      <c r="P22" s="4">
        <f t="shared" si="0"/>
        <v>219</v>
      </c>
      <c r="Q22" s="5">
        <f t="shared" si="8"/>
        <v>2635</v>
      </c>
      <c r="R22" s="10">
        <f t="shared" si="4"/>
        <v>0.47822141560798548</v>
      </c>
      <c r="S22" s="4">
        <f t="shared" si="1"/>
        <v>161</v>
      </c>
      <c r="T22" s="5">
        <f t="shared" si="9"/>
        <v>1523</v>
      </c>
      <c r="U22" s="10">
        <f t="shared" si="5"/>
        <v>0.27640653357531758</v>
      </c>
      <c r="V22" s="4">
        <f t="shared" si="2"/>
        <v>71</v>
      </c>
      <c r="W22" s="5">
        <f t="shared" si="10"/>
        <v>824</v>
      </c>
      <c r="X22" s="10">
        <f t="shared" si="6"/>
        <v>0.14954627949183302</v>
      </c>
      <c r="Y22" s="4">
        <f t="shared" si="3"/>
        <v>40</v>
      </c>
      <c r="Z22" s="5">
        <f t="shared" si="11"/>
        <v>528</v>
      </c>
      <c r="AA22" s="3">
        <f t="shared" si="7"/>
        <v>9.582577132486389E-2</v>
      </c>
    </row>
    <row r="23" spans="2:27" ht="18">
      <c r="B23" s="35">
        <v>6</v>
      </c>
      <c r="C23" s="35">
        <v>35</v>
      </c>
      <c r="D23" s="35">
        <v>2</v>
      </c>
      <c r="E23" s="35">
        <v>10</v>
      </c>
      <c r="F23" s="35">
        <v>4</v>
      </c>
      <c r="G23" s="35">
        <v>0</v>
      </c>
      <c r="H23" s="35">
        <v>1</v>
      </c>
      <c r="I23" s="164"/>
      <c r="M23" s="23">
        <v>1</v>
      </c>
      <c r="N23" s="6">
        <v>8.3333333333333329E-2</v>
      </c>
      <c r="O23" s="2">
        <v>14</v>
      </c>
      <c r="P23" s="4">
        <f t="shared" si="0"/>
        <v>186</v>
      </c>
      <c r="Q23" s="5">
        <f t="shared" si="8"/>
        <v>2821</v>
      </c>
      <c r="R23" s="10">
        <f t="shared" si="4"/>
        <v>0.47652027027027027</v>
      </c>
      <c r="S23" s="4">
        <f t="shared" si="1"/>
        <v>128</v>
      </c>
      <c r="T23" s="5">
        <f t="shared" si="9"/>
        <v>1651</v>
      </c>
      <c r="U23" s="10">
        <f t="shared" si="5"/>
        <v>0.27888513513513513</v>
      </c>
      <c r="V23" s="4">
        <f t="shared" si="2"/>
        <v>72</v>
      </c>
      <c r="W23" s="5">
        <f t="shared" si="10"/>
        <v>896</v>
      </c>
      <c r="X23" s="10">
        <f t="shared" si="6"/>
        <v>0.15135135135135136</v>
      </c>
      <c r="Y23" s="4">
        <f t="shared" si="3"/>
        <v>24</v>
      </c>
      <c r="Z23" s="5">
        <f t="shared" si="11"/>
        <v>552</v>
      </c>
      <c r="AA23" s="3">
        <f t="shared" si="7"/>
        <v>9.3243243243243248E-2</v>
      </c>
    </row>
    <row r="24" spans="2:27" ht="18">
      <c r="B24" s="35">
        <v>6</v>
      </c>
      <c r="C24" s="35">
        <v>35</v>
      </c>
      <c r="D24" s="35">
        <v>1</v>
      </c>
      <c r="E24" s="35">
        <v>2</v>
      </c>
      <c r="F24" s="35">
        <v>3</v>
      </c>
      <c r="G24" s="35">
        <v>0</v>
      </c>
      <c r="H24" s="35">
        <v>6</v>
      </c>
      <c r="I24" s="164"/>
      <c r="M24" s="23">
        <v>1</v>
      </c>
      <c r="N24" s="6">
        <v>0.104166666666667</v>
      </c>
      <c r="O24" s="2">
        <v>15</v>
      </c>
      <c r="P24" s="4">
        <f t="shared" si="0"/>
        <v>144</v>
      </c>
      <c r="Q24" s="5">
        <f t="shared" si="8"/>
        <v>2965</v>
      </c>
      <c r="R24" s="10">
        <f t="shared" si="4"/>
        <v>0.47477982385908729</v>
      </c>
      <c r="S24" s="4">
        <f t="shared" si="1"/>
        <v>102</v>
      </c>
      <c r="T24" s="5">
        <f t="shared" si="9"/>
        <v>1753</v>
      </c>
      <c r="U24" s="10">
        <f t="shared" si="5"/>
        <v>0.28070456365092072</v>
      </c>
      <c r="V24" s="4">
        <f t="shared" si="2"/>
        <v>51</v>
      </c>
      <c r="W24" s="5">
        <f t="shared" si="10"/>
        <v>947</v>
      </c>
      <c r="X24" s="10">
        <f t="shared" si="6"/>
        <v>0.15164131305044035</v>
      </c>
      <c r="Y24" s="4">
        <f t="shared" si="3"/>
        <v>28</v>
      </c>
      <c r="Z24" s="5">
        <f t="shared" si="11"/>
        <v>580</v>
      </c>
      <c r="AA24" s="3">
        <f t="shared" si="7"/>
        <v>9.2874299439551639E-2</v>
      </c>
    </row>
    <row r="25" spans="2:27" ht="18">
      <c r="B25" s="35">
        <v>6</v>
      </c>
      <c r="C25" s="35">
        <v>30</v>
      </c>
      <c r="D25" s="35">
        <v>1</v>
      </c>
      <c r="E25" s="35">
        <v>0</v>
      </c>
      <c r="F25" s="35">
        <v>2</v>
      </c>
      <c r="G25" s="35">
        <v>0</v>
      </c>
      <c r="H25" s="35">
        <v>0</v>
      </c>
      <c r="I25" s="164"/>
      <c r="M25" s="23">
        <v>1</v>
      </c>
      <c r="N25" s="6">
        <v>0.125</v>
      </c>
      <c r="O25" s="2">
        <v>16</v>
      </c>
      <c r="P25" s="4">
        <f t="shared" si="0"/>
        <v>80</v>
      </c>
      <c r="Q25" s="5">
        <f t="shared" si="8"/>
        <v>3045</v>
      </c>
      <c r="R25" s="10">
        <f t="shared" si="4"/>
        <v>0.47187354718735469</v>
      </c>
      <c r="S25" s="4">
        <f t="shared" si="1"/>
        <v>71</v>
      </c>
      <c r="T25" s="5">
        <f t="shared" si="9"/>
        <v>1824</v>
      </c>
      <c r="U25" s="10">
        <f t="shared" si="5"/>
        <v>0.28265922826592282</v>
      </c>
      <c r="V25" s="4">
        <f t="shared" si="2"/>
        <v>37</v>
      </c>
      <c r="W25" s="5">
        <f t="shared" si="10"/>
        <v>984</v>
      </c>
      <c r="X25" s="10">
        <f t="shared" si="6"/>
        <v>0.15248721524872152</v>
      </c>
      <c r="Y25" s="4">
        <f t="shared" si="3"/>
        <v>20</v>
      </c>
      <c r="Z25" s="5">
        <f t="shared" si="11"/>
        <v>600</v>
      </c>
      <c r="AA25" s="3">
        <f t="shared" si="7"/>
        <v>9.2980009298000932E-2</v>
      </c>
    </row>
    <row r="26" spans="2:27" ht="18">
      <c r="B26" s="35">
        <v>6</v>
      </c>
      <c r="C26" s="35">
        <v>41</v>
      </c>
      <c r="D26" s="35">
        <v>2</v>
      </c>
      <c r="E26" s="35">
        <v>17</v>
      </c>
      <c r="F26" s="35">
        <v>7</v>
      </c>
      <c r="G26" s="35">
        <v>0</v>
      </c>
      <c r="H26" s="35">
        <v>1</v>
      </c>
      <c r="I26" s="164"/>
      <c r="M26" s="23">
        <v>1</v>
      </c>
      <c r="N26" s="6">
        <v>0.14583333333333301</v>
      </c>
      <c r="O26" s="2">
        <v>17</v>
      </c>
      <c r="P26" s="4">
        <f t="shared" si="0"/>
        <v>32</v>
      </c>
      <c r="Q26" s="5">
        <f t="shared" si="8"/>
        <v>3077</v>
      </c>
      <c r="R26" s="10">
        <f t="shared" si="4"/>
        <v>0.46862625647273837</v>
      </c>
      <c r="S26" s="4">
        <f t="shared" si="1"/>
        <v>57</v>
      </c>
      <c r="T26" s="5">
        <f t="shared" si="9"/>
        <v>1881</v>
      </c>
      <c r="U26" s="10">
        <f t="shared" si="5"/>
        <v>0.28647578434358817</v>
      </c>
      <c r="V26" s="4">
        <f t="shared" si="2"/>
        <v>16</v>
      </c>
      <c r="W26" s="5">
        <f t="shared" si="10"/>
        <v>1000</v>
      </c>
      <c r="X26" s="10">
        <f t="shared" si="6"/>
        <v>0.15229972586049345</v>
      </c>
      <c r="Y26" s="4">
        <f t="shared" si="3"/>
        <v>8</v>
      </c>
      <c r="Z26" s="5">
        <f t="shared" si="11"/>
        <v>608</v>
      </c>
      <c r="AA26" s="3">
        <f t="shared" si="7"/>
        <v>9.2598233323180013E-2</v>
      </c>
    </row>
    <row r="27" spans="2:27" ht="18">
      <c r="B27" s="35">
        <v>6</v>
      </c>
      <c r="C27" s="35">
        <v>36</v>
      </c>
      <c r="D27" s="35">
        <v>3</v>
      </c>
      <c r="E27" s="35">
        <v>6</v>
      </c>
      <c r="F27" s="35">
        <v>2</v>
      </c>
      <c r="G27" s="35">
        <v>0</v>
      </c>
      <c r="H27" s="35">
        <v>1</v>
      </c>
      <c r="I27" s="164"/>
      <c r="M27" s="23">
        <v>1</v>
      </c>
      <c r="N27" s="6">
        <v>0.16666666666666599</v>
      </c>
      <c r="O27" s="2">
        <v>18</v>
      </c>
      <c r="P27" s="4">
        <f t="shared" si="0"/>
        <v>12</v>
      </c>
      <c r="Q27" s="5">
        <f t="shared" si="8"/>
        <v>3089</v>
      </c>
      <c r="R27" s="10">
        <f t="shared" si="4"/>
        <v>0.46817217338587452</v>
      </c>
      <c r="S27" s="4">
        <f t="shared" si="1"/>
        <v>19</v>
      </c>
      <c r="T27" s="5">
        <f t="shared" si="9"/>
        <v>1900</v>
      </c>
      <c r="U27" s="10">
        <f t="shared" si="5"/>
        <v>0.28796605031827827</v>
      </c>
      <c r="V27" s="4">
        <f t="shared" si="2"/>
        <v>1</v>
      </c>
      <c r="W27" s="5">
        <f t="shared" si="10"/>
        <v>1001</v>
      </c>
      <c r="X27" s="10">
        <f t="shared" si="6"/>
        <v>0.15171264019399819</v>
      </c>
      <c r="Y27" s="4">
        <f t="shared" si="3"/>
        <v>0</v>
      </c>
      <c r="Z27" s="5">
        <f t="shared" si="11"/>
        <v>608</v>
      </c>
      <c r="AA27" s="3" t="e">
        <f t="shared" si="7"/>
        <v>#N/A</v>
      </c>
    </row>
    <row r="28" spans="2:27" ht="18">
      <c r="B28" s="35">
        <v>6</v>
      </c>
      <c r="C28" s="35">
        <v>21</v>
      </c>
      <c r="D28" s="35">
        <v>1</v>
      </c>
      <c r="E28" s="35">
        <v>12</v>
      </c>
      <c r="F28" s="35">
        <v>7</v>
      </c>
      <c r="G28" s="35">
        <v>5</v>
      </c>
      <c r="H28" s="35">
        <v>0</v>
      </c>
      <c r="I28" s="164"/>
      <c r="M28" s="23">
        <v>1</v>
      </c>
      <c r="N28" s="6">
        <v>0.187499999999999</v>
      </c>
      <c r="O28" s="2">
        <v>19</v>
      </c>
      <c r="P28" s="4">
        <f t="shared" si="0"/>
        <v>4</v>
      </c>
      <c r="Q28" s="5">
        <f t="shared" si="8"/>
        <v>3093</v>
      </c>
      <c r="R28" s="10">
        <f t="shared" si="4"/>
        <v>0.46778584392014522</v>
      </c>
      <c r="S28" s="4">
        <f t="shared" si="1"/>
        <v>6</v>
      </c>
      <c r="T28" s="5">
        <f t="shared" si="9"/>
        <v>1906</v>
      </c>
      <c r="U28" s="10">
        <f t="shared" si="5"/>
        <v>0.28826376285541438</v>
      </c>
      <c r="V28" s="4">
        <f t="shared" si="2"/>
        <v>4</v>
      </c>
      <c r="W28" s="5">
        <f t="shared" si="10"/>
        <v>1005</v>
      </c>
      <c r="X28" s="10">
        <f t="shared" si="6"/>
        <v>0.15199637023593465</v>
      </c>
      <c r="Y28" s="4">
        <f t="shared" si="3"/>
        <v>0</v>
      </c>
      <c r="Z28" s="5">
        <f t="shared" si="11"/>
        <v>608</v>
      </c>
      <c r="AA28" s="3" t="e">
        <f t="shared" si="7"/>
        <v>#N/A</v>
      </c>
    </row>
    <row r="29" spans="2:27" ht="18.75" thickBot="1">
      <c r="B29" s="35">
        <v>6</v>
      </c>
      <c r="C29" s="35">
        <v>21</v>
      </c>
      <c r="D29" s="35">
        <v>2</v>
      </c>
      <c r="E29" s="35">
        <v>11</v>
      </c>
      <c r="F29" s="35">
        <v>7</v>
      </c>
      <c r="G29" s="35">
        <v>6</v>
      </c>
      <c r="H29" s="35">
        <v>1</v>
      </c>
      <c r="I29" s="164"/>
      <c r="M29" s="23">
        <v>1</v>
      </c>
      <c r="N29" s="6">
        <v>0.20833333333333201</v>
      </c>
      <c r="O29" s="2">
        <v>20</v>
      </c>
      <c r="P29" s="7">
        <f t="shared" si="0"/>
        <v>7</v>
      </c>
      <c r="Q29" s="8">
        <f t="shared" si="8"/>
        <v>3100</v>
      </c>
      <c r="R29" s="11">
        <f t="shared" si="4"/>
        <v>0.4679245283018868</v>
      </c>
      <c r="S29" s="7">
        <f t="shared" si="1"/>
        <v>3</v>
      </c>
      <c r="T29" s="8">
        <f t="shared" si="9"/>
        <v>1909</v>
      </c>
      <c r="U29" s="11">
        <f t="shared" si="5"/>
        <v>0.28815094339622643</v>
      </c>
      <c r="V29" s="7">
        <f t="shared" si="2"/>
        <v>1</v>
      </c>
      <c r="W29" s="8">
        <f t="shared" si="10"/>
        <v>1006</v>
      </c>
      <c r="X29" s="11">
        <f t="shared" si="6"/>
        <v>0.1518490566037736</v>
      </c>
      <c r="Y29" s="7">
        <f t="shared" si="3"/>
        <v>2</v>
      </c>
      <c r="Z29" s="8">
        <f t="shared" si="11"/>
        <v>610</v>
      </c>
      <c r="AA29" s="9">
        <f t="shared" si="7"/>
        <v>9.2075471698113212E-2</v>
      </c>
    </row>
    <row r="30" spans="2:27" ht="18">
      <c r="B30" s="35">
        <v>6</v>
      </c>
      <c r="C30" s="35">
        <v>12</v>
      </c>
      <c r="D30" s="35">
        <v>2</v>
      </c>
      <c r="E30" s="35">
        <v>4</v>
      </c>
      <c r="F30" s="35">
        <v>1</v>
      </c>
      <c r="G30" s="35">
        <v>1</v>
      </c>
      <c r="H30" s="35">
        <v>0</v>
      </c>
      <c r="I30" s="164"/>
      <c r="M30" s="23">
        <v>1</v>
      </c>
    </row>
    <row r="31" spans="2:27" ht="18">
      <c r="B31" s="35">
        <v>6</v>
      </c>
      <c r="C31" s="35">
        <v>12</v>
      </c>
      <c r="D31" s="35">
        <v>3</v>
      </c>
      <c r="E31" s="35">
        <v>7</v>
      </c>
      <c r="F31" s="35">
        <v>2</v>
      </c>
      <c r="G31" s="35">
        <v>0</v>
      </c>
      <c r="H31" s="35">
        <v>0</v>
      </c>
      <c r="I31" s="164"/>
      <c r="M31" s="23">
        <v>1</v>
      </c>
    </row>
    <row r="32" spans="2:27" ht="18">
      <c r="B32" s="35">
        <v>6</v>
      </c>
      <c r="C32" s="35">
        <v>12</v>
      </c>
      <c r="D32" s="35">
        <v>4</v>
      </c>
      <c r="E32" s="35">
        <v>8</v>
      </c>
      <c r="F32" s="35">
        <v>5</v>
      </c>
      <c r="G32" s="35">
        <v>0</v>
      </c>
      <c r="H32" s="35">
        <v>0</v>
      </c>
      <c r="I32" s="164"/>
      <c r="M32" s="23">
        <v>1</v>
      </c>
      <c r="O32" s="34">
        <v>12</v>
      </c>
    </row>
    <row r="33" spans="2:15" ht="18">
      <c r="B33" s="35">
        <v>6</v>
      </c>
      <c r="C33" s="35">
        <v>40</v>
      </c>
      <c r="D33" s="35">
        <v>2</v>
      </c>
      <c r="E33" s="35">
        <v>16</v>
      </c>
      <c r="F33" s="35">
        <v>4</v>
      </c>
      <c r="G33" s="35">
        <v>3</v>
      </c>
      <c r="H33" s="35">
        <v>0</v>
      </c>
      <c r="I33" s="164"/>
      <c r="M33" s="23">
        <v>1</v>
      </c>
      <c r="O33" s="34">
        <v>13</v>
      </c>
    </row>
    <row r="34" spans="2:15" ht="18">
      <c r="B34" s="35">
        <v>6</v>
      </c>
      <c r="C34" s="35">
        <v>13</v>
      </c>
      <c r="D34" s="35">
        <v>2</v>
      </c>
      <c r="E34" s="35">
        <v>9</v>
      </c>
      <c r="F34" s="35">
        <v>8</v>
      </c>
      <c r="G34" s="35">
        <v>2</v>
      </c>
      <c r="H34" s="35">
        <v>0</v>
      </c>
      <c r="I34" s="164"/>
      <c r="M34" s="23">
        <v>1</v>
      </c>
      <c r="O34" s="34">
        <v>14</v>
      </c>
    </row>
    <row r="35" spans="2:15" ht="18">
      <c r="B35" s="35">
        <v>6</v>
      </c>
      <c r="C35" s="35">
        <v>43</v>
      </c>
      <c r="D35" s="35">
        <v>2</v>
      </c>
      <c r="E35" s="35">
        <v>5</v>
      </c>
      <c r="F35" s="35">
        <v>0</v>
      </c>
      <c r="G35" s="35">
        <v>2</v>
      </c>
      <c r="H35" s="35">
        <v>0</v>
      </c>
      <c r="I35" s="164"/>
      <c r="M35" s="23">
        <v>1</v>
      </c>
      <c r="O35" s="34">
        <v>15</v>
      </c>
    </row>
    <row r="36" spans="2:15" ht="18">
      <c r="B36" s="35">
        <v>6</v>
      </c>
      <c r="C36" s="35">
        <v>17</v>
      </c>
      <c r="D36" s="35">
        <v>3</v>
      </c>
      <c r="E36" s="35">
        <v>14</v>
      </c>
      <c r="F36" s="35">
        <v>1</v>
      </c>
      <c r="G36" s="35">
        <v>5</v>
      </c>
      <c r="H36" s="35">
        <v>2</v>
      </c>
      <c r="I36" s="164"/>
      <c r="M36" s="23">
        <v>1</v>
      </c>
      <c r="O36" s="34">
        <v>16</v>
      </c>
    </row>
    <row r="37" spans="2:15" ht="18">
      <c r="B37" s="35">
        <v>6</v>
      </c>
      <c r="C37" s="35">
        <v>17</v>
      </c>
      <c r="D37" s="35">
        <v>4</v>
      </c>
      <c r="E37" s="35">
        <v>15</v>
      </c>
      <c r="F37" s="35">
        <v>2</v>
      </c>
      <c r="G37" s="35">
        <v>5</v>
      </c>
      <c r="H37" s="35">
        <v>3</v>
      </c>
      <c r="I37" s="164"/>
      <c r="M37" s="23">
        <v>1</v>
      </c>
      <c r="O37" s="34">
        <v>17</v>
      </c>
    </row>
    <row r="38" spans="2:15" ht="18">
      <c r="B38" s="35">
        <v>6</v>
      </c>
      <c r="C38" s="35">
        <v>18</v>
      </c>
      <c r="D38" s="35">
        <v>3</v>
      </c>
      <c r="E38" s="35">
        <v>18</v>
      </c>
      <c r="F38" s="35">
        <v>1</v>
      </c>
      <c r="G38" s="35">
        <v>5</v>
      </c>
      <c r="H38" s="35">
        <v>1</v>
      </c>
      <c r="I38" s="164"/>
      <c r="M38" s="23">
        <v>1</v>
      </c>
      <c r="O38" s="34">
        <v>18</v>
      </c>
    </row>
    <row r="39" spans="2:15" ht="18">
      <c r="B39" s="35">
        <v>6</v>
      </c>
      <c r="C39" s="35">
        <v>18</v>
      </c>
      <c r="D39" s="35">
        <v>4</v>
      </c>
      <c r="E39" s="35">
        <v>13</v>
      </c>
      <c r="F39" s="35">
        <v>1</v>
      </c>
      <c r="G39" s="35">
        <v>9</v>
      </c>
      <c r="H39" s="35">
        <v>1</v>
      </c>
      <c r="I39" s="164"/>
      <c r="M39" s="23">
        <v>1</v>
      </c>
      <c r="O39" s="34">
        <v>19</v>
      </c>
    </row>
    <row r="40" spans="2:15" ht="18">
      <c r="B40" s="35">
        <v>6</v>
      </c>
      <c r="C40" s="35">
        <v>33</v>
      </c>
      <c r="D40" s="35">
        <v>4</v>
      </c>
      <c r="E40" s="35">
        <v>10</v>
      </c>
      <c r="F40" s="35">
        <v>0</v>
      </c>
      <c r="G40" s="35">
        <v>0</v>
      </c>
      <c r="H40" s="35">
        <v>0</v>
      </c>
      <c r="I40" s="164"/>
      <c r="M40" s="23">
        <v>1</v>
      </c>
      <c r="O40" s="34">
        <v>20</v>
      </c>
    </row>
    <row r="41" spans="2:15" ht="18">
      <c r="B41" s="35">
        <v>6</v>
      </c>
      <c r="C41" s="35">
        <v>42</v>
      </c>
      <c r="D41" s="35">
        <v>2</v>
      </c>
      <c r="E41" s="35">
        <v>2</v>
      </c>
      <c r="F41" s="35">
        <v>5</v>
      </c>
      <c r="G41" s="35">
        <v>6</v>
      </c>
      <c r="H41" s="35">
        <v>0</v>
      </c>
      <c r="I41" s="164"/>
      <c r="M41" s="23">
        <v>1</v>
      </c>
      <c r="O41" s="34">
        <v>21</v>
      </c>
    </row>
    <row r="42" spans="2:15" ht="18">
      <c r="B42" s="35">
        <v>6</v>
      </c>
      <c r="C42" s="35">
        <v>23</v>
      </c>
      <c r="D42" s="35">
        <v>4</v>
      </c>
      <c r="E42" s="35">
        <v>6</v>
      </c>
      <c r="F42" s="35">
        <v>9</v>
      </c>
      <c r="G42" s="35">
        <v>0</v>
      </c>
      <c r="H42" s="35">
        <v>7</v>
      </c>
      <c r="I42" s="164"/>
      <c r="M42" s="23">
        <v>1</v>
      </c>
      <c r="O42" s="34">
        <v>22</v>
      </c>
    </row>
    <row r="43" spans="2:15" ht="18">
      <c r="B43" s="35">
        <v>6</v>
      </c>
      <c r="C43" s="35">
        <v>26</v>
      </c>
      <c r="D43" s="35">
        <v>4</v>
      </c>
      <c r="E43" s="35">
        <v>2</v>
      </c>
      <c r="F43" s="35">
        <v>1</v>
      </c>
      <c r="G43" s="35">
        <v>1</v>
      </c>
      <c r="H43" s="35">
        <v>2</v>
      </c>
      <c r="I43" s="164"/>
      <c r="M43" s="23">
        <v>1</v>
      </c>
      <c r="O43" s="34">
        <v>23</v>
      </c>
    </row>
    <row r="44" spans="2:15" ht="18">
      <c r="B44" s="35">
        <v>6</v>
      </c>
      <c r="C44" s="35">
        <v>20</v>
      </c>
      <c r="D44" s="35">
        <v>4</v>
      </c>
      <c r="E44" s="35">
        <v>10</v>
      </c>
      <c r="F44" s="35">
        <v>2</v>
      </c>
      <c r="G44" s="35">
        <v>2</v>
      </c>
      <c r="H44" s="35">
        <v>0</v>
      </c>
      <c r="I44" s="164"/>
      <c r="M44" s="23">
        <v>1</v>
      </c>
      <c r="O44" s="34">
        <v>24</v>
      </c>
    </row>
    <row r="45" spans="2:15" ht="18">
      <c r="B45" s="35">
        <v>6</v>
      </c>
      <c r="C45" s="35">
        <v>26</v>
      </c>
      <c r="D45" s="35">
        <v>1</v>
      </c>
      <c r="E45" s="35">
        <v>0</v>
      </c>
      <c r="F45" s="35">
        <v>0</v>
      </c>
      <c r="G45" s="35">
        <v>0</v>
      </c>
      <c r="H45" s="35">
        <v>0</v>
      </c>
      <c r="I45" s="164"/>
      <c r="M45" s="23">
        <v>1</v>
      </c>
      <c r="O45" s="34">
        <v>25</v>
      </c>
    </row>
    <row r="46" spans="2:15" ht="18">
      <c r="B46" s="35">
        <v>6</v>
      </c>
      <c r="C46" s="35">
        <v>13</v>
      </c>
      <c r="D46" s="35">
        <v>4</v>
      </c>
      <c r="E46" s="35">
        <v>5</v>
      </c>
      <c r="F46" s="35">
        <v>2</v>
      </c>
      <c r="G46" s="35">
        <v>5</v>
      </c>
      <c r="H46" s="35">
        <v>2</v>
      </c>
      <c r="I46" s="164"/>
      <c r="M46" s="23">
        <v>1</v>
      </c>
      <c r="O46" s="34">
        <v>26</v>
      </c>
    </row>
    <row r="47" spans="2:15" ht="18">
      <c r="B47" s="35">
        <v>6</v>
      </c>
      <c r="C47" s="35">
        <v>13</v>
      </c>
      <c r="D47" s="35">
        <v>4</v>
      </c>
      <c r="E47" s="35">
        <v>5</v>
      </c>
      <c r="F47" s="35">
        <v>2</v>
      </c>
      <c r="G47" s="35">
        <v>5</v>
      </c>
      <c r="H47" s="35">
        <v>2</v>
      </c>
      <c r="I47" s="164"/>
      <c r="M47" s="23">
        <v>1</v>
      </c>
      <c r="O47" s="34">
        <v>27</v>
      </c>
    </row>
    <row r="48" spans="2:15" ht="18">
      <c r="B48" s="35">
        <v>6</v>
      </c>
      <c r="C48" s="35">
        <v>25</v>
      </c>
      <c r="D48" s="35">
        <v>1</v>
      </c>
      <c r="E48" s="35">
        <v>5</v>
      </c>
      <c r="F48" s="35">
        <v>8</v>
      </c>
      <c r="G48" s="35">
        <v>1</v>
      </c>
      <c r="H48" s="35">
        <v>0</v>
      </c>
      <c r="I48" s="164"/>
      <c r="M48" s="23">
        <v>1</v>
      </c>
      <c r="O48" s="34">
        <v>28</v>
      </c>
    </row>
    <row r="49" spans="2:15" ht="18">
      <c r="B49" s="35">
        <v>6</v>
      </c>
      <c r="C49" s="35">
        <v>25</v>
      </c>
      <c r="D49" s="35">
        <v>2</v>
      </c>
      <c r="E49" s="35">
        <v>9</v>
      </c>
      <c r="F49" s="35">
        <v>9</v>
      </c>
      <c r="G49" s="35">
        <v>2</v>
      </c>
      <c r="H49" s="35">
        <v>2</v>
      </c>
      <c r="I49" s="164"/>
      <c r="M49" s="23">
        <v>1</v>
      </c>
      <c r="O49" s="34">
        <v>29</v>
      </c>
    </row>
    <row r="50" spans="2:15" ht="18">
      <c r="B50" s="35">
        <v>6</v>
      </c>
      <c r="C50" s="35">
        <v>16</v>
      </c>
      <c r="D50" s="35">
        <v>5</v>
      </c>
      <c r="E50" s="35">
        <v>8</v>
      </c>
      <c r="F50" s="35">
        <v>0</v>
      </c>
      <c r="G50" s="35">
        <v>4</v>
      </c>
      <c r="H50" s="35">
        <v>0</v>
      </c>
      <c r="I50" s="164"/>
      <c r="M50" s="23">
        <v>1</v>
      </c>
      <c r="O50" s="34">
        <v>30</v>
      </c>
    </row>
    <row r="51" spans="2:15" ht="18">
      <c r="B51" s="35">
        <v>6</v>
      </c>
      <c r="C51" s="35">
        <v>30</v>
      </c>
      <c r="D51" s="35">
        <v>3</v>
      </c>
      <c r="E51" s="35">
        <v>5</v>
      </c>
      <c r="F51" s="35">
        <v>2</v>
      </c>
      <c r="G51" s="35">
        <v>7</v>
      </c>
      <c r="H51" s="35">
        <v>0</v>
      </c>
      <c r="I51" s="164"/>
      <c r="M51" s="23">
        <v>1</v>
      </c>
      <c r="O51" s="34">
        <v>31</v>
      </c>
    </row>
    <row r="52" spans="2:15" ht="18">
      <c r="B52" s="35">
        <v>6</v>
      </c>
      <c r="C52" s="35">
        <v>30</v>
      </c>
      <c r="D52" s="35">
        <v>4</v>
      </c>
      <c r="E52" s="35">
        <v>4</v>
      </c>
      <c r="F52" s="35">
        <v>3</v>
      </c>
      <c r="G52" s="35">
        <v>8</v>
      </c>
      <c r="H52" s="35">
        <v>0</v>
      </c>
      <c r="I52" s="164"/>
      <c r="M52" s="23">
        <v>1</v>
      </c>
      <c r="O52" s="34">
        <v>32</v>
      </c>
    </row>
    <row r="53" spans="2:15" ht="18">
      <c r="B53" s="35">
        <v>6</v>
      </c>
      <c r="C53" s="35">
        <v>41</v>
      </c>
      <c r="D53" s="35">
        <v>5</v>
      </c>
      <c r="E53" s="35">
        <v>15</v>
      </c>
      <c r="F53" s="35">
        <v>4</v>
      </c>
      <c r="G53" s="35">
        <v>3</v>
      </c>
      <c r="H53" s="35">
        <v>3</v>
      </c>
      <c r="I53" s="164"/>
      <c r="M53" s="23">
        <v>1</v>
      </c>
      <c r="O53" s="34">
        <v>33</v>
      </c>
    </row>
    <row r="54" spans="2:15" ht="18">
      <c r="B54" s="35">
        <v>6</v>
      </c>
      <c r="C54" s="35">
        <v>41</v>
      </c>
      <c r="D54" s="35">
        <v>6</v>
      </c>
      <c r="E54" s="35">
        <v>12</v>
      </c>
      <c r="F54" s="35">
        <v>3</v>
      </c>
      <c r="G54" s="35">
        <v>7</v>
      </c>
      <c r="H54" s="35">
        <v>2</v>
      </c>
      <c r="I54" s="164"/>
      <c r="M54" s="23">
        <v>1</v>
      </c>
      <c r="O54" s="34">
        <v>34</v>
      </c>
    </row>
    <row r="55" spans="2:15" ht="18">
      <c r="B55" s="35">
        <v>6</v>
      </c>
      <c r="C55" s="35">
        <v>37</v>
      </c>
      <c r="D55" s="35">
        <v>2</v>
      </c>
      <c r="E55" s="35">
        <v>3</v>
      </c>
      <c r="F55" s="35">
        <v>25</v>
      </c>
      <c r="G55" s="35">
        <v>1</v>
      </c>
      <c r="H55" s="35">
        <v>1</v>
      </c>
      <c r="I55" s="164"/>
      <c r="M55" s="23">
        <v>1</v>
      </c>
      <c r="O55" s="34">
        <v>35</v>
      </c>
    </row>
    <row r="56" spans="2:15" ht="18">
      <c r="B56" s="35">
        <v>6</v>
      </c>
      <c r="C56" s="35">
        <v>35</v>
      </c>
      <c r="D56" s="35">
        <v>4</v>
      </c>
      <c r="E56" s="35">
        <v>3</v>
      </c>
      <c r="F56" s="35">
        <v>5</v>
      </c>
      <c r="G56" s="35">
        <v>0</v>
      </c>
      <c r="H56" s="35">
        <v>0</v>
      </c>
      <c r="I56" s="164"/>
      <c r="M56" s="23">
        <v>1</v>
      </c>
      <c r="O56" s="34">
        <v>36</v>
      </c>
    </row>
    <row r="57" spans="2:15" ht="18">
      <c r="B57" s="35">
        <v>6</v>
      </c>
      <c r="C57" s="35">
        <v>25</v>
      </c>
      <c r="D57" s="35">
        <v>4</v>
      </c>
      <c r="E57" s="35">
        <v>16</v>
      </c>
      <c r="F57" s="35">
        <v>8</v>
      </c>
      <c r="G57" s="35">
        <v>1</v>
      </c>
      <c r="H57" s="35">
        <v>1</v>
      </c>
      <c r="I57" s="164"/>
      <c r="M57" s="23">
        <v>1</v>
      </c>
      <c r="O57" s="34">
        <v>37</v>
      </c>
    </row>
    <row r="58" spans="2:15" ht="18">
      <c r="B58" s="35">
        <v>6</v>
      </c>
      <c r="C58" s="35">
        <v>36</v>
      </c>
      <c r="D58" s="35">
        <v>6</v>
      </c>
      <c r="E58" s="35">
        <v>14</v>
      </c>
      <c r="F58" s="35">
        <v>8</v>
      </c>
      <c r="G58" s="35">
        <v>1</v>
      </c>
      <c r="H58" s="35">
        <v>2</v>
      </c>
      <c r="I58" s="164"/>
      <c r="M58" s="23">
        <v>1</v>
      </c>
      <c r="O58" s="34">
        <v>38</v>
      </c>
    </row>
    <row r="59" spans="2:15" ht="18">
      <c r="B59" s="35">
        <v>6</v>
      </c>
      <c r="C59" s="35">
        <v>36</v>
      </c>
      <c r="D59" s="35">
        <v>5</v>
      </c>
      <c r="E59" s="35">
        <v>13</v>
      </c>
      <c r="F59" s="35">
        <v>6</v>
      </c>
      <c r="G59" s="35">
        <v>1</v>
      </c>
      <c r="H59" s="35">
        <v>5</v>
      </c>
      <c r="I59" s="164"/>
      <c r="M59" s="23">
        <v>1</v>
      </c>
      <c r="O59" s="34">
        <v>39</v>
      </c>
    </row>
    <row r="60" spans="2:15" ht="18">
      <c r="B60" s="35">
        <v>6</v>
      </c>
      <c r="C60" s="35">
        <v>32</v>
      </c>
      <c r="D60" s="35">
        <v>3</v>
      </c>
      <c r="E60" s="35">
        <v>9</v>
      </c>
      <c r="F60" s="35">
        <v>10</v>
      </c>
      <c r="G60" s="35">
        <v>1</v>
      </c>
      <c r="H60" s="35">
        <v>5</v>
      </c>
      <c r="I60" s="164"/>
      <c r="M60" s="23">
        <v>1</v>
      </c>
      <c r="O60" s="34">
        <v>40</v>
      </c>
    </row>
    <row r="61" spans="2:15" ht="18">
      <c r="B61" s="35">
        <v>6</v>
      </c>
      <c r="C61" s="35">
        <v>32</v>
      </c>
      <c r="D61" s="35">
        <v>5</v>
      </c>
      <c r="E61" s="35">
        <v>9</v>
      </c>
      <c r="F61" s="35">
        <v>11</v>
      </c>
      <c r="G61" s="35">
        <v>0</v>
      </c>
      <c r="H61" s="35">
        <v>5</v>
      </c>
      <c r="I61" s="164"/>
      <c r="M61" s="23">
        <v>1</v>
      </c>
      <c r="O61" s="34">
        <v>41</v>
      </c>
    </row>
    <row r="62" spans="2:15" ht="18">
      <c r="B62" s="35">
        <v>6</v>
      </c>
      <c r="C62" s="35">
        <v>32</v>
      </c>
      <c r="D62" s="35">
        <v>6</v>
      </c>
      <c r="E62" s="35">
        <v>11</v>
      </c>
      <c r="F62" s="35">
        <v>10</v>
      </c>
      <c r="G62" s="35">
        <v>0</v>
      </c>
      <c r="H62" s="35">
        <v>4</v>
      </c>
      <c r="I62" s="164"/>
      <c r="M62" s="23">
        <v>1</v>
      </c>
      <c r="O62" s="34">
        <v>42</v>
      </c>
    </row>
    <row r="63" spans="2:15" ht="18">
      <c r="B63" s="35">
        <v>6</v>
      </c>
      <c r="C63" s="35">
        <v>19</v>
      </c>
      <c r="D63" s="35">
        <v>6</v>
      </c>
      <c r="E63" s="35">
        <v>19</v>
      </c>
      <c r="F63" s="35">
        <v>0</v>
      </c>
      <c r="G63" s="35">
        <v>5</v>
      </c>
      <c r="H63" s="35">
        <v>0</v>
      </c>
      <c r="I63" s="164"/>
      <c r="M63" s="23">
        <v>1</v>
      </c>
      <c r="O63" s="34">
        <v>43</v>
      </c>
    </row>
    <row r="64" spans="2:15" ht="18">
      <c r="B64" s="35">
        <v>6</v>
      </c>
      <c r="C64" s="35">
        <v>18</v>
      </c>
      <c r="D64" s="35">
        <v>5</v>
      </c>
      <c r="E64" s="35">
        <v>13</v>
      </c>
      <c r="F64" s="35">
        <v>1</v>
      </c>
      <c r="G64" s="35">
        <v>6</v>
      </c>
      <c r="H64" s="35">
        <v>1</v>
      </c>
      <c r="I64" s="164"/>
      <c r="M64" s="23">
        <v>1</v>
      </c>
    </row>
    <row r="65" spans="2:13" ht="18">
      <c r="B65" s="35">
        <v>6</v>
      </c>
      <c r="C65" s="35">
        <v>19</v>
      </c>
      <c r="D65" s="35">
        <v>3</v>
      </c>
      <c r="E65" s="35">
        <v>8</v>
      </c>
      <c r="F65" s="35">
        <v>1</v>
      </c>
      <c r="G65" s="35">
        <v>9</v>
      </c>
      <c r="H65" s="35">
        <v>1</v>
      </c>
      <c r="I65" s="164"/>
      <c r="M65" s="23">
        <v>1</v>
      </c>
    </row>
    <row r="66" spans="2:13" ht="18">
      <c r="B66" s="35">
        <v>6</v>
      </c>
      <c r="C66" s="35">
        <v>19</v>
      </c>
      <c r="D66" s="35">
        <v>4</v>
      </c>
      <c r="E66" s="35">
        <v>6</v>
      </c>
      <c r="F66" s="35">
        <v>1</v>
      </c>
      <c r="G66" s="35">
        <v>4</v>
      </c>
      <c r="H66" s="35">
        <v>1</v>
      </c>
      <c r="I66" s="164"/>
      <c r="M66" s="23">
        <v>1</v>
      </c>
    </row>
    <row r="67" spans="2:13" ht="18">
      <c r="B67" s="35">
        <v>6</v>
      </c>
      <c r="C67" s="35">
        <v>19</v>
      </c>
      <c r="D67" s="35">
        <v>5</v>
      </c>
      <c r="E67" s="35">
        <v>10</v>
      </c>
      <c r="F67" s="35">
        <v>2</v>
      </c>
      <c r="G67" s="35">
        <v>6</v>
      </c>
      <c r="H67" s="35">
        <v>1</v>
      </c>
      <c r="I67" s="164"/>
      <c r="M67" s="23">
        <v>1</v>
      </c>
    </row>
    <row r="68" spans="2:13" ht="18">
      <c r="B68" s="35">
        <v>6</v>
      </c>
      <c r="C68" s="35">
        <v>19</v>
      </c>
      <c r="D68" s="35">
        <v>1</v>
      </c>
      <c r="E68" s="35">
        <v>7</v>
      </c>
      <c r="F68" s="35">
        <v>3</v>
      </c>
      <c r="G68" s="35">
        <v>4</v>
      </c>
      <c r="H68" s="35">
        <v>0</v>
      </c>
      <c r="I68" s="164"/>
      <c r="M68" s="23">
        <v>1</v>
      </c>
    </row>
    <row r="69" spans="2:13" ht="18">
      <c r="B69" s="35">
        <v>6</v>
      </c>
      <c r="C69" s="35">
        <v>23</v>
      </c>
      <c r="D69" s="35">
        <v>6</v>
      </c>
      <c r="E69" s="35">
        <v>4</v>
      </c>
      <c r="F69" s="35">
        <v>7</v>
      </c>
      <c r="G69" s="35">
        <v>2</v>
      </c>
      <c r="H69" s="35">
        <v>9</v>
      </c>
      <c r="I69" s="164"/>
      <c r="M69" s="23">
        <v>1</v>
      </c>
    </row>
    <row r="70" spans="2:13" ht="18">
      <c r="B70" s="35">
        <v>6</v>
      </c>
      <c r="C70" s="35">
        <v>23</v>
      </c>
      <c r="D70" s="35">
        <v>7</v>
      </c>
      <c r="E70" s="35">
        <v>5</v>
      </c>
      <c r="F70" s="35">
        <v>6</v>
      </c>
      <c r="G70" s="35">
        <v>3</v>
      </c>
      <c r="H70" s="35">
        <v>7</v>
      </c>
      <c r="I70" s="164"/>
      <c r="M70" s="23">
        <v>1</v>
      </c>
    </row>
    <row r="71" spans="2:13" ht="18">
      <c r="B71" s="35">
        <v>6</v>
      </c>
      <c r="C71" s="35">
        <v>43</v>
      </c>
      <c r="D71" s="35">
        <v>6</v>
      </c>
      <c r="E71" s="35">
        <v>13</v>
      </c>
      <c r="F71" s="35">
        <v>10</v>
      </c>
      <c r="G71" s="35">
        <v>2</v>
      </c>
      <c r="H71" s="35">
        <v>0</v>
      </c>
      <c r="I71" s="164"/>
      <c r="M71" s="23">
        <v>1</v>
      </c>
    </row>
    <row r="72" spans="2:13" ht="18">
      <c r="B72" s="35">
        <v>6</v>
      </c>
      <c r="C72" s="35">
        <v>43</v>
      </c>
      <c r="D72" s="35">
        <v>3</v>
      </c>
      <c r="E72" s="35">
        <v>9</v>
      </c>
      <c r="F72" s="35">
        <v>8</v>
      </c>
      <c r="G72" s="35">
        <v>2</v>
      </c>
      <c r="H72" s="35">
        <v>0</v>
      </c>
      <c r="I72" s="164"/>
      <c r="M72" s="23">
        <v>1</v>
      </c>
    </row>
    <row r="73" spans="2:13" ht="18">
      <c r="B73" s="35">
        <v>6</v>
      </c>
      <c r="C73" s="35">
        <v>43</v>
      </c>
      <c r="D73" s="35">
        <v>4</v>
      </c>
      <c r="E73" s="35">
        <v>4</v>
      </c>
      <c r="F73" s="35">
        <v>3</v>
      </c>
      <c r="G73" s="35">
        <v>2</v>
      </c>
      <c r="H73" s="35">
        <v>0</v>
      </c>
      <c r="I73" s="164"/>
      <c r="M73" s="23">
        <v>1</v>
      </c>
    </row>
    <row r="74" spans="2:13" ht="18">
      <c r="B74" s="35">
        <v>6</v>
      </c>
      <c r="C74" s="35">
        <v>43</v>
      </c>
      <c r="D74" s="35">
        <v>5</v>
      </c>
      <c r="E74" s="35">
        <v>14</v>
      </c>
      <c r="F74" s="35">
        <v>10</v>
      </c>
      <c r="G74" s="35">
        <v>2</v>
      </c>
      <c r="H74" s="35">
        <v>3</v>
      </c>
      <c r="I74" s="164"/>
      <c r="M74" s="23">
        <v>1</v>
      </c>
    </row>
    <row r="75" spans="2:13" ht="18">
      <c r="B75" s="35">
        <v>6</v>
      </c>
      <c r="C75" s="35">
        <v>13</v>
      </c>
      <c r="D75" s="35">
        <v>2</v>
      </c>
      <c r="E75" s="35">
        <v>5</v>
      </c>
      <c r="F75" s="35">
        <v>2</v>
      </c>
      <c r="G75" s="35">
        <v>4</v>
      </c>
      <c r="H75" s="35">
        <v>3</v>
      </c>
      <c r="I75" s="164"/>
      <c r="M75" s="23">
        <v>1</v>
      </c>
    </row>
    <row r="76" spans="2:13" ht="18">
      <c r="B76" s="35">
        <v>6</v>
      </c>
      <c r="C76" s="35">
        <v>13</v>
      </c>
      <c r="D76" s="35">
        <v>3</v>
      </c>
      <c r="E76" s="35">
        <v>3</v>
      </c>
      <c r="F76" s="35">
        <v>1</v>
      </c>
      <c r="G76" s="35">
        <v>3</v>
      </c>
      <c r="H76" s="35">
        <v>1</v>
      </c>
      <c r="I76" s="164"/>
      <c r="M76" s="23">
        <v>1</v>
      </c>
    </row>
    <row r="77" spans="2:13" ht="18">
      <c r="B77" s="35">
        <v>6</v>
      </c>
      <c r="C77" s="35">
        <v>13</v>
      </c>
      <c r="D77" s="35">
        <v>4</v>
      </c>
      <c r="E77" s="35">
        <v>5</v>
      </c>
      <c r="F77" s="35">
        <v>2</v>
      </c>
      <c r="G77" s="35">
        <v>5</v>
      </c>
      <c r="H77" s="35">
        <v>2</v>
      </c>
      <c r="I77" s="164"/>
      <c r="M77" s="23">
        <v>1</v>
      </c>
    </row>
    <row r="78" spans="2:13" ht="18">
      <c r="B78" s="35">
        <v>6</v>
      </c>
      <c r="C78" s="35">
        <v>13</v>
      </c>
      <c r="D78" s="35">
        <v>5</v>
      </c>
      <c r="E78" s="35">
        <v>4</v>
      </c>
      <c r="F78" s="35">
        <v>6</v>
      </c>
      <c r="G78" s="35">
        <v>1</v>
      </c>
      <c r="H78" s="35">
        <v>4</v>
      </c>
      <c r="I78" s="164"/>
      <c r="M78" s="23">
        <v>1</v>
      </c>
    </row>
    <row r="79" spans="2:13" ht="18">
      <c r="B79" s="35">
        <v>6</v>
      </c>
      <c r="C79" s="35">
        <v>13</v>
      </c>
      <c r="D79" s="35">
        <v>6</v>
      </c>
      <c r="E79" s="35">
        <v>7</v>
      </c>
      <c r="F79" s="35">
        <v>2</v>
      </c>
      <c r="G79" s="35">
        <v>1</v>
      </c>
      <c r="H79" s="35">
        <v>1</v>
      </c>
      <c r="I79" s="164"/>
      <c r="M79" s="23">
        <v>1</v>
      </c>
    </row>
    <row r="80" spans="2:13" ht="18">
      <c r="B80" s="35">
        <v>6</v>
      </c>
      <c r="C80" s="35">
        <v>13</v>
      </c>
      <c r="D80" s="35">
        <v>7</v>
      </c>
      <c r="E80" s="35">
        <v>5</v>
      </c>
      <c r="F80" s="35">
        <v>8</v>
      </c>
      <c r="G80" s="35">
        <v>3</v>
      </c>
      <c r="H80" s="35">
        <v>3</v>
      </c>
      <c r="I80" s="164"/>
      <c r="M80" s="23">
        <v>1</v>
      </c>
    </row>
    <row r="81" spans="2:13" ht="18">
      <c r="B81" s="35">
        <v>6</v>
      </c>
      <c r="C81" s="35">
        <v>21</v>
      </c>
      <c r="D81" s="35">
        <v>6</v>
      </c>
      <c r="E81" s="35">
        <v>11</v>
      </c>
      <c r="F81" s="35">
        <v>8</v>
      </c>
      <c r="G81" s="35">
        <v>5</v>
      </c>
      <c r="H81" s="35">
        <v>1</v>
      </c>
      <c r="I81" s="164"/>
      <c r="M81" s="23">
        <v>1</v>
      </c>
    </row>
    <row r="82" spans="2:13" ht="18">
      <c r="B82" s="35">
        <v>6</v>
      </c>
      <c r="C82" s="35">
        <v>21</v>
      </c>
      <c r="D82" s="35">
        <v>5</v>
      </c>
      <c r="E82" s="35">
        <v>12</v>
      </c>
      <c r="F82" s="35">
        <v>10</v>
      </c>
      <c r="G82" s="35">
        <v>5</v>
      </c>
      <c r="H82" s="35">
        <v>0</v>
      </c>
      <c r="I82" s="164"/>
      <c r="M82" s="23">
        <v>1</v>
      </c>
    </row>
    <row r="83" spans="2:13" ht="18">
      <c r="B83" s="35">
        <v>6</v>
      </c>
      <c r="C83" s="35">
        <v>25</v>
      </c>
      <c r="D83" s="35">
        <v>2</v>
      </c>
      <c r="E83" s="35">
        <v>9</v>
      </c>
      <c r="F83" s="35">
        <v>9</v>
      </c>
      <c r="G83" s="35">
        <v>2</v>
      </c>
      <c r="H83" s="35">
        <v>2</v>
      </c>
      <c r="I83" s="164"/>
      <c r="M83" s="23">
        <v>1</v>
      </c>
    </row>
    <row r="84" spans="2:13" ht="18">
      <c r="B84" s="35">
        <v>6</v>
      </c>
      <c r="C84" s="35">
        <v>25</v>
      </c>
      <c r="D84" s="35">
        <v>3</v>
      </c>
      <c r="E84" s="35">
        <v>4</v>
      </c>
      <c r="F84" s="35">
        <v>7</v>
      </c>
      <c r="G84" s="35">
        <v>4</v>
      </c>
      <c r="H84" s="35">
        <v>1</v>
      </c>
      <c r="I84" s="164"/>
      <c r="M84" s="23">
        <v>1</v>
      </c>
    </row>
    <row r="85" spans="2:13" ht="18">
      <c r="B85" s="35">
        <v>6</v>
      </c>
      <c r="C85" s="35">
        <v>25</v>
      </c>
      <c r="D85" s="35">
        <v>4</v>
      </c>
      <c r="E85" s="35">
        <v>16</v>
      </c>
      <c r="F85" s="35">
        <v>8</v>
      </c>
      <c r="G85" s="35">
        <v>1</v>
      </c>
      <c r="H85" s="35">
        <v>1</v>
      </c>
      <c r="I85" s="164"/>
      <c r="M85" s="23">
        <v>1</v>
      </c>
    </row>
    <row r="86" spans="2:13" ht="18">
      <c r="B86" s="35">
        <v>6</v>
      </c>
      <c r="C86" s="35">
        <v>25</v>
      </c>
      <c r="D86" s="35">
        <v>5</v>
      </c>
      <c r="E86" s="35">
        <v>7</v>
      </c>
      <c r="F86" s="35">
        <v>7</v>
      </c>
      <c r="G86" s="35">
        <v>2</v>
      </c>
      <c r="H86" s="35">
        <v>0</v>
      </c>
      <c r="I86" s="164"/>
      <c r="M86" s="23">
        <v>1</v>
      </c>
    </row>
    <row r="87" spans="2:13" ht="18">
      <c r="B87" s="35">
        <v>6</v>
      </c>
      <c r="C87" s="35">
        <v>33</v>
      </c>
      <c r="D87" s="35">
        <v>6</v>
      </c>
      <c r="E87" s="35">
        <v>6</v>
      </c>
      <c r="F87" s="35">
        <v>5</v>
      </c>
      <c r="G87" s="35">
        <v>0</v>
      </c>
      <c r="H87" s="35">
        <v>1</v>
      </c>
      <c r="I87" s="164"/>
      <c r="M87" s="23">
        <v>1</v>
      </c>
    </row>
    <row r="88" spans="2:13" ht="18">
      <c r="B88" s="35">
        <v>6</v>
      </c>
      <c r="C88" s="35">
        <v>33</v>
      </c>
      <c r="D88" s="35">
        <v>7</v>
      </c>
      <c r="E88" s="35">
        <v>4</v>
      </c>
      <c r="F88" s="35">
        <v>4</v>
      </c>
      <c r="G88" s="35">
        <v>1</v>
      </c>
      <c r="H88" s="35">
        <v>0</v>
      </c>
      <c r="I88" s="164"/>
      <c r="M88" s="23">
        <v>1</v>
      </c>
    </row>
    <row r="89" spans="2:13" ht="18">
      <c r="B89" s="35">
        <v>6</v>
      </c>
      <c r="C89" s="35">
        <v>27</v>
      </c>
      <c r="D89" s="35">
        <v>7</v>
      </c>
      <c r="E89" s="35">
        <v>1</v>
      </c>
      <c r="F89" s="35">
        <v>2</v>
      </c>
      <c r="G89" s="35">
        <v>2</v>
      </c>
      <c r="H89" s="35">
        <v>4</v>
      </c>
      <c r="I89" s="164"/>
      <c r="M89" s="23">
        <v>1</v>
      </c>
    </row>
    <row r="90" spans="2:13" ht="18">
      <c r="B90" s="35">
        <v>6</v>
      </c>
      <c r="C90" s="35">
        <v>34</v>
      </c>
      <c r="D90" s="35">
        <v>3</v>
      </c>
      <c r="E90" s="35">
        <v>5</v>
      </c>
      <c r="F90" s="35">
        <v>5</v>
      </c>
      <c r="G90" s="35">
        <v>0</v>
      </c>
      <c r="H90" s="35">
        <v>1</v>
      </c>
      <c r="I90" s="164"/>
      <c r="M90" s="23">
        <v>1</v>
      </c>
    </row>
    <row r="91" spans="2:13" ht="18">
      <c r="B91" s="35">
        <v>6</v>
      </c>
      <c r="C91" s="35">
        <v>34</v>
      </c>
      <c r="D91" s="35">
        <v>4</v>
      </c>
      <c r="E91" s="35">
        <v>13</v>
      </c>
      <c r="F91" s="35">
        <v>4</v>
      </c>
      <c r="G91" s="35">
        <v>0</v>
      </c>
      <c r="H91" s="35">
        <v>0</v>
      </c>
      <c r="I91" s="164"/>
      <c r="M91" s="23">
        <v>1</v>
      </c>
    </row>
    <row r="92" spans="2:13" ht="18">
      <c r="B92" s="35">
        <v>6</v>
      </c>
      <c r="C92" s="35">
        <v>34</v>
      </c>
      <c r="D92" s="35">
        <v>5</v>
      </c>
      <c r="E92" s="35">
        <v>14</v>
      </c>
      <c r="F92" s="35">
        <v>6</v>
      </c>
      <c r="G92" s="35">
        <v>0</v>
      </c>
      <c r="H92" s="35">
        <v>0</v>
      </c>
      <c r="I92" s="164"/>
      <c r="M92" s="23">
        <v>1</v>
      </c>
    </row>
    <row r="93" spans="2:13" ht="18">
      <c r="B93" s="35">
        <v>6</v>
      </c>
      <c r="C93" s="35">
        <v>22</v>
      </c>
      <c r="D93" s="35">
        <v>4</v>
      </c>
      <c r="E93" s="35">
        <v>2</v>
      </c>
      <c r="F93" s="35">
        <v>0</v>
      </c>
      <c r="G93" s="35">
        <v>0</v>
      </c>
      <c r="H93" s="35">
        <v>1</v>
      </c>
      <c r="I93" s="164"/>
      <c r="M93" s="23">
        <v>1</v>
      </c>
    </row>
    <row r="94" spans="2:13" ht="18">
      <c r="B94" s="35">
        <v>6</v>
      </c>
      <c r="C94" s="35">
        <v>30</v>
      </c>
      <c r="D94" s="35">
        <v>6</v>
      </c>
      <c r="E94" s="35">
        <v>20</v>
      </c>
      <c r="F94" s="35">
        <v>2</v>
      </c>
      <c r="G94" s="35">
        <v>2</v>
      </c>
      <c r="H94" s="35">
        <v>2</v>
      </c>
      <c r="I94" s="164"/>
      <c r="M94" s="23">
        <v>1</v>
      </c>
    </row>
    <row r="95" spans="2:13" ht="18">
      <c r="B95" s="35">
        <v>6</v>
      </c>
      <c r="C95" s="35">
        <v>28</v>
      </c>
      <c r="D95" s="35">
        <v>2</v>
      </c>
      <c r="E95" s="35">
        <v>1</v>
      </c>
      <c r="F95" s="35">
        <v>1</v>
      </c>
      <c r="G95" s="35">
        <v>1</v>
      </c>
      <c r="H95" s="35">
        <v>1</v>
      </c>
      <c r="I95" s="164"/>
      <c r="M95" s="23">
        <v>1</v>
      </c>
    </row>
    <row r="96" spans="2:13" ht="18">
      <c r="B96" s="35">
        <v>6</v>
      </c>
      <c r="C96" s="35">
        <v>28</v>
      </c>
      <c r="D96" s="35">
        <v>3</v>
      </c>
      <c r="E96" s="35">
        <v>1</v>
      </c>
      <c r="F96" s="35">
        <v>2</v>
      </c>
      <c r="G96" s="35">
        <v>2</v>
      </c>
      <c r="H96" s="35">
        <v>1</v>
      </c>
      <c r="I96" s="164"/>
      <c r="M96" s="23">
        <v>1</v>
      </c>
    </row>
    <row r="97" spans="2:13" ht="18">
      <c r="B97" s="35">
        <v>6</v>
      </c>
      <c r="C97" s="35">
        <v>28</v>
      </c>
      <c r="D97" s="35">
        <v>4</v>
      </c>
      <c r="E97" s="35">
        <v>1</v>
      </c>
      <c r="F97" s="35">
        <v>2</v>
      </c>
      <c r="G97" s="35">
        <v>1</v>
      </c>
      <c r="H97" s="35">
        <v>1</v>
      </c>
      <c r="I97" s="164"/>
      <c r="M97" s="23">
        <v>1</v>
      </c>
    </row>
    <row r="98" spans="2:13" ht="18">
      <c r="B98" s="35">
        <v>6</v>
      </c>
      <c r="C98" s="35">
        <v>28</v>
      </c>
      <c r="D98" s="35">
        <v>1</v>
      </c>
      <c r="E98" s="35">
        <v>2</v>
      </c>
      <c r="F98" s="35">
        <v>12</v>
      </c>
      <c r="G98" s="35">
        <v>1</v>
      </c>
      <c r="H98" s="35">
        <v>1</v>
      </c>
      <c r="I98" s="164"/>
      <c r="M98" s="23">
        <v>1</v>
      </c>
    </row>
    <row r="99" spans="2:13" ht="18">
      <c r="B99" s="35">
        <v>6</v>
      </c>
      <c r="C99" s="35">
        <v>28</v>
      </c>
      <c r="D99" s="35">
        <v>5</v>
      </c>
      <c r="E99" s="35">
        <v>1</v>
      </c>
      <c r="F99" s="35">
        <v>2</v>
      </c>
      <c r="G99" s="35">
        <v>1</v>
      </c>
      <c r="H99" s="35">
        <v>1</v>
      </c>
      <c r="I99" s="164"/>
      <c r="M99" s="23">
        <v>1</v>
      </c>
    </row>
    <row r="100" spans="2:13" ht="18">
      <c r="B100" s="35">
        <v>6</v>
      </c>
      <c r="C100" s="35">
        <v>28</v>
      </c>
      <c r="D100" s="35">
        <v>8</v>
      </c>
      <c r="E100" s="35">
        <v>3</v>
      </c>
      <c r="F100" s="35">
        <v>2</v>
      </c>
      <c r="G100" s="35">
        <v>3</v>
      </c>
      <c r="H100" s="35">
        <v>4</v>
      </c>
      <c r="I100" s="164"/>
      <c r="M100" s="23">
        <v>1</v>
      </c>
    </row>
    <row r="101" spans="2:13" ht="18">
      <c r="B101" s="35">
        <v>6</v>
      </c>
      <c r="C101" s="35">
        <v>28</v>
      </c>
      <c r="D101" s="35">
        <v>7</v>
      </c>
      <c r="E101" s="35">
        <v>3</v>
      </c>
      <c r="F101" s="35">
        <v>2</v>
      </c>
      <c r="G101" s="35">
        <v>4</v>
      </c>
      <c r="H101" s="35">
        <v>2</v>
      </c>
      <c r="I101" s="164"/>
      <c r="M101" s="23">
        <v>1</v>
      </c>
    </row>
    <row r="102" spans="2:13" ht="18">
      <c r="B102" s="35">
        <v>6</v>
      </c>
      <c r="C102" s="35">
        <v>28</v>
      </c>
      <c r="D102" s="35">
        <v>6</v>
      </c>
      <c r="E102" s="35">
        <v>6</v>
      </c>
      <c r="F102" s="35">
        <v>4</v>
      </c>
      <c r="G102" s="35">
        <v>4</v>
      </c>
      <c r="H102" s="35">
        <v>3</v>
      </c>
      <c r="I102" s="164"/>
      <c r="M102" s="23">
        <v>1</v>
      </c>
    </row>
    <row r="103" spans="2:13" ht="18">
      <c r="B103" s="35">
        <v>6</v>
      </c>
      <c r="C103" s="35">
        <v>39</v>
      </c>
      <c r="D103" s="35">
        <v>7</v>
      </c>
      <c r="E103" s="35">
        <v>4</v>
      </c>
      <c r="F103" s="35">
        <v>11</v>
      </c>
      <c r="G103" s="35">
        <v>2</v>
      </c>
      <c r="H103" s="35">
        <v>4</v>
      </c>
      <c r="I103" s="164"/>
      <c r="M103" s="23">
        <v>1</v>
      </c>
    </row>
    <row r="104" spans="2:13" ht="18">
      <c r="B104" s="35">
        <v>6</v>
      </c>
      <c r="C104" s="35">
        <v>39</v>
      </c>
      <c r="D104" s="35">
        <v>6</v>
      </c>
      <c r="E104" s="35">
        <v>3</v>
      </c>
      <c r="F104" s="35">
        <v>8</v>
      </c>
      <c r="G104" s="35">
        <v>0</v>
      </c>
      <c r="H104" s="35">
        <v>0</v>
      </c>
      <c r="I104" s="164"/>
      <c r="M104" s="23">
        <v>1</v>
      </c>
    </row>
    <row r="105" spans="2:13" ht="18">
      <c r="B105" s="35">
        <v>6</v>
      </c>
      <c r="C105" s="35">
        <v>39</v>
      </c>
      <c r="D105" s="35">
        <v>8</v>
      </c>
      <c r="E105" s="35">
        <v>7</v>
      </c>
      <c r="F105" s="35">
        <v>6</v>
      </c>
      <c r="G105" s="35">
        <v>4</v>
      </c>
      <c r="H105" s="35">
        <v>5</v>
      </c>
      <c r="I105" s="164"/>
      <c r="M105" s="23">
        <v>1</v>
      </c>
    </row>
    <row r="106" spans="2:13" ht="18">
      <c r="B106" s="35">
        <v>6</v>
      </c>
      <c r="C106" s="35">
        <v>37</v>
      </c>
      <c r="D106" s="35">
        <v>3</v>
      </c>
      <c r="E106" s="35">
        <v>0</v>
      </c>
      <c r="F106" s="35">
        <v>4</v>
      </c>
      <c r="G106" s="35">
        <v>0</v>
      </c>
      <c r="H106" s="35">
        <v>0</v>
      </c>
      <c r="I106" s="164"/>
      <c r="M106" s="23">
        <v>1</v>
      </c>
    </row>
    <row r="107" spans="2:13" ht="18">
      <c r="B107" s="35">
        <v>6</v>
      </c>
      <c r="C107" s="35">
        <v>37</v>
      </c>
      <c r="D107" s="35">
        <v>4</v>
      </c>
      <c r="E107" s="35">
        <v>4</v>
      </c>
      <c r="F107" s="35">
        <v>0</v>
      </c>
      <c r="G107" s="35">
        <v>0</v>
      </c>
      <c r="H107" s="35">
        <v>0</v>
      </c>
      <c r="I107" s="164"/>
      <c r="M107" s="23">
        <v>1</v>
      </c>
    </row>
    <row r="108" spans="2:13" ht="18">
      <c r="B108" s="35">
        <v>6</v>
      </c>
      <c r="C108" s="35">
        <v>37</v>
      </c>
      <c r="D108" s="35">
        <v>5</v>
      </c>
      <c r="E108" s="35">
        <v>5</v>
      </c>
      <c r="F108" s="35">
        <v>0</v>
      </c>
      <c r="G108" s="35">
        <v>0</v>
      </c>
      <c r="H108" s="35">
        <v>0</v>
      </c>
      <c r="I108" s="164"/>
      <c r="M108" s="23">
        <v>1</v>
      </c>
    </row>
    <row r="109" spans="2:13" ht="18">
      <c r="B109" s="35">
        <v>6</v>
      </c>
      <c r="C109" s="35">
        <v>38</v>
      </c>
      <c r="D109" s="35">
        <v>5</v>
      </c>
      <c r="E109" s="35">
        <v>6</v>
      </c>
      <c r="F109" s="35">
        <v>7</v>
      </c>
      <c r="G109" s="35">
        <v>0</v>
      </c>
      <c r="H109" s="35">
        <v>0</v>
      </c>
      <c r="I109" s="164"/>
      <c r="M109" s="23">
        <v>1</v>
      </c>
    </row>
    <row r="110" spans="2:13" ht="18">
      <c r="B110" s="35">
        <v>6</v>
      </c>
      <c r="C110" s="35">
        <v>18</v>
      </c>
      <c r="D110" s="35">
        <v>6</v>
      </c>
      <c r="E110" s="35">
        <v>14</v>
      </c>
      <c r="F110" s="35">
        <v>1</v>
      </c>
      <c r="G110" s="35">
        <v>6</v>
      </c>
      <c r="H110" s="35">
        <v>0</v>
      </c>
      <c r="I110" s="164"/>
      <c r="M110" s="23">
        <v>1</v>
      </c>
    </row>
    <row r="111" spans="2:13" ht="18">
      <c r="B111" s="35">
        <v>6</v>
      </c>
      <c r="C111" s="35">
        <v>18</v>
      </c>
      <c r="D111" s="35">
        <v>7</v>
      </c>
      <c r="E111" s="35">
        <v>19</v>
      </c>
      <c r="F111" s="35">
        <v>0</v>
      </c>
      <c r="G111" s="35">
        <v>5</v>
      </c>
      <c r="H111" s="35">
        <v>1</v>
      </c>
      <c r="I111" s="164"/>
      <c r="M111" s="23">
        <v>1</v>
      </c>
    </row>
    <row r="112" spans="2:13" ht="18">
      <c r="B112" s="35">
        <v>6</v>
      </c>
      <c r="C112" s="35">
        <v>40</v>
      </c>
      <c r="D112" s="35">
        <v>8</v>
      </c>
      <c r="E112" s="35">
        <v>8</v>
      </c>
      <c r="F112" s="35">
        <v>5</v>
      </c>
      <c r="G112" s="35">
        <v>0</v>
      </c>
      <c r="H112" s="35">
        <v>0</v>
      </c>
      <c r="I112" s="164"/>
      <c r="M112" s="23">
        <v>1</v>
      </c>
    </row>
    <row r="113" spans="2:13" ht="18">
      <c r="B113" s="35">
        <v>6</v>
      </c>
      <c r="C113" s="35">
        <v>17</v>
      </c>
      <c r="D113" s="35">
        <v>8</v>
      </c>
      <c r="E113" s="35">
        <v>16</v>
      </c>
      <c r="F113" s="35">
        <v>1</v>
      </c>
      <c r="G113" s="35">
        <v>7</v>
      </c>
      <c r="H113" s="35">
        <v>1</v>
      </c>
      <c r="I113" s="164"/>
      <c r="M113" s="23">
        <v>1</v>
      </c>
    </row>
    <row r="114" spans="2:13" ht="18">
      <c r="B114" s="35">
        <v>6</v>
      </c>
      <c r="C114" s="35">
        <v>40</v>
      </c>
      <c r="D114" s="35">
        <v>9</v>
      </c>
      <c r="E114" s="35">
        <v>3</v>
      </c>
      <c r="F114" s="35">
        <v>6</v>
      </c>
      <c r="G114" s="35">
        <v>0</v>
      </c>
      <c r="H114" s="35">
        <v>1</v>
      </c>
      <c r="I114" s="164"/>
      <c r="M114" s="23">
        <v>1</v>
      </c>
    </row>
    <row r="115" spans="2:13" ht="18">
      <c r="B115" s="35">
        <v>6</v>
      </c>
      <c r="C115" s="35">
        <v>16</v>
      </c>
      <c r="D115" s="35">
        <v>6</v>
      </c>
      <c r="E115" s="35">
        <v>12</v>
      </c>
      <c r="F115" s="35">
        <v>2</v>
      </c>
      <c r="G115" s="35">
        <v>3</v>
      </c>
      <c r="H115" s="35">
        <v>0</v>
      </c>
      <c r="I115" s="164"/>
      <c r="M115" s="23">
        <v>1</v>
      </c>
    </row>
    <row r="116" spans="2:13" ht="18">
      <c r="B116" s="35">
        <v>6</v>
      </c>
      <c r="C116" s="35">
        <v>16</v>
      </c>
      <c r="D116" s="35">
        <v>7</v>
      </c>
      <c r="E116" s="35">
        <v>12</v>
      </c>
      <c r="F116" s="35">
        <v>1</v>
      </c>
      <c r="G116" s="35">
        <v>4</v>
      </c>
      <c r="H116" s="35">
        <v>0</v>
      </c>
      <c r="I116" s="164"/>
      <c r="M116" s="23">
        <v>1</v>
      </c>
    </row>
    <row r="117" spans="2:13" ht="18">
      <c r="B117" s="35">
        <v>6</v>
      </c>
      <c r="C117" s="35">
        <v>16</v>
      </c>
      <c r="D117" s="35">
        <v>8</v>
      </c>
      <c r="E117" s="35">
        <v>12</v>
      </c>
      <c r="F117" s="35">
        <v>4</v>
      </c>
      <c r="G117" s="35">
        <v>3</v>
      </c>
      <c r="H117" s="35">
        <v>0</v>
      </c>
      <c r="I117" s="164"/>
      <c r="M117" s="23">
        <v>1</v>
      </c>
    </row>
    <row r="118" spans="2:13" ht="18">
      <c r="B118" s="35">
        <v>6</v>
      </c>
      <c r="C118" s="35">
        <v>23</v>
      </c>
      <c r="D118" s="35">
        <v>8</v>
      </c>
      <c r="E118" s="35">
        <v>13</v>
      </c>
      <c r="F118" s="35">
        <v>4</v>
      </c>
      <c r="G118" s="35">
        <v>2</v>
      </c>
      <c r="H118" s="35">
        <v>3</v>
      </c>
      <c r="I118" s="164"/>
      <c r="M118" s="23">
        <v>1</v>
      </c>
    </row>
    <row r="119" spans="2:13" ht="18">
      <c r="B119" s="35">
        <v>6</v>
      </c>
      <c r="C119" s="35">
        <v>23</v>
      </c>
      <c r="D119" s="35">
        <v>5</v>
      </c>
      <c r="E119" s="35">
        <v>2</v>
      </c>
      <c r="F119" s="35">
        <v>5</v>
      </c>
      <c r="G119" s="35">
        <v>3</v>
      </c>
      <c r="H119" s="35">
        <v>11</v>
      </c>
      <c r="I119" s="164"/>
      <c r="M119" s="23">
        <v>1</v>
      </c>
    </row>
    <row r="120" spans="2:13" ht="18">
      <c r="B120" s="35">
        <v>6</v>
      </c>
      <c r="C120" s="35">
        <v>23</v>
      </c>
      <c r="D120" s="35">
        <v>6</v>
      </c>
      <c r="E120" s="35">
        <v>4</v>
      </c>
      <c r="F120" s="35">
        <v>7</v>
      </c>
      <c r="G120" s="35">
        <v>2</v>
      </c>
      <c r="H120" s="35">
        <v>9</v>
      </c>
      <c r="I120" s="164"/>
      <c r="M120" s="23">
        <v>1</v>
      </c>
    </row>
    <row r="121" spans="2:13" ht="18">
      <c r="B121" s="35">
        <v>6</v>
      </c>
      <c r="C121" s="35">
        <v>20</v>
      </c>
      <c r="D121" s="35">
        <v>3</v>
      </c>
      <c r="E121" s="35">
        <v>12</v>
      </c>
      <c r="F121" s="35">
        <v>1</v>
      </c>
      <c r="G121" s="35">
        <v>1</v>
      </c>
      <c r="H121" s="35">
        <v>1</v>
      </c>
      <c r="I121" s="164"/>
      <c r="M121" s="23">
        <v>1</v>
      </c>
    </row>
    <row r="122" spans="2:13" ht="18">
      <c r="B122" s="35">
        <v>6</v>
      </c>
      <c r="C122" s="35">
        <v>20</v>
      </c>
      <c r="D122" s="35">
        <v>4</v>
      </c>
      <c r="E122" s="35">
        <v>1</v>
      </c>
      <c r="F122" s="35">
        <v>0</v>
      </c>
      <c r="G122" s="35">
        <v>8</v>
      </c>
      <c r="H122" s="35">
        <v>1</v>
      </c>
      <c r="I122" s="164"/>
      <c r="M122" s="23">
        <v>1</v>
      </c>
    </row>
    <row r="123" spans="2:13" ht="18">
      <c r="B123" s="35">
        <v>6</v>
      </c>
      <c r="C123" s="35">
        <v>20</v>
      </c>
      <c r="D123" s="35">
        <v>2</v>
      </c>
      <c r="E123" s="35">
        <v>2</v>
      </c>
      <c r="F123" s="35">
        <v>0</v>
      </c>
      <c r="G123" s="35">
        <v>0</v>
      </c>
      <c r="H123" s="35">
        <v>0</v>
      </c>
      <c r="I123" s="164"/>
      <c r="M123" s="23">
        <v>1</v>
      </c>
    </row>
    <row r="124" spans="2:13" ht="18">
      <c r="B124" s="35">
        <v>6</v>
      </c>
      <c r="C124" s="35">
        <v>20</v>
      </c>
      <c r="D124" s="35">
        <v>1</v>
      </c>
      <c r="E124" s="35">
        <v>3</v>
      </c>
      <c r="F124" s="35">
        <v>2</v>
      </c>
      <c r="G124" s="35">
        <v>2</v>
      </c>
      <c r="H124" s="35">
        <v>1</v>
      </c>
      <c r="I124" s="164"/>
      <c r="M124" s="23">
        <v>1</v>
      </c>
    </row>
    <row r="125" spans="2:13" ht="18">
      <c r="B125" s="35">
        <v>6</v>
      </c>
      <c r="C125" s="35">
        <v>20</v>
      </c>
      <c r="D125" s="35">
        <v>5</v>
      </c>
      <c r="E125" s="35">
        <v>6</v>
      </c>
      <c r="F125" s="35">
        <v>0</v>
      </c>
      <c r="G125" s="35">
        <v>6</v>
      </c>
      <c r="H125" s="35">
        <v>0</v>
      </c>
      <c r="I125" s="164"/>
      <c r="M125" s="23">
        <v>1</v>
      </c>
    </row>
    <row r="126" spans="2:13" ht="18">
      <c r="B126" s="35">
        <v>6</v>
      </c>
      <c r="C126" s="35">
        <v>32</v>
      </c>
      <c r="D126" s="35">
        <v>9</v>
      </c>
      <c r="E126" s="35">
        <v>10</v>
      </c>
      <c r="F126" s="35">
        <v>15</v>
      </c>
      <c r="G126" s="35">
        <v>0</v>
      </c>
      <c r="H126" s="35">
        <v>0</v>
      </c>
      <c r="I126" s="164"/>
      <c r="M126" s="23">
        <v>1</v>
      </c>
    </row>
    <row r="127" spans="2:13" ht="18">
      <c r="B127" s="35">
        <v>6</v>
      </c>
      <c r="C127" s="35">
        <v>32</v>
      </c>
      <c r="D127" s="35">
        <v>8</v>
      </c>
      <c r="E127" s="35">
        <v>7</v>
      </c>
      <c r="F127" s="35">
        <v>14</v>
      </c>
      <c r="G127" s="35">
        <v>0</v>
      </c>
      <c r="H127" s="35">
        <v>4</v>
      </c>
      <c r="I127" s="164"/>
      <c r="M127" s="23">
        <v>1</v>
      </c>
    </row>
    <row r="128" spans="2:13" ht="18">
      <c r="B128" s="35">
        <v>6</v>
      </c>
      <c r="C128" s="35">
        <v>32</v>
      </c>
      <c r="D128" s="35">
        <v>7</v>
      </c>
      <c r="E128" s="35">
        <v>6</v>
      </c>
      <c r="F128" s="35">
        <v>8</v>
      </c>
      <c r="G128" s="35">
        <v>0</v>
      </c>
      <c r="H128" s="35">
        <v>4</v>
      </c>
      <c r="I128" s="164"/>
      <c r="M128" s="23">
        <v>1</v>
      </c>
    </row>
    <row r="129" spans="2:13" ht="18">
      <c r="B129" s="35">
        <v>6</v>
      </c>
      <c r="C129" s="35">
        <v>35</v>
      </c>
      <c r="D129" s="35">
        <v>3</v>
      </c>
      <c r="E129" s="35">
        <v>8</v>
      </c>
      <c r="F129" s="35">
        <v>5</v>
      </c>
      <c r="G129" s="35">
        <v>0</v>
      </c>
      <c r="H129" s="35">
        <v>1</v>
      </c>
      <c r="I129" s="164"/>
      <c r="M129" s="23">
        <v>1</v>
      </c>
    </row>
    <row r="130" spans="2:13" ht="18">
      <c r="B130" s="35">
        <v>6</v>
      </c>
      <c r="C130" s="35">
        <v>35</v>
      </c>
      <c r="D130" s="35">
        <v>4</v>
      </c>
      <c r="E130" s="35">
        <v>5</v>
      </c>
      <c r="F130" s="35">
        <v>9</v>
      </c>
      <c r="G130" s="35">
        <v>1</v>
      </c>
      <c r="H130" s="35">
        <v>1</v>
      </c>
      <c r="I130" s="164"/>
      <c r="M130" s="23">
        <v>1</v>
      </c>
    </row>
    <row r="131" spans="2:13" ht="18">
      <c r="B131" s="35">
        <v>6</v>
      </c>
      <c r="C131" s="35">
        <v>35</v>
      </c>
      <c r="D131" s="35">
        <v>5</v>
      </c>
      <c r="E131" s="35">
        <v>7</v>
      </c>
      <c r="F131" s="35">
        <v>11</v>
      </c>
      <c r="G131" s="35">
        <v>0</v>
      </c>
      <c r="H131" s="35">
        <v>0</v>
      </c>
      <c r="I131" s="164"/>
      <c r="M131" s="23">
        <v>1</v>
      </c>
    </row>
    <row r="132" spans="2:13" ht="18">
      <c r="B132" s="35">
        <v>6</v>
      </c>
      <c r="C132" s="35">
        <v>12</v>
      </c>
      <c r="D132" s="35">
        <v>9</v>
      </c>
      <c r="E132" s="35">
        <v>5</v>
      </c>
      <c r="F132" s="35">
        <v>3</v>
      </c>
      <c r="G132" s="35">
        <v>0</v>
      </c>
      <c r="H132" s="35">
        <v>0</v>
      </c>
      <c r="I132" s="164"/>
      <c r="M132" s="23">
        <v>1</v>
      </c>
    </row>
    <row r="133" spans="2:13" ht="18">
      <c r="B133" s="35">
        <v>6</v>
      </c>
      <c r="C133" s="35">
        <v>12</v>
      </c>
      <c r="D133" s="35">
        <v>8</v>
      </c>
      <c r="E133" s="35">
        <v>6</v>
      </c>
      <c r="F133" s="35">
        <v>4</v>
      </c>
      <c r="G133" s="35">
        <v>0</v>
      </c>
      <c r="H133" s="35">
        <v>0</v>
      </c>
      <c r="I133" s="164"/>
      <c r="M133" s="23">
        <v>1</v>
      </c>
    </row>
    <row r="134" spans="2:13" ht="18">
      <c r="B134" s="35">
        <v>6</v>
      </c>
      <c r="C134" s="35">
        <v>27</v>
      </c>
      <c r="D134" s="35">
        <v>8</v>
      </c>
      <c r="E134" s="35">
        <v>5</v>
      </c>
      <c r="F134" s="35">
        <v>8</v>
      </c>
      <c r="G134" s="35">
        <v>0</v>
      </c>
      <c r="H134" s="35">
        <v>0</v>
      </c>
      <c r="I134" s="164"/>
      <c r="M134" s="23">
        <v>1</v>
      </c>
    </row>
    <row r="135" spans="2:13" ht="18">
      <c r="B135" s="35">
        <v>6</v>
      </c>
      <c r="C135" s="35">
        <v>27</v>
      </c>
      <c r="D135" s="35">
        <v>7</v>
      </c>
      <c r="E135" s="35">
        <v>1</v>
      </c>
      <c r="F135" s="35">
        <v>2</v>
      </c>
      <c r="G135" s="35">
        <v>2</v>
      </c>
      <c r="H135" s="35">
        <v>4</v>
      </c>
      <c r="I135" s="164"/>
      <c r="M135" s="23">
        <v>1</v>
      </c>
    </row>
    <row r="136" spans="2:13" ht="18">
      <c r="B136" s="35">
        <v>6</v>
      </c>
      <c r="C136" s="35">
        <v>35</v>
      </c>
      <c r="D136" s="35">
        <v>9</v>
      </c>
      <c r="E136" s="35">
        <v>6</v>
      </c>
      <c r="F136" s="35">
        <v>4</v>
      </c>
      <c r="G136" s="35">
        <v>1</v>
      </c>
      <c r="H136" s="35">
        <v>2</v>
      </c>
      <c r="I136" s="164"/>
      <c r="M136" s="23">
        <v>1</v>
      </c>
    </row>
    <row r="137" spans="2:13" ht="18">
      <c r="B137" s="35">
        <v>6</v>
      </c>
      <c r="C137" s="35">
        <v>35</v>
      </c>
      <c r="D137" s="35">
        <v>8</v>
      </c>
      <c r="E137" s="35">
        <v>2</v>
      </c>
      <c r="F137" s="35">
        <v>4</v>
      </c>
      <c r="G137" s="35">
        <v>1</v>
      </c>
      <c r="H137" s="35">
        <v>1</v>
      </c>
      <c r="I137" s="164"/>
      <c r="M137" s="23">
        <v>1</v>
      </c>
    </row>
    <row r="138" spans="2:13" ht="18">
      <c r="B138" s="35">
        <v>6</v>
      </c>
      <c r="C138" s="35">
        <v>42</v>
      </c>
      <c r="D138" s="35">
        <v>6</v>
      </c>
      <c r="E138" s="35">
        <v>10</v>
      </c>
      <c r="F138" s="35">
        <v>6</v>
      </c>
      <c r="G138" s="35">
        <v>4</v>
      </c>
      <c r="H138" s="35">
        <v>5</v>
      </c>
      <c r="I138" s="164"/>
      <c r="M138" s="23">
        <v>1</v>
      </c>
    </row>
    <row r="139" spans="2:13" ht="18">
      <c r="B139" s="35">
        <v>6</v>
      </c>
      <c r="C139" s="35">
        <v>42</v>
      </c>
      <c r="D139" s="35">
        <v>7</v>
      </c>
      <c r="E139" s="35">
        <v>5</v>
      </c>
      <c r="F139" s="35">
        <v>10</v>
      </c>
      <c r="G139" s="35">
        <v>10</v>
      </c>
      <c r="H139" s="35">
        <v>0</v>
      </c>
      <c r="I139" s="164"/>
      <c r="M139" s="23">
        <v>1</v>
      </c>
    </row>
    <row r="140" spans="2:13" ht="18">
      <c r="B140" s="35">
        <v>6</v>
      </c>
      <c r="C140" s="35">
        <v>42</v>
      </c>
      <c r="D140" s="35">
        <v>8</v>
      </c>
      <c r="E140" s="35">
        <v>2</v>
      </c>
      <c r="F140" s="35">
        <v>6</v>
      </c>
      <c r="G140" s="35">
        <v>4</v>
      </c>
      <c r="H140" s="35">
        <v>11</v>
      </c>
      <c r="I140" s="164"/>
      <c r="M140" s="23">
        <v>1</v>
      </c>
    </row>
    <row r="141" spans="2:13" ht="18">
      <c r="B141" s="35">
        <v>6</v>
      </c>
      <c r="C141" s="35">
        <v>35</v>
      </c>
      <c r="D141" s="35">
        <v>6</v>
      </c>
      <c r="E141" s="35">
        <v>9</v>
      </c>
      <c r="F141" s="35">
        <v>4</v>
      </c>
      <c r="G141" s="35">
        <v>0</v>
      </c>
      <c r="H141" s="35">
        <v>0</v>
      </c>
      <c r="I141" s="164"/>
      <c r="M141" s="23">
        <v>1</v>
      </c>
    </row>
    <row r="142" spans="2:13" ht="18">
      <c r="B142" s="35">
        <v>6</v>
      </c>
      <c r="C142" s="35">
        <v>35</v>
      </c>
      <c r="D142" s="35">
        <v>7</v>
      </c>
      <c r="E142" s="35">
        <v>2</v>
      </c>
      <c r="F142" s="35">
        <v>8</v>
      </c>
      <c r="G142" s="35">
        <v>2</v>
      </c>
      <c r="H142" s="35">
        <v>0</v>
      </c>
      <c r="I142" s="164"/>
      <c r="M142" s="23">
        <v>1</v>
      </c>
    </row>
    <row r="143" spans="2:13" ht="18">
      <c r="B143" s="35">
        <v>6</v>
      </c>
      <c r="C143" s="35">
        <v>14</v>
      </c>
      <c r="D143" s="35">
        <v>6</v>
      </c>
      <c r="E143" s="35">
        <v>11</v>
      </c>
      <c r="F143" s="35">
        <v>0</v>
      </c>
      <c r="G143" s="35">
        <v>6</v>
      </c>
      <c r="H143" s="35">
        <v>0</v>
      </c>
      <c r="I143" s="164"/>
      <c r="M143" s="23">
        <v>1</v>
      </c>
    </row>
    <row r="144" spans="2:13" ht="18">
      <c r="B144" s="35">
        <v>6</v>
      </c>
      <c r="C144" s="35">
        <v>14</v>
      </c>
      <c r="D144" s="35">
        <v>7</v>
      </c>
      <c r="E144" s="35">
        <v>11</v>
      </c>
      <c r="F144" s="35">
        <v>1</v>
      </c>
      <c r="G144" s="35">
        <v>3</v>
      </c>
      <c r="H144" s="35">
        <v>1</v>
      </c>
      <c r="I144" s="164"/>
      <c r="M144" s="23">
        <v>1</v>
      </c>
    </row>
    <row r="145" spans="2:13" ht="18">
      <c r="B145" s="35">
        <v>6</v>
      </c>
      <c r="C145" s="35">
        <v>14</v>
      </c>
      <c r="D145" s="35">
        <v>8</v>
      </c>
      <c r="E145" s="35">
        <v>13</v>
      </c>
      <c r="F145" s="35">
        <v>2</v>
      </c>
      <c r="G145" s="35">
        <v>7</v>
      </c>
      <c r="H145" s="35">
        <v>3</v>
      </c>
      <c r="I145" s="164"/>
      <c r="M145" s="23">
        <v>1</v>
      </c>
    </row>
    <row r="146" spans="2:13" ht="18">
      <c r="B146" s="35">
        <v>6</v>
      </c>
      <c r="C146" s="35">
        <v>14</v>
      </c>
      <c r="D146" s="35">
        <v>9</v>
      </c>
      <c r="E146" s="35">
        <v>9</v>
      </c>
      <c r="F146" s="35">
        <v>3</v>
      </c>
      <c r="G146" s="35">
        <v>8</v>
      </c>
      <c r="H146" s="35">
        <v>1</v>
      </c>
      <c r="I146" s="164"/>
      <c r="M146" s="23">
        <v>1</v>
      </c>
    </row>
    <row r="147" spans="2:13" ht="18">
      <c r="B147" s="35">
        <v>6</v>
      </c>
      <c r="C147" s="35">
        <v>38</v>
      </c>
      <c r="D147" s="35">
        <v>6</v>
      </c>
      <c r="E147" s="35">
        <v>2</v>
      </c>
      <c r="F147" s="35">
        <v>5</v>
      </c>
      <c r="G147" s="35">
        <v>0</v>
      </c>
      <c r="H147" s="35">
        <v>4</v>
      </c>
      <c r="I147" s="164"/>
      <c r="M147" s="23">
        <v>1</v>
      </c>
    </row>
    <row r="148" spans="2:13" ht="18">
      <c r="B148" s="35">
        <v>6</v>
      </c>
      <c r="C148" s="35">
        <v>38</v>
      </c>
      <c r="D148" s="35">
        <v>7</v>
      </c>
      <c r="E148" s="35">
        <v>4</v>
      </c>
      <c r="F148" s="35">
        <v>2</v>
      </c>
      <c r="G148" s="35">
        <v>0</v>
      </c>
      <c r="H148" s="35">
        <v>1</v>
      </c>
      <c r="I148" s="164"/>
      <c r="M148" s="23">
        <v>1</v>
      </c>
    </row>
    <row r="149" spans="2:13" ht="18">
      <c r="B149" s="35">
        <v>6</v>
      </c>
      <c r="C149" s="35">
        <v>38</v>
      </c>
      <c r="D149" s="35">
        <v>8</v>
      </c>
      <c r="E149" s="35">
        <v>1</v>
      </c>
      <c r="F149" s="35">
        <v>2</v>
      </c>
      <c r="G149" s="35">
        <v>0</v>
      </c>
      <c r="H149" s="35">
        <v>2</v>
      </c>
      <c r="I149" s="164"/>
      <c r="M149" s="23">
        <v>1</v>
      </c>
    </row>
    <row r="150" spans="2:13" ht="18">
      <c r="B150" s="35">
        <v>6</v>
      </c>
      <c r="C150" s="35">
        <v>38</v>
      </c>
      <c r="D150" s="35">
        <v>9</v>
      </c>
      <c r="E150" s="35">
        <v>1</v>
      </c>
      <c r="F150" s="35">
        <v>2</v>
      </c>
      <c r="G150" s="35">
        <v>1</v>
      </c>
      <c r="H150" s="35">
        <v>5</v>
      </c>
      <c r="I150" s="164"/>
      <c r="M150" s="23">
        <v>1</v>
      </c>
    </row>
    <row r="151" spans="2:13" ht="18">
      <c r="B151" s="35">
        <v>6</v>
      </c>
      <c r="C151" s="35">
        <v>25</v>
      </c>
      <c r="D151" s="35">
        <v>4</v>
      </c>
      <c r="E151" s="35">
        <v>16</v>
      </c>
      <c r="F151" s="35">
        <v>8</v>
      </c>
      <c r="G151" s="35">
        <v>1</v>
      </c>
      <c r="H151" s="35">
        <v>1</v>
      </c>
      <c r="I151" s="164"/>
      <c r="M151" s="23">
        <v>1</v>
      </c>
    </row>
    <row r="152" spans="2:13" ht="18">
      <c r="B152" s="35">
        <v>6</v>
      </c>
      <c r="C152" s="35">
        <v>25</v>
      </c>
      <c r="D152" s="35">
        <v>5</v>
      </c>
      <c r="E152" s="35">
        <v>7</v>
      </c>
      <c r="F152" s="35">
        <v>7</v>
      </c>
      <c r="G152" s="35">
        <v>2</v>
      </c>
      <c r="H152" s="35">
        <v>0</v>
      </c>
      <c r="I152" s="164"/>
      <c r="M152" s="23">
        <v>1</v>
      </c>
    </row>
    <row r="153" spans="2:13" ht="18">
      <c r="B153" s="35">
        <v>6</v>
      </c>
      <c r="C153" s="35">
        <v>25</v>
      </c>
      <c r="D153" s="35">
        <v>6</v>
      </c>
      <c r="E153" s="35">
        <v>8</v>
      </c>
      <c r="F153" s="35">
        <v>6</v>
      </c>
      <c r="G153" s="35">
        <v>3</v>
      </c>
      <c r="H153" s="35">
        <v>0</v>
      </c>
      <c r="I153" s="164"/>
      <c r="M153" s="23">
        <v>1</v>
      </c>
    </row>
    <row r="154" spans="2:13" ht="18">
      <c r="B154" s="35">
        <v>6</v>
      </c>
      <c r="C154" s="35">
        <v>25</v>
      </c>
      <c r="D154" s="35">
        <v>7</v>
      </c>
      <c r="E154" s="35">
        <v>13</v>
      </c>
      <c r="F154" s="35">
        <v>5</v>
      </c>
      <c r="G154" s="35">
        <v>2</v>
      </c>
      <c r="H154" s="35">
        <v>3</v>
      </c>
      <c r="I154" s="164"/>
      <c r="M154" s="23">
        <v>1</v>
      </c>
    </row>
    <row r="155" spans="2:13" ht="18">
      <c r="B155" s="35">
        <v>6</v>
      </c>
      <c r="C155" s="35">
        <v>25</v>
      </c>
      <c r="D155" s="35">
        <v>8</v>
      </c>
      <c r="E155" s="35">
        <v>12</v>
      </c>
      <c r="F155" s="35">
        <v>0</v>
      </c>
      <c r="G155" s="35">
        <v>1</v>
      </c>
      <c r="H155" s="35">
        <v>0</v>
      </c>
      <c r="I155" s="164"/>
      <c r="M155" s="23">
        <v>1</v>
      </c>
    </row>
    <row r="156" spans="2:13" ht="18">
      <c r="B156" s="35">
        <v>6</v>
      </c>
      <c r="C156" s="35">
        <v>25</v>
      </c>
      <c r="D156" s="35">
        <v>9</v>
      </c>
      <c r="E156" s="35">
        <v>4</v>
      </c>
      <c r="F156" s="35">
        <v>2</v>
      </c>
      <c r="G156" s="35">
        <v>0</v>
      </c>
      <c r="H156" s="35">
        <v>1</v>
      </c>
      <c r="I156" s="164"/>
      <c r="M156" s="23">
        <v>1</v>
      </c>
    </row>
    <row r="157" spans="2:13" ht="18">
      <c r="B157" s="35">
        <v>6</v>
      </c>
      <c r="C157" s="35">
        <v>13</v>
      </c>
      <c r="D157" s="35">
        <v>6</v>
      </c>
      <c r="E157" s="35">
        <v>7</v>
      </c>
      <c r="F157" s="35">
        <v>2</v>
      </c>
      <c r="G157" s="35">
        <v>1</v>
      </c>
      <c r="H157" s="35">
        <v>1</v>
      </c>
      <c r="I157" s="164"/>
      <c r="M157" s="23">
        <v>1</v>
      </c>
    </row>
    <row r="158" spans="2:13" ht="18">
      <c r="B158" s="35">
        <v>6</v>
      </c>
      <c r="C158" s="35">
        <v>13</v>
      </c>
      <c r="D158" s="35">
        <v>7</v>
      </c>
      <c r="E158" s="35">
        <v>5</v>
      </c>
      <c r="F158" s="35">
        <v>8</v>
      </c>
      <c r="G158" s="35">
        <v>3</v>
      </c>
      <c r="H158" s="35">
        <v>3</v>
      </c>
      <c r="I158" s="164"/>
      <c r="M158" s="23">
        <v>1</v>
      </c>
    </row>
    <row r="159" spans="2:13" ht="18">
      <c r="B159" s="35">
        <v>6</v>
      </c>
      <c r="C159" s="35">
        <v>13</v>
      </c>
      <c r="D159" s="35">
        <v>8</v>
      </c>
      <c r="E159" s="35">
        <v>9</v>
      </c>
      <c r="F159" s="35">
        <v>6</v>
      </c>
      <c r="G159" s="35">
        <v>4</v>
      </c>
      <c r="H159" s="35">
        <v>3</v>
      </c>
      <c r="I159" s="164"/>
      <c r="M159" s="23">
        <v>1</v>
      </c>
    </row>
    <row r="160" spans="2:13" ht="18">
      <c r="B160" s="35">
        <v>6</v>
      </c>
      <c r="C160" s="35">
        <v>13</v>
      </c>
      <c r="D160" s="35">
        <v>9</v>
      </c>
      <c r="E160" s="35">
        <v>5</v>
      </c>
      <c r="F160" s="35">
        <v>7</v>
      </c>
      <c r="G160" s="35">
        <v>3</v>
      </c>
      <c r="H160" s="35">
        <v>3</v>
      </c>
      <c r="I160" s="164"/>
      <c r="M160" s="23">
        <v>1</v>
      </c>
    </row>
    <row r="161" spans="2:13" ht="18">
      <c r="B161" s="35">
        <v>6</v>
      </c>
      <c r="C161" s="35">
        <v>31</v>
      </c>
      <c r="D161" s="35">
        <v>6</v>
      </c>
      <c r="E161" s="35">
        <v>3</v>
      </c>
      <c r="F161" s="35">
        <v>2</v>
      </c>
      <c r="G161" s="35">
        <v>1</v>
      </c>
      <c r="H161" s="35">
        <v>3</v>
      </c>
      <c r="I161" s="164"/>
      <c r="M161" s="23">
        <v>1</v>
      </c>
    </row>
    <row r="162" spans="2:13" ht="18">
      <c r="B162" s="35">
        <v>6</v>
      </c>
      <c r="C162" s="35">
        <v>31</v>
      </c>
      <c r="D162" s="35">
        <v>7</v>
      </c>
      <c r="E162" s="35">
        <v>4</v>
      </c>
      <c r="F162" s="35">
        <v>3</v>
      </c>
      <c r="G162" s="35">
        <v>2</v>
      </c>
      <c r="H162" s="35">
        <v>3</v>
      </c>
      <c r="I162" s="164"/>
      <c r="M162" s="23">
        <v>1</v>
      </c>
    </row>
    <row r="163" spans="2:13" ht="18">
      <c r="B163" s="35">
        <v>6</v>
      </c>
      <c r="C163" s="35">
        <v>31</v>
      </c>
      <c r="D163" s="35">
        <v>8</v>
      </c>
      <c r="E163" s="35">
        <v>5</v>
      </c>
      <c r="F163" s="35">
        <v>2</v>
      </c>
      <c r="G163" s="35">
        <v>0</v>
      </c>
      <c r="H163" s="35">
        <v>3</v>
      </c>
      <c r="I163" s="164"/>
      <c r="M163" s="23">
        <v>1</v>
      </c>
    </row>
    <row r="164" spans="2:13" ht="18">
      <c r="B164" s="35">
        <v>6</v>
      </c>
      <c r="C164" s="35">
        <v>31</v>
      </c>
      <c r="D164" s="35">
        <v>9</v>
      </c>
      <c r="E164" s="35">
        <v>4</v>
      </c>
      <c r="F164" s="35">
        <v>2</v>
      </c>
      <c r="G164" s="35">
        <v>3</v>
      </c>
      <c r="H164" s="35">
        <v>2</v>
      </c>
      <c r="I164" s="164"/>
      <c r="M164" s="23">
        <v>1</v>
      </c>
    </row>
    <row r="165" spans="2:13" ht="18">
      <c r="B165" s="35">
        <v>6</v>
      </c>
      <c r="C165" s="35">
        <v>31</v>
      </c>
      <c r="D165" s="35">
        <v>10</v>
      </c>
      <c r="E165" s="35">
        <v>6</v>
      </c>
      <c r="F165" s="35">
        <v>4</v>
      </c>
      <c r="G165" s="35">
        <v>3</v>
      </c>
      <c r="H165" s="35">
        <v>4</v>
      </c>
      <c r="I165" s="164"/>
      <c r="M165" s="23">
        <v>1</v>
      </c>
    </row>
    <row r="166" spans="2:13" ht="18">
      <c r="B166" s="35">
        <v>6</v>
      </c>
      <c r="C166" s="35">
        <v>14</v>
      </c>
      <c r="D166" s="35">
        <v>6</v>
      </c>
      <c r="E166" s="35">
        <v>11</v>
      </c>
      <c r="F166" s="35">
        <v>0</v>
      </c>
      <c r="G166" s="35">
        <v>6</v>
      </c>
      <c r="H166" s="35">
        <v>0</v>
      </c>
      <c r="I166" s="164"/>
      <c r="M166" s="23">
        <v>1</v>
      </c>
    </row>
    <row r="167" spans="2:13" ht="18">
      <c r="B167" s="35">
        <v>6</v>
      </c>
      <c r="C167" s="35">
        <v>14</v>
      </c>
      <c r="D167" s="35">
        <v>7</v>
      </c>
      <c r="E167" s="35">
        <v>11</v>
      </c>
      <c r="F167" s="35">
        <v>1</v>
      </c>
      <c r="G167" s="35">
        <v>3</v>
      </c>
      <c r="H167" s="35">
        <v>1</v>
      </c>
      <c r="I167" s="164"/>
      <c r="M167" s="23">
        <v>1</v>
      </c>
    </row>
    <row r="168" spans="2:13" ht="18">
      <c r="B168" s="35">
        <v>6</v>
      </c>
      <c r="C168" s="35">
        <v>14</v>
      </c>
      <c r="D168" s="35">
        <v>8</v>
      </c>
      <c r="E168" s="35">
        <v>13</v>
      </c>
      <c r="F168" s="35">
        <v>2</v>
      </c>
      <c r="G168" s="35">
        <v>7</v>
      </c>
      <c r="H168" s="35">
        <v>3</v>
      </c>
      <c r="I168" s="164"/>
      <c r="M168" s="23">
        <v>1</v>
      </c>
    </row>
    <row r="169" spans="2:13" ht="18">
      <c r="B169" s="35">
        <v>6</v>
      </c>
      <c r="C169" s="35">
        <v>14</v>
      </c>
      <c r="D169" s="35">
        <v>9</v>
      </c>
      <c r="E169" s="35">
        <v>9</v>
      </c>
      <c r="F169" s="35">
        <v>3</v>
      </c>
      <c r="G169" s="35">
        <v>8</v>
      </c>
      <c r="H169" s="35">
        <v>1</v>
      </c>
      <c r="I169" s="164"/>
      <c r="M169" s="23">
        <v>1</v>
      </c>
    </row>
    <row r="170" spans="2:13" ht="18">
      <c r="B170" s="35">
        <v>6</v>
      </c>
      <c r="C170" s="35">
        <v>14</v>
      </c>
      <c r="D170" s="35">
        <v>10</v>
      </c>
      <c r="E170" s="35">
        <v>19</v>
      </c>
      <c r="F170" s="35">
        <v>1</v>
      </c>
      <c r="G170" s="35">
        <v>2</v>
      </c>
      <c r="H170" s="35">
        <v>2</v>
      </c>
      <c r="I170" s="164"/>
      <c r="M170" s="23">
        <v>1</v>
      </c>
    </row>
    <row r="171" spans="2:13" ht="18">
      <c r="B171" s="35">
        <v>6</v>
      </c>
      <c r="C171" s="35">
        <v>28</v>
      </c>
      <c r="D171" s="35">
        <v>10</v>
      </c>
      <c r="E171" s="35">
        <v>4</v>
      </c>
      <c r="F171" s="35">
        <v>3</v>
      </c>
      <c r="G171" s="35">
        <v>3</v>
      </c>
      <c r="H171" s="35">
        <v>1</v>
      </c>
      <c r="I171" s="164"/>
      <c r="M171" s="23">
        <v>1</v>
      </c>
    </row>
    <row r="172" spans="2:13" ht="18">
      <c r="B172" s="35">
        <v>6</v>
      </c>
      <c r="C172" s="35">
        <v>28</v>
      </c>
      <c r="D172" s="35">
        <v>11</v>
      </c>
      <c r="E172" s="35">
        <v>3</v>
      </c>
      <c r="F172" s="35">
        <v>4</v>
      </c>
      <c r="G172" s="35">
        <v>2</v>
      </c>
      <c r="H172" s="35">
        <v>2</v>
      </c>
      <c r="I172" s="164"/>
      <c r="M172" s="23">
        <v>1</v>
      </c>
    </row>
    <row r="173" spans="2:13" ht="18">
      <c r="B173" s="35">
        <v>6</v>
      </c>
      <c r="C173" s="35">
        <v>21</v>
      </c>
      <c r="D173" s="35">
        <v>9</v>
      </c>
      <c r="E173" s="35">
        <v>14</v>
      </c>
      <c r="F173" s="35">
        <v>10</v>
      </c>
      <c r="G173" s="35">
        <v>2</v>
      </c>
      <c r="H173" s="35">
        <v>0</v>
      </c>
      <c r="I173" s="164"/>
      <c r="M173" s="23">
        <v>1</v>
      </c>
    </row>
    <row r="174" spans="2:13" ht="18">
      <c r="B174" s="35">
        <v>6</v>
      </c>
      <c r="C174" s="35">
        <v>21</v>
      </c>
      <c r="D174" s="35">
        <v>10</v>
      </c>
      <c r="E174" s="35">
        <v>9</v>
      </c>
      <c r="F174" s="35">
        <v>6</v>
      </c>
      <c r="G174" s="35">
        <v>8</v>
      </c>
      <c r="H174" s="35">
        <v>2</v>
      </c>
      <c r="I174" s="164"/>
      <c r="M174" s="23">
        <v>1</v>
      </c>
    </row>
    <row r="175" spans="2:13" ht="18">
      <c r="B175" s="35">
        <v>6</v>
      </c>
      <c r="C175" s="35">
        <v>21</v>
      </c>
      <c r="D175" s="35">
        <v>11</v>
      </c>
      <c r="E175" s="35">
        <v>12</v>
      </c>
      <c r="F175" s="35">
        <v>9</v>
      </c>
      <c r="G175" s="35">
        <v>4</v>
      </c>
      <c r="H175" s="35">
        <v>0</v>
      </c>
      <c r="I175" s="164"/>
      <c r="M175" s="23">
        <v>1</v>
      </c>
    </row>
    <row r="176" spans="2:13" ht="18">
      <c r="B176" s="35">
        <v>6</v>
      </c>
      <c r="C176" s="35">
        <v>28</v>
      </c>
      <c r="D176" s="35">
        <v>9</v>
      </c>
      <c r="E176" s="35">
        <v>9</v>
      </c>
      <c r="F176" s="35">
        <v>3</v>
      </c>
      <c r="G176" s="35">
        <v>5</v>
      </c>
      <c r="H176" s="35">
        <v>2</v>
      </c>
      <c r="I176" s="164"/>
      <c r="M176" s="23">
        <v>1</v>
      </c>
    </row>
    <row r="177" spans="2:13" ht="18">
      <c r="B177" s="35">
        <v>6</v>
      </c>
      <c r="C177" s="35">
        <v>42</v>
      </c>
      <c r="D177" s="35">
        <v>8</v>
      </c>
      <c r="E177" s="35">
        <v>2</v>
      </c>
      <c r="F177" s="35">
        <v>6</v>
      </c>
      <c r="G177" s="35">
        <v>4</v>
      </c>
      <c r="H177" s="35">
        <v>11</v>
      </c>
      <c r="I177" s="164"/>
      <c r="M177" s="23">
        <v>1</v>
      </c>
    </row>
    <row r="178" spans="2:13" ht="18">
      <c r="B178" s="35">
        <v>6</v>
      </c>
      <c r="C178" s="35">
        <v>42</v>
      </c>
      <c r="D178" s="35">
        <v>9</v>
      </c>
      <c r="E178" s="35">
        <v>1</v>
      </c>
      <c r="F178" s="35">
        <v>4</v>
      </c>
      <c r="G178" s="35">
        <v>6</v>
      </c>
      <c r="H178" s="35">
        <v>9</v>
      </c>
      <c r="I178" s="164"/>
      <c r="M178" s="23">
        <v>1</v>
      </c>
    </row>
    <row r="179" spans="2:13" ht="18">
      <c r="B179" s="35">
        <v>6</v>
      </c>
      <c r="C179" s="35">
        <v>42</v>
      </c>
      <c r="D179" s="35">
        <v>10</v>
      </c>
      <c r="E179" s="35">
        <v>2</v>
      </c>
      <c r="F179" s="35">
        <v>3</v>
      </c>
      <c r="G179" s="35">
        <v>6</v>
      </c>
      <c r="H179" s="35">
        <v>1</v>
      </c>
      <c r="I179" s="164"/>
      <c r="M179" s="23">
        <v>1</v>
      </c>
    </row>
    <row r="180" spans="2:13" ht="18">
      <c r="B180" s="35">
        <v>6</v>
      </c>
      <c r="C180" s="35">
        <v>27</v>
      </c>
      <c r="D180" s="35">
        <v>10</v>
      </c>
      <c r="E180" s="35">
        <v>5</v>
      </c>
      <c r="F180" s="35">
        <v>6</v>
      </c>
      <c r="G180" s="35">
        <v>3</v>
      </c>
      <c r="H180" s="35">
        <v>0</v>
      </c>
      <c r="I180" s="164"/>
      <c r="M180" s="23">
        <v>1</v>
      </c>
    </row>
    <row r="181" spans="2:13" ht="18">
      <c r="B181" s="35">
        <v>6</v>
      </c>
      <c r="C181" s="35">
        <v>42</v>
      </c>
      <c r="D181" s="35">
        <v>7</v>
      </c>
      <c r="E181" s="35">
        <v>5</v>
      </c>
      <c r="F181" s="35">
        <v>10</v>
      </c>
      <c r="G181" s="35">
        <v>10</v>
      </c>
      <c r="H181" s="35">
        <v>0</v>
      </c>
      <c r="I181" s="164"/>
      <c r="M181" s="23">
        <v>1</v>
      </c>
    </row>
    <row r="182" spans="2:13" ht="18">
      <c r="B182" s="35">
        <v>6</v>
      </c>
      <c r="C182" s="35">
        <v>17</v>
      </c>
      <c r="D182" s="35">
        <v>8</v>
      </c>
      <c r="E182" s="35">
        <v>16</v>
      </c>
      <c r="F182" s="35">
        <v>1</v>
      </c>
      <c r="G182" s="35">
        <v>7</v>
      </c>
      <c r="H182" s="35">
        <v>1</v>
      </c>
      <c r="I182" s="164"/>
      <c r="M182" s="23">
        <v>1</v>
      </c>
    </row>
    <row r="183" spans="2:13" ht="18">
      <c r="B183" s="35">
        <v>6</v>
      </c>
      <c r="C183" s="35">
        <v>17</v>
      </c>
      <c r="D183" s="35">
        <v>9</v>
      </c>
      <c r="E183" s="35">
        <v>10</v>
      </c>
      <c r="F183" s="35">
        <v>6</v>
      </c>
      <c r="G183" s="35">
        <v>8</v>
      </c>
      <c r="H183" s="35">
        <v>1</v>
      </c>
      <c r="I183" s="164"/>
      <c r="M183" s="23">
        <v>1</v>
      </c>
    </row>
    <row r="184" spans="2:13" ht="18">
      <c r="B184" s="35">
        <v>6</v>
      </c>
      <c r="C184" s="35">
        <v>17</v>
      </c>
      <c r="D184" s="35">
        <v>10</v>
      </c>
      <c r="E184" s="35">
        <v>16</v>
      </c>
      <c r="F184" s="35">
        <v>3</v>
      </c>
      <c r="G184" s="35">
        <v>6</v>
      </c>
      <c r="H184" s="35">
        <v>0</v>
      </c>
      <c r="I184" s="164"/>
      <c r="M184" s="23">
        <v>1</v>
      </c>
    </row>
    <row r="185" spans="2:13" ht="18">
      <c r="B185" s="35">
        <v>6</v>
      </c>
      <c r="C185" s="35">
        <v>32</v>
      </c>
      <c r="D185" s="35">
        <v>10</v>
      </c>
      <c r="E185" s="35">
        <v>12</v>
      </c>
      <c r="F185" s="35">
        <v>9</v>
      </c>
      <c r="G185" s="35">
        <v>0</v>
      </c>
      <c r="H185" s="35">
        <v>4</v>
      </c>
      <c r="I185" s="164"/>
      <c r="M185" s="23">
        <v>1</v>
      </c>
    </row>
    <row r="186" spans="2:13" ht="18">
      <c r="B186" s="35">
        <v>6</v>
      </c>
      <c r="C186" s="35">
        <v>32</v>
      </c>
      <c r="D186" s="35">
        <v>11</v>
      </c>
      <c r="E186" s="35">
        <v>13</v>
      </c>
      <c r="F186" s="35">
        <v>8</v>
      </c>
      <c r="G186" s="35">
        <v>0</v>
      </c>
      <c r="H186" s="35">
        <v>3</v>
      </c>
      <c r="I186" s="164"/>
      <c r="M186" s="23">
        <v>1</v>
      </c>
    </row>
    <row r="187" spans="2:13" ht="18">
      <c r="B187" s="35">
        <v>6</v>
      </c>
      <c r="C187" s="35">
        <v>27</v>
      </c>
      <c r="D187" s="35">
        <v>11</v>
      </c>
      <c r="E187" s="35">
        <v>2</v>
      </c>
      <c r="F187" s="35">
        <v>18</v>
      </c>
      <c r="G187" s="35">
        <v>1</v>
      </c>
      <c r="H187" s="35">
        <v>0</v>
      </c>
      <c r="I187" s="164"/>
      <c r="M187" s="23">
        <v>1</v>
      </c>
    </row>
    <row r="188" spans="2:13" ht="18">
      <c r="B188" s="35">
        <v>6</v>
      </c>
      <c r="C188" s="35">
        <v>27</v>
      </c>
      <c r="D188" s="35">
        <v>9</v>
      </c>
      <c r="E188" s="35">
        <v>2</v>
      </c>
      <c r="F188" s="35">
        <v>3</v>
      </c>
      <c r="G188" s="35">
        <v>1</v>
      </c>
      <c r="H188" s="35">
        <v>0</v>
      </c>
      <c r="I188" s="164"/>
      <c r="M188" s="23">
        <v>1</v>
      </c>
    </row>
    <row r="189" spans="2:13" ht="18">
      <c r="B189" s="35">
        <v>6</v>
      </c>
      <c r="C189" s="35">
        <v>43</v>
      </c>
      <c r="D189" s="35">
        <v>11</v>
      </c>
      <c r="E189" s="35">
        <v>10</v>
      </c>
      <c r="F189" s="35">
        <v>7</v>
      </c>
      <c r="G189" s="35">
        <v>7</v>
      </c>
      <c r="H189" s="35">
        <v>0</v>
      </c>
      <c r="I189" s="164"/>
      <c r="M189" s="23">
        <v>1</v>
      </c>
    </row>
    <row r="190" spans="2:13" ht="18">
      <c r="B190" s="35">
        <v>6</v>
      </c>
      <c r="C190" s="35">
        <v>42</v>
      </c>
      <c r="D190" s="35">
        <v>11</v>
      </c>
      <c r="E190" s="35">
        <v>0</v>
      </c>
      <c r="F190" s="35">
        <v>0</v>
      </c>
      <c r="G190" s="35">
        <v>0</v>
      </c>
      <c r="H190" s="35">
        <v>2</v>
      </c>
      <c r="I190" s="164"/>
      <c r="M190" s="23">
        <v>1</v>
      </c>
    </row>
    <row r="191" spans="2:13" ht="18">
      <c r="B191" s="35">
        <v>6</v>
      </c>
      <c r="C191" s="35">
        <v>19</v>
      </c>
      <c r="D191" s="35">
        <v>10</v>
      </c>
      <c r="E191" s="35">
        <v>11</v>
      </c>
      <c r="F191" s="35">
        <v>19</v>
      </c>
      <c r="G191" s="35">
        <v>1</v>
      </c>
      <c r="H191" s="35">
        <v>4</v>
      </c>
      <c r="I191" s="164"/>
      <c r="M191" s="23">
        <v>1</v>
      </c>
    </row>
    <row r="192" spans="2:13" ht="18">
      <c r="B192" s="35">
        <v>6</v>
      </c>
      <c r="C192" s="35">
        <v>40</v>
      </c>
      <c r="D192" s="35">
        <v>10</v>
      </c>
      <c r="E192" s="35">
        <v>11</v>
      </c>
      <c r="F192" s="35">
        <v>19</v>
      </c>
      <c r="G192" s="35">
        <v>1</v>
      </c>
      <c r="H192" s="35">
        <v>4</v>
      </c>
      <c r="I192" s="164"/>
      <c r="M192" s="23">
        <v>1</v>
      </c>
    </row>
    <row r="193" spans="2:13" ht="18">
      <c r="B193" s="35">
        <v>6</v>
      </c>
      <c r="C193" s="35">
        <v>26</v>
      </c>
      <c r="D193" s="35">
        <v>10</v>
      </c>
      <c r="E193" s="35">
        <v>14</v>
      </c>
      <c r="F193" s="35">
        <v>4</v>
      </c>
      <c r="G193" s="35">
        <v>3</v>
      </c>
      <c r="H193" s="35">
        <v>4</v>
      </c>
      <c r="I193" s="164"/>
      <c r="M193" s="23">
        <v>1</v>
      </c>
    </row>
    <row r="194" spans="2:13" ht="18">
      <c r="B194" s="35">
        <v>6</v>
      </c>
      <c r="C194" s="35">
        <v>26</v>
      </c>
      <c r="D194" s="35">
        <v>9</v>
      </c>
      <c r="E194" s="35">
        <v>12</v>
      </c>
      <c r="F194" s="35">
        <v>3</v>
      </c>
      <c r="G194" s="35">
        <v>1</v>
      </c>
      <c r="H194" s="35">
        <v>0</v>
      </c>
      <c r="I194" s="164"/>
      <c r="M194" s="23">
        <v>1</v>
      </c>
    </row>
    <row r="195" spans="2:13" ht="18">
      <c r="B195" s="35">
        <v>6</v>
      </c>
      <c r="C195" s="35">
        <v>26</v>
      </c>
      <c r="D195" s="35">
        <v>8</v>
      </c>
      <c r="E195" s="35">
        <v>18</v>
      </c>
      <c r="F195" s="35">
        <v>1</v>
      </c>
      <c r="G195" s="35">
        <v>2</v>
      </c>
      <c r="H195" s="35">
        <v>2</v>
      </c>
      <c r="I195" s="164"/>
      <c r="M195" s="23">
        <v>1</v>
      </c>
    </row>
    <row r="196" spans="2:13" ht="18">
      <c r="B196" s="35">
        <v>6</v>
      </c>
      <c r="C196" s="35">
        <v>15</v>
      </c>
      <c r="D196" s="35">
        <v>2</v>
      </c>
      <c r="E196" s="35">
        <v>5</v>
      </c>
      <c r="F196" s="35">
        <v>3</v>
      </c>
      <c r="G196" s="35">
        <v>2</v>
      </c>
      <c r="H196" s="35">
        <v>6</v>
      </c>
      <c r="I196" s="164"/>
      <c r="M196" s="23">
        <v>1</v>
      </c>
    </row>
    <row r="197" spans="2:13" ht="18">
      <c r="B197" s="35">
        <v>6</v>
      </c>
      <c r="C197" s="35">
        <v>15</v>
      </c>
      <c r="D197" s="35">
        <v>3</v>
      </c>
      <c r="E197" s="35">
        <v>3</v>
      </c>
      <c r="F197" s="35">
        <v>2</v>
      </c>
      <c r="G197" s="35">
        <v>4</v>
      </c>
      <c r="H197" s="35">
        <v>2</v>
      </c>
      <c r="I197" s="164"/>
      <c r="M197" s="23">
        <v>1</v>
      </c>
    </row>
    <row r="198" spans="2:13" ht="18">
      <c r="B198" s="35">
        <v>6</v>
      </c>
      <c r="C198" s="35">
        <v>15</v>
      </c>
      <c r="D198" s="35">
        <v>4</v>
      </c>
      <c r="E198" s="35">
        <v>1</v>
      </c>
      <c r="F198" s="35">
        <v>3</v>
      </c>
      <c r="G198" s="35">
        <v>5</v>
      </c>
      <c r="H198" s="35">
        <v>4</v>
      </c>
      <c r="I198" s="164"/>
      <c r="M198" s="23">
        <v>1</v>
      </c>
    </row>
    <row r="199" spans="2:13" ht="18">
      <c r="B199" s="35">
        <v>6</v>
      </c>
      <c r="C199" s="35">
        <v>15</v>
      </c>
      <c r="D199" s="35">
        <v>5</v>
      </c>
      <c r="E199" s="35">
        <v>4</v>
      </c>
      <c r="F199" s="35">
        <v>3</v>
      </c>
      <c r="G199" s="35">
        <v>2</v>
      </c>
      <c r="H199" s="35">
        <v>6</v>
      </c>
      <c r="I199" s="164"/>
      <c r="M199" s="23">
        <v>1</v>
      </c>
    </row>
    <row r="200" spans="2:13" ht="18">
      <c r="B200" s="35">
        <v>6</v>
      </c>
      <c r="C200" s="35">
        <v>15</v>
      </c>
      <c r="D200" s="35">
        <v>6</v>
      </c>
      <c r="E200" s="35">
        <v>4</v>
      </c>
      <c r="F200" s="35">
        <v>2</v>
      </c>
      <c r="G200" s="35">
        <v>3</v>
      </c>
      <c r="H200" s="35">
        <v>3</v>
      </c>
      <c r="I200" s="164"/>
      <c r="M200" s="23">
        <v>1</v>
      </c>
    </row>
    <row r="201" spans="2:13" ht="18">
      <c r="B201" s="35">
        <v>6</v>
      </c>
      <c r="C201" s="35">
        <v>15</v>
      </c>
      <c r="D201" s="35">
        <v>7</v>
      </c>
      <c r="E201" s="35">
        <v>4</v>
      </c>
      <c r="F201" s="35">
        <v>1</v>
      </c>
      <c r="G201" s="35">
        <v>2</v>
      </c>
      <c r="H201" s="35">
        <v>1</v>
      </c>
      <c r="I201" s="164"/>
      <c r="M201" s="23">
        <v>1</v>
      </c>
    </row>
    <row r="202" spans="2:13" ht="18">
      <c r="B202" s="35">
        <v>6</v>
      </c>
      <c r="C202" s="35">
        <v>33</v>
      </c>
      <c r="D202" s="35">
        <v>8</v>
      </c>
      <c r="E202" s="35">
        <v>3</v>
      </c>
      <c r="F202" s="35">
        <v>6</v>
      </c>
      <c r="G202" s="35">
        <v>1</v>
      </c>
      <c r="H202" s="35">
        <v>0</v>
      </c>
      <c r="I202" s="164"/>
      <c r="M202" s="23">
        <v>1</v>
      </c>
    </row>
    <row r="203" spans="2:13" ht="18">
      <c r="B203" s="35">
        <v>6</v>
      </c>
      <c r="C203" s="35">
        <v>38</v>
      </c>
      <c r="D203" s="35">
        <v>11</v>
      </c>
      <c r="E203" s="35">
        <v>1</v>
      </c>
      <c r="F203" s="35">
        <v>4</v>
      </c>
      <c r="G203" s="35">
        <v>0</v>
      </c>
      <c r="H203" s="35">
        <v>2</v>
      </c>
      <c r="I203" s="164"/>
      <c r="M203" s="23">
        <v>1</v>
      </c>
    </row>
    <row r="204" spans="2:13" ht="18">
      <c r="B204" s="35">
        <v>6</v>
      </c>
      <c r="C204" s="35">
        <v>38</v>
      </c>
      <c r="D204" s="35">
        <v>10</v>
      </c>
      <c r="E204" s="35">
        <v>11</v>
      </c>
      <c r="F204" s="35">
        <v>4</v>
      </c>
      <c r="G204" s="35">
        <v>0</v>
      </c>
      <c r="H204" s="35">
        <v>0</v>
      </c>
      <c r="I204" s="164"/>
      <c r="M204" s="23">
        <v>1</v>
      </c>
    </row>
    <row r="205" spans="2:13" ht="18">
      <c r="B205" s="35">
        <v>6</v>
      </c>
      <c r="C205" s="35">
        <v>33</v>
      </c>
      <c r="D205" s="35">
        <v>9</v>
      </c>
      <c r="E205" s="35">
        <v>3</v>
      </c>
      <c r="F205" s="35">
        <v>5</v>
      </c>
      <c r="G205" s="35">
        <v>0</v>
      </c>
      <c r="H205" s="35">
        <v>0</v>
      </c>
      <c r="I205" s="164"/>
      <c r="M205" s="23">
        <v>1</v>
      </c>
    </row>
    <row r="206" spans="2:13" ht="18">
      <c r="B206" s="35">
        <v>6</v>
      </c>
      <c r="C206" s="35">
        <v>33</v>
      </c>
      <c r="D206" s="35">
        <v>10</v>
      </c>
      <c r="E206" s="35">
        <v>4</v>
      </c>
      <c r="F206" s="35">
        <v>1</v>
      </c>
      <c r="G206" s="35">
        <v>0</v>
      </c>
      <c r="H206" s="35">
        <v>1</v>
      </c>
      <c r="I206" s="164"/>
      <c r="M206" s="23">
        <v>1</v>
      </c>
    </row>
    <row r="207" spans="2:13" ht="18">
      <c r="B207" s="35">
        <v>6</v>
      </c>
      <c r="C207" s="35">
        <v>22</v>
      </c>
      <c r="D207" s="35">
        <v>8</v>
      </c>
      <c r="E207" s="35">
        <v>5</v>
      </c>
      <c r="F207" s="35">
        <v>5</v>
      </c>
      <c r="G207" s="35">
        <v>5</v>
      </c>
      <c r="H207" s="35">
        <v>2</v>
      </c>
      <c r="I207" s="164"/>
      <c r="M207" s="23">
        <v>1</v>
      </c>
    </row>
    <row r="208" spans="2:13" ht="18">
      <c r="B208" s="35">
        <v>6</v>
      </c>
      <c r="C208" s="35">
        <v>22</v>
      </c>
      <c r="D208" s="35">
        <v>7</v>
      </c>
      <c r="E208" s="35">
        <v>1</v>
      </c>
      <c r="F208" s="35">
        <v>1</v>
      </c>
      <c r="G208" s="35">
        <v>5</v>
      </c>
      <c r="H208" s="35">
        <v>1</v>
      </c>
      <c r="I208" s="164"/>
      <c r="M208" s="23">
        <v>1</v>
      </c>
    </row>
    <row r="209" spans="2:13" ht="18">
      <c r="B209" s="35">
        <v>6</v>
      </c>
      <c r="C209" s="35">
        <v>22</v>
      </c>
      <c r="D209" s="35">
        <v>6</v>
      </c>
      <c r="E209" s="35">
        <v>4</v>
      </c>
      <c r="F209" s="35">
        <v>1</v>
      </c>
      <c r="G209" s="35">
        <v>1</v>
      </c>
      <c r="H209" s="35">
        <v>2</v>
      </c>
      <c r="I209" s="164"/>
      <c r="M209" s="23">
        <v>1</v>
      </c>
    </row>
    <row r="210" spans="2:13" ht="18">
      <c r="B210" s="35">
        <v>6</v>
      </c>
      <c r="C210" s="35">
        <v>30</v>
      </c>
      <c r="D210" s="35">
        <v>8</v>
      </c>
      <c r="E210" s="35">
        <v>18</v>
      </c>
      <c r="F210" s="35">
        <v>0</v>
      </c>
      <c r="G210" s="35">
        <v>3</v>
      </c>
      <c r="H210" s="35">
        <v>8</v>
      </c>
      <c r="I210" s="164"/>
      <c r="M210" s="23">
        <v>1</v>
      </c>
    </row>
    <row r="211" spans="2:13" ht="18">
      <c r="B211" s="35">
        <v>6</v>
      </c>
      <c r="C211" s="35">
        <v>30</v>
      </c>
      <c r="D211" s="35">
        <v>7</v>
      </c>
      <c r="E211" s="35">
        <v>24</v>
      </c>
      <c r="F211" s="35">
        <v>0</v>
      </c>
      <c r="G211" s="35">
        <v>1</v>
      </c>
      <c r="H211" s="35">
        <v>0</v>
      </c>
      <c r="I211" s="164"/>
      <c r="M211" s="23">
        <v>1</v>
      </c>
    </row>
    <row r="212" spans="2:13" ht="18">
      <c r="B212" s="35">
        <v>6</v>
      </c>
      <c r="C212" s="35">
        <v>36</v>
      </c>
      <c r="D212" s="35">
        <v>9</v>
      </c>
      <c r="E212" s="35">
        <v>16</v>
      </c>
      <c r="F212" s="35">
        <v>9</v>
      </c>
      <c r="G212" s="35">
        <v>0</v>
      </c>
      <c r="H212" s="35">
        <v>0</v>
      </c>
      <c r="I212" s="164"/>
      <c r="M212" s="23">
        <v>1</v>
      </c>
    </row>
    <row r="213" spans="2:13" ht="18">
      <c r="B213" s="35">
        <v>6</v>
      </c>
      <c r="C213" s="35">
        <v>36</v>
      </c>
      <c r="D213" s="35">
        <v>10</v>
      </c>
      <c r="E213" s="35">
        <v>9</v>
      </c>
      <c r="F213" s="35">
        <v>11</v>
      </c>
      <c r="G213" s="35">
        <v>2</v>
      </c>
      <c r="H213" s="35">
        <v>3</v>
      </c>
      <c r="I213" s="164"/>
      <c r="M213" s="23">
        <v>1</v>
      </c>
    </row>
    <row r="214" spans="2:13" ht="18">
      <c r="B214" s="35">
        <v>6</v>
      </c>
      <c r="C214" s="35">
        <v>36</v>
      </c>
      <c r="D214" s="35">
        <v>11</v>
      </c>
      <c r="E214" s="35">
        <v>12</v>
      </c>
      <c r="F214" s="35">
        <v>9</v>
      </c>
      <c r="G214" s="35">
        <v>2</v>
      </c>
      <c r="H214" s="35">
        <v>2</v>
      </c>
      <c r="I214" s="164"/>
      <c r="M214" s="23">
        <v>1</v>
      </c>
    </row>
    <row r="215" spans="2:13" ht="18">
      <c r="B215" s="35">
        <v>6</v>
      </c>
      <c r="C215" s="35">
        <v>36</v>
      </c>
      <c r="D215" s="35">
        <v>12</v>
      </c>
      <c r="E215" s="35">
        <v>17</v>
      </c>
      <c r="F215" s="35">
        <v>5</v>
      </c>
      <c r="G215" s="35">
        <v>1</v>
      </c>
      <c r="H215" s="35">
        <v>2</v>
      </c>
      <c r="I215" s="164"/>
      <c r="M215" s="23">
        <v>1</v>
      </c>
    </row>
    <row r="216" spans="2:13" ht="18">
      <c r="B216" s="35">
        <v>6</v>
      </c>
      <c r="C216" s="35">
        <v>37</v>
      </c>
      <c r="D216" s="35">
        <v>6</v>
      </c>
      <c r="E216" s="35">
        <v>0</v>
      </c>
      <c r="F216" s="35">
        <v>4</v>
      </c>
      <c r="G216" s="35">
        <v>0</v>
      </c>
      <c r="H216" s="35">
        <v>1</v>
      </c>
      <c r="I216" s="164"/>
      <c r="M216" s="23">
        <v>1</v>
      </c>
    </row>
    <row r="217" spans="2:13" ht="18">
      <c r="B217" s="35">
        <v>6</v>
      </c>
      <c r="C217" s="35">
        <v>37</v>
      </c>
      <c r="D217" s="35">
        <v>7</v>
      </c>
      <c r="E217" s="35">
        <v>0</v>
      </c>
      <c r="F217" s="35">
        <v>4</v>
      </c>
      <c r="G217" s="35">
        <v>0</v>
      </c>
      <c r="H217" s="35">
        <v>0</v>
      </c>
      <c r="I217" s="164"/>
      <c r="M217" s="23">
        <v>1</v>
      </c>
    </row>
    <row r="218" spans="2:13" ht="18">
      <c r="B218" s="35">
        <v>6</v>
      </c>
      <c r="C218" s="35">
        <v>37</v>
      </c>
      <c r="D218" s="35">
        <v>8</v>
      </c>
      <c r="E218" s="35">
        <v>1</v>
      </c>
      <c r="F218" s="35">
        <v>5</v>
      </c>
      <c r="G218" s="35">
        <v>0</v>
      </c>
      <c r="H218" s="35">
        <v>0</v>
      </c>
      <c r="I218" s="164"/>
      <c r="M218" s="23">
        <v>1</v>
      </c>
    </row>
    <row r="219" spans="2:13" ht="18">
      <c r="B219" s="35">
        <v>6</v>
      </c>
      <c r="C219" s="35">
        <v>37</v>
      </c>
      <c r="D219" s="35">
        <v>9</v>
      </c>
      <c r="E219" s="35">
        <v>0</v>
      </c>
      <c r="F219" s="35">
        <v>4</v>
      </c>
      <c r="G219" s="35">
        <v>0</v>
      </c>
      <c r="H219" s="35">
        <v>0</v>
      </c>
      <c r="I219" s="164"/>
      <c r="M219" s="23">
        <v>1</v>
      </c>
    </row>
    <row r="220" spans="2:13" ht="18">
      <c r="B220" s="35">
        <v>6</v>
      </c>
      <c r="C220" s="35">
        <v>37</v>
      </c>
      <c r="D220" s="35">
        <v>10</v>
      </c>
      <c r="E220" s="35">
        <v>2</v>
      </c>
      <c r="F220" s="35">
        <v>8</v>
      </c>
      <c r="G220" s="35">
        <v>0</v>
      </c>
      <c r="H220" s="35">
        <v>0</v>
      </c>
      <c r="I220" s="164"/>
      <c r="M220" s="23">
        <v>1</v>
      </c>
    </row>
    <row r="221" spans="2:13" ht="18">
      <c r="B221" s="35">
        <v>6</v>
      </c>
      <c r="C221" s="35">
        <v>37</v>
      </c>
      <c r="D221" s="35">
        <v>11</v>
      </c>
      <c r="E221" s="35">
        <v>1</v>
      </c>
      <c r="F221" s="35">
        <v>7</v>
      </c>
      <c r="G221" s="35">
        <v>0</v>
      </c>
      <c r="H221" s="35">
        <v>1</v>
      </c>
      <c r="I221" s="164"/>
      <c r="M221" s="23">
        <v>1</v>
      </c>
    </row>
    <row r="222" spans="2:13" ht="18">
      <c r="B222" s="35">
        <v>6</v>
      </c>
      <c r="C222" s="35">
        <v>24</v>
      </c>
      <c r="D222" s="35">
        <v>3</v>
      </c>
      <c r="E222" s="35">
        <v>11</v>
      </c>
      <c r="F222" s="35">
        <v>6</v>
      </c>
      <c r="G222" s="35">
        <v>3</v>
      </c>
      <c r="H222" s="35">
        <v>2</v>
      </c>
      <c r="I222" s="164"/>
      <c r="M222" s="23">
        <v>1</v>
      </c>
    </row>
    <row r="223" spans="2:13" ht="18">
      <c r="B223" s="35">
        <v>6</v>
      </c>
      <c r="C223" s="35">
        <v>24</v>
      </c>
      <c r="D223" s="35">
        <v>4</v>
      </c>
      <c r="E223" s="35">
        <v>23</v>
      </c>
      <c r="F223" s="35">
        <v>1</v>
      </c>
      <c r="G223" s="35">
        <v>3</v>
      </c>
      <c r="H223" s="35">
        <v>0</v>
      </c>
      <c r="I223" s="164"/>
      <c r="M223" s="23">
        <v>1</v>
      </c>
    </row>
    <row r="224" spans="2:13" ht="18">
      <c r="B224" s="35">
        <v>6</v>
      </c>
      <c r="C224" s="35">
        <v>24</v>
      </c>
      <c r="D224" s="35">
        <v>5</v>
      </c>
      <c r="E224" s="35">
        <v>21</v>
      </c>
      <c r="F224" s="35">
        <v>1</v>
      </c>
      <c r="G224" s="35">
        <v>3</v>
      </c>
      <c r="H224" s="35">
        <v>0</v>
      </c>
      <c r="I224" s="164"/>
      <c r="M224" s="23">
        <v>1</v>
      </c>
    </row>
    <row r="225" spans="2:13" ht="18">
      <c r="B225" s="35">
        <v>6</v>
      </c>
      <c r="C225" s="35">
        <v>24</v>
      </c>
      <c r="D225" s="35">
        <v>6</v>
      </c>
      <c r="E225" s="35">
        <v>19</v>
      </c>
      <c r="F225" s="35">
        <v>1</v>
      </c>
      <c r="G225" s="35">
        <v>3</v>
      </c>
      <c r="H225" s="35">
        <v>0</v>
      </c>
      <c r="I225" s="164"/>
      <c r="M225" s="23">
        <v>1</v>
      </c>
    </row>
    <row r="226" spans="2:13" ht="18">
      <c r="B226" s="35">
        <v>6</v>
      </c>
      <c r="C226" s="35">
        <v>24</v>
      </c>
      <c r="D226" s="35">
        <v>7</v>
      </c>
      <c r="E226" s="35">
        <v>24</v>
      </c>
      <c r="F226" s="35">
        <v>1</v>
      </c>
      <c r="G226" s="35">
        <v>1</v>
      </c>
      <c r="H226" s="35">
        <v>0</v>
      </c>
      <c r="I226" s="164"/>
      <c r="M226" s="23">
        <v>1</v>
      </c>
    </row>
    <row r="227" spans="2:13" ht="18">
      <c r="B227" s="35">
        <v>6</v>
      </c>
      <c r="C227" s="35">
        <v>24</v>
      </c>
      <c r="D227" s="35">
        <v>8</v>
      </c>
      <c r="E227" s="35">
        <v>22</v>
      </c>
      <c r="F227" s="35">
        <v>2</v>
      </c>
      <c r="G227" s="35">
        <v>2</v>
      </c>
      <c r="H227" s="35">
        <v>2</v>
      </c>
      <c r="I227" s="164"/>
      <c r="M227" s="23">
        <v>1</v>
      </c>
    </row>
    <row r="228" spans="2:13" ht="18">
      <c r="B228" s="35">
        <v>6</v>
      </c>
      <c r="C228" s="35">
        <v>24</v>
      </c>
      <c r="D228" s="35">
        <v>9</v>
      </c>
      <c r="E228" s="35">
        <v>15</v>
      </c>
      <c r="F228" s="35">
        <v>7</v>
      </c>
      <c r="G228" s="35">
        <v>9</v>
      </c>
      <c r="H228" s="35">
        <v>3</v>
      </c>
      <c r="I228" s="164"/>
      <c r="M228" s="23">
        <v>1</v>
      </c>
    </row>
    <row r="229" spans="2:13" ht="18">
      <c r="B229" s="35">
        <v>6</v>
      </c>
      <c r="C229" s="35">
        <v>24</v>
      </c>
      <c r="D229" s="35">
        <v>10</v>
      </c>
      <c r="E229" s="35">
        <v>18</v>
      </c>
      <c r="F229" s="35">
        <v>0</v>
      </c>
      <c r="G229" s="35">
        <v>1</v>
      </c>
      <c r="H229" s="35">
        <v>1</v>
      </c>
      <c r="I229" s="164"/>
      <c r="M229" s="23">
        <v>1</v>
      </c>
    </row>
    <row r="230" spans="2:13" ht="18">
      <c r="B230" s="35">
        <v>6</v>
      </c>
      <c r="C230" s="35">
        <v>24</v>
      </c>
      <c r="D230" s="35">
        <v>11</v>
      </c>
      <c r="E230" s="35">
        <v>11</v>
      </c>
      <c r="F230" s="35">
        <v>2</v>
      </c>
      <c r="G230" s="35">
        <v>12</v>
      </c>
      <c r="H230" s="35">
        <v>1</v>
      </c>
      <c r="I230" s="164"/>
      <c r="M230" s="23">
        <v>1</v>
      </c>
    </row>
    <row r="231" spans="2:13" ht="18">
      <c r="B231" s="35">
        <v>6</v>
      </c>
      <c r="C231" s="35">
        <v>16</v>
      </c>
      <c r="D231" s="35">
        <v>11</v>
      </c>
      <c r="E231" s="35">
        <v>10</v>
      </c>
      <c r="F231" s="35">
        <v>2</v>
      </c>
      <c r="G231" s="35">
        <v>4</v>
      </c>
      <c r="H231" s="35">
        <v>6</v>
      </c>
      <c r="I231" s="164"/>
      <c r="M231" s="23">
        <v>1</v>
      </c>
    </row>
    <row r="232" spans="2:13" ht="18">
      <c r="B232" s="35">
        <v>6</v>
      </c>
      <c r="C232" s="35">
        <v>16</v>
      </c>
      <c r="D232" s="35">
        <v>10</v>
      </c>
      <c r="E232" s="35">
        <v>8</v>
      </c>
      <c r="F232" s="35">
        <v>5</v>
      </c>
      <c r="G232" s="35">
        <v>9</v>
      </c>
      <c r="H232" s="35">
        <v>1</v>
      </c>
      <c r="I232" s="164"/>
      <c r="M232" s="23">
        <v>1</v>
      </c>
    </row>
    <row r="233" spans="2:13" ht="18">
      <c r="B233" s="35">
        <v>6</v>
      </c>
      <c r="C233" s="35">
        <v>16</v>
      </c>
      <c r="D233" s="35">
        <v>9</v>
      </c>
      <c r="E233" s="35">
        <v>11</v>
      </c>
      <c r="F233" s="35">
        <v>2</v>
      </c>
      <c r="G233" s="35">
        <v>3</v>
      </c>
      <c r="H233" s="35">
        <v>0</v>
      </c>
      <c r="I233" s="164"/>
      <c r="M233" s="23">
        <v>1</v>
      </c>
    </row>
    <row r="234" spans="2:13" ht="18">
      <c r="B234" s="35">
        <v>6</v>
      </c>
      <c r="C234" s="35">
        <v>41</v>
      </c>
      <c r="D234" s="35">
        <v>9</v>
      </c>
      <c r="E234" s="35">
        <v>9</v>
      </c>
      <c r="F234" s="35">
        <v>14</v>
      </c>
      <c r="G234" s="35">
        <v>0</v>
      </c>
      <c r="H234" s="35">
        <v>2</v>
      </c>
      <c r="I234" s="164"/>
      <c r="M234" s="23">
        <v>1</v>
      </c>
    </row>
    <row r="235" spans="2:13" ht="18">
      <c r="B235" s="35">
        <v>6</v>
      </c>
      <c r="C235" s="35">
        <v>41</v>
      </c>
      <c r="D235" s="35">
        <v>10</v>
      </c>
      <c r="E235" s="35">
        <v>8</v>
      </c>
      <c r="F235" s="35">
        <v>12</v>
      </c>
      <c r="G235" s="35">
        <v>3</v>
      </c>
      <c r="H235" s="35">
        <v>2</v>
      </c>
      <c r="I235" s="164"/>
      <c r="M235" s="23">
        <v>1</v>
      </c>
    </row>
    <row r="236" spans="2:13" ht="18">
      <c r="B236" s="35">
        <v>6</v>
      </c>
      <c r="C236" s="35">
        <v>41</v>
      </c>
      <c r="D236" s="35">
        <v>11</v>
      </c>
      <c r="E236" s="35">
        <v>11</v>
      </c>
      <c r="F236" s="35">
        <v>12</v>
      </c>
      <c r="G236" s="35">
        <v>2</v>
      </c>
      <c r="H236" s="35">
        <v>0</v>
      </c>
      <c r="I236" s="164"/>
      <c r="M236" s="23">
        <v>1</v>
      </c>
    </row>
    <row r="237" spans="2:13" ht="18">
      <c r="B237" s="35">
        <v>6</v>
      </c>
      <c r="C237" s="35">
        <v>41</v>
      </c>
      <c r="D237" s="35">
        <v>12</v>
      </c>
      <c r="E237" s="35">
        <v>12</v>
      </c>
      <c r="F237" s="35">
        <v>11</v>
      </c>
      <c r="G237" s="35">
        <v>2</v>
      </c>
      <c r="H237" s="35">
        <v>0</v>
      </c>
      <c r="I237" s="164"/>
      <c r="M237" s="23">
        <v>1</v>
      </c>
    </row>
    <row r="238" spans="2:13" ht="18">
      <c r="B238" s="35">
        <v>6</v>
      </c>
      <c r="C238" s="35">
        <v>18</v>
      </c>
      <c r="D238" s="35">
        <v>9</v>
      </c>
      <c r="E238" s="35">
        <v>15</v>
      </c>
      <c r="F238" s="35">
        <v>4</v>
      </c>
      <c r="G238" s="35">
        <v>4</v>
      </c>
      <c r="H238" s="35">
        <v>2</v>
      </c>
      <c r="I238" s="164"/>
      <c r="M238" s="23">
        <v>1</v>
      </c>
    </row>
    <row r="239" spans="2:13" ht="18">
      <c r="B239" s="35">
        <v>6</v>
      </c>
      <c r="C239" s="35">
        <v>18</v>
      </c>
      <c r="D239" s="35">
        <v>8</v>
      </c>
      <c r="E239" s="35">
        <v>18</v>
      </c>
      <c r="F239" s="35">
        <v>2</v>
      </c>
      <c r="G239" s="35">
        <v>4</v>
      </c>
      <c r="H239" s="35">
        <v>1</v>
      </c>
      <c r="I239" s="164"/>
      <c r="M239" s="23">
        <v>1</v>
      </c>
    </row>
    <row r="240" spans="2:13" ht="18">
      <c r="B240" s="35">
        <v>6</v>
      </c>
      <c r="C240" s="35">
        <v>22</v>
      </c>
      <c r="D240" s="35">
        <v>9</v>
      </c>
      <c r="E240" s="35">
        <v>3</v>
      </c>
      <c r="F240" s="35">
        <v>2</v>
      </c>
      <c r="G240" s="35">
        <v>0</v>
      </c>
      <c r="H240" s="35">
        <v>2</v>
      </c>
      <c r="I240" s="164"/>
      <c r="M240" s="23">
        <v>1</v>
      </c>
    </row>
    <row r="241" spans="2:13" ht="18">
      <c r="B241" s="35">
        <v>6</v>
      </c>
      <c r="C241" s="35">
        <v>17</v>
      </c>
      <c r="D241" s="35">
        <v>11</v>
      </c>
      <c r="E241" s="35">
        <v>11</v>
      </c>
      <c r="F241" s="35">
        <v>3</v>
      </c>
      <c r="G241" s="35">
        <v>10</v>
      </c>
      <c r="H241" s="35">
        <v>1</v>
      </c>
      <c r="I241" s="164"/>
      <c r="M241" s="23">
        <v>1</v>
      </c>
    </row>
    <row r="242" spans="2:13" ht="18">
      <c r="B242" s="35">
        <v>6</v>
      </c>
      <c r="C242" s="35">
        <v>23</v>
      </c>
      <c r="D242" s="35">
        <v>9</v>
      </c>
      <c r="E242" s="35">
        <v>17</v>
      </c>
      <c r="F242" s="35">
        <v>5</v>
      </c>
      <c r="G242" s="35">
        <v>1</v>
      </c>
      <c r="H242" s="35">
        <v>2</v>
      </c>
      <c r="I242" s="164"/>
      <c r="M242" s="23">
        <v>1</v>
      </c>
    </row>
    <row r="243" spans="2:13" ht="18">
      <c r="B243" s="35">
        <v>6</v>
      </c>
      <c r="C243" s="35">
        <v>23</v>
      </c>
      <c r="D243" s="35">
        <v>10</v>
      </c>
      <c r="E243" s="35">
        <v>14</v>
      </c>
      <c r="F243" s="35">
        <v>3</v>
      </c>
      <c r="G243" s="35">
        <v>2</v>
      </c>
      <c r="H243" s="35">
        <v>4</v>
      </c>
      <c r="I243" s="164"/>
      <c r="M243" s="23">
        <v>1</v>
      </c>
    </row>
    <row r="244" spans="2:13" ht="18">
      <c r="B244" s="35">
        <v>6</v>
      </c>
      <c r="C244" s="35">
        <v>23</v>
      </c>
      <c r="D244" s="35">
        <v>11</v>
      </c>
      <c r="E244" s="35">
        <v>16</v>
      </c>
      <c r="F244" s="35">
        <v>5</v>
      </c>
      <c r="G244" s="35">
        <v>1</v>
      </c>
      <c r="H244" s="35">
        <v>0</v>
      </c>
      <c r="I244" s="164"/>
      <c r="M244" s="23">
        <v>1</v>
      </c>
    </row>
    <row r="245" spans="2:13" ht="18">
      <c r="B245" s="35">
        <v>6</v>
      </c>
      <c r="C245" s="35">
        <v>23</v>
      </c>
      <c r="D245" s="35">
        <v>12</v>
      </c>
      <c r="E245" s="35">
        <v>15</v>
      </c>
      <c r="F245" s="35">
        <v>4</v>
      </c>
      <c r="G245" s="35">
        <v>4</v>
      </c>
      <c r="H245" s="35">
        <v>0</v>
      </c>
      <c r="I245" s="164"/>
      <c r="M245" s="23">
        <v>1</v>
      </c>
    </row>
    <row r="246" spans="2:13" ht="18">
      <c r="B246" s="35">
        <v>6</v>
      </c>
      <c r="C246" s="35">
        <v>13</v>
      </c>
      <c r="D246" s="35">
        <v>10</v>
      </c>
      <c r="E246" s="35">
        <v>8</v>
      </c>
      <c r="F246" s="35">
        <v>6</v>
      </c>
      <c r="G246" s="35">
        <v>5</v>
      </c>
      <c r="H246" s="35">
        <v>4</v>
      </c>
      <c r="I246" s="164"/>
      <c r="M246" s="23">
        <v>1</v>
      </c>
    </row>
    <row r="247" spans="2:13" ht="18">
      <c r="B247" s="35">
        <v>6</v>
      </c>
      <c r="C247" s="35">
        <v>13</v>
      </c>
      <c r="D247" s="35">
        <v>12</v>
      </c>
      <c r="E247" s="35">
        <v>7</v>
      </c>
      <c r="F247" s="35">
        <v>5</v>
      </c>
      <c r="G247" s="35">
        <v>6</v>
      </c>
      <c r="H247" s="35">
        <v>3</v>
      </c>
      <c r="I247" s="164"/>
      <c r="M247" s="23">
        <v>1</v>
      </c>
    </row>
    <row r="248" spans="2:13" ht="18">
      <c r="B248" s="35">
        <v>6</v>
      </c>
      <c r="C248" s="35">
        <v>13</v>
      </c>
      <c r="D248" s="35">
        <v>11</v>
      </c>
      <c r="E248" s="35">
        <v>4</v>
      </c>
      <c r="F248" s="35">
        <v>7</v>
      </c>
      <c r="G248" s="35">
        <v>3</v>
      </c>
      <c r="H248" s="35">
        <v>2</v>
      </c>
      <c r="I248" s="164"/>
      <c r="M248" s="23">
        <v>1</v>
      </c>
    </row>
    <row r="249" spans="2:13" ht="18">
      <c r="B249" s="35">
        <v>6</v>
      </c>
      <c r="C249" s="35">
        <v>15</v>
      </c>
      <c r="D249" s="35">
        <v>10</v>
      </c>
      <c r="E249" s="35">
        <v>2</v>
      </c>
      <c r="F249" s="35">
        <v>3</v>
      </c>
      <c r="G249" s="35">
        <v>1</v>
      </c>
      <c r="H249" s="35">
        <v>1</v>
      </c>
      <c r="I249" s="164"/>
      <c r="M249" s="23">
        <v>1</v>
      </c>
    </row>
    <row r="250" spans="2:13" ht="18">
      <c r="B250" s="35">
        <v>6</v>
      </c>
      <c r="C250" s="35">
        <v>15</v>
      </c>
      <c r="D250" s="35">
        <v>11</v>
      </c>
      <c r="E250" s="35">
        <v>5</v>
      </c>
      <c r="F250" s="35">
        <v>3</v>
      </c>
      <c r="G250" s="35">
        <v>1</v>
      </c>
      <c r="H250" s="35">
        <v>1</v>
      </c>
      <c r="I250" s="164"/>
      <c r="M250" s="23">
        <v>1</v>
      </c>
    </row>
    <row r="251" spans="2:13" ht="18">
      <c r="B251" s="35">
        <v>6</v>
      </c>
      <c r="C251" s="35">
        <v>15</v>
      </c>
      <c r="D251" s="35">
        <v>12</v>
      </c>
      <c r="E251" s="35">
        <v>2</v>
      </c>
      <c r="F251" s="35">
        <v>1</v>
      </c>
      <c r="G251" s="35">
        <v>2</v>
      </c>
      <c r="H251" s="35">
        <v>3</v>
      </c>
      <c r="I251" s="164"/>
      <c r="M251" s="23">
        <v>1</v>
      </c>
    </row>
    <row r="252" spans="2:13" ht="18">
      <c r="B252" s="35">
        <v>6</v>
      </c>
      <c r="C252" s="35">
        <v>15</v>
      </c>
      <c r="D252" s="35">
        <v>8</v>
      </c>
      <c r="E252" s="35">
        <v>10</v>
      </c>
      <c r="F252" s="35">
        <v>3</v>
      </c>
      <c r="G252" s="35">
        <v>4</v>
      </c>
      <c r="H252" s="35">
        <v>6</v>
      </c>
      <c r="I252" s="164"/>
      <c r="M252" s="23">
        <v>1</v>
      </c>
    </row>
    <row r="253" spans="2:13" ht="18">
      <c r="B253" s="35">
        <v>6</v>
      </c>
      <c r="C253" s="35">
        <v>15</v>
      </c>
      <c r="D253" s="35">
        <v>9</v>
      </c>
      <c r="E253" s="35">
        <v>4</v>
      </c>
      <c r="F253" s="35">
        <v>1</v>
      </c>
      <c r="G253" s="35">
        <v>2</v>
      </c>
      <c r="H253" s="35">
        <v>6</v>
      </c>
      <c r="I253" s="164"/>
      <c r="M253" s="23">
        <v>1</v>
      </c>
    </row>
    <row r="254" spans="2:13" ht="18">
      <c r="B254" s="35">
        <v>6</v>
      </c>
      <c r="C254" s="35">
        <v>12</v>
      </c>
      <c r="D254" s="35">
        <v>10</v>
      </c>
      <c r="E254" s="35">
        <v>6</v>
      </c>
      <c r="F254" s="35">
        <v>4</v>
      </c>
      <c r="G254" s="35">
        <v>0</v>
      </c>
      <c r="H254" s="35">
        <v>0</v>
      </c>
      <c r="I254" s="164"/>
      <c r="M254" s="23">
        <v>1</v>
      </c>
    </row>
    <row r="255" spans="2:13" ht="18">
      <c r="B255" s="35">
        <v>6</v>
      </c>
      <c r="C255" s="35">
        <v>12</v>
      </c>
      <c r="D255" s="35">
        <v>11</v>
      </c>
      <c r="E255" s="35">
        <v>7</v>
      </c>
      <c r="F255" s="35">
        <v>3</v>
      </c>
      <c r="G255" s="35">
        <v>1</v>
      </c>
      <c r="H255" s="35">
        <v>0</v>
      </c>
      <c r="I255" s="164"/>
      <c r="M255" s="23">
        <v>1</v>
      </c>
    </row>
    <row r="256" spans="2:13" ht="18">
      <c r="B256" s="35">
        <v>6</v>
      </c>
      <c r="C256" s="35">
        <v>12</v>
      </c>
      <c r="D256" s="35">
        <v>12</v>
      </c>
      <c r="E256" s="35">
        <v>6</v>
      </c>
      <c r="F256" s="35">
        <v>4</v>
      </c>
      <c r="G256" s="35">
        <v>2</v>
      </c>
      <c r="H256" s="35">
        <v>1</v>
      </c>
      <c r="I256" s="164"/>
      <c r="M256" s="23">
        <v>1</v>
      </c>
    </row>
    <row r="257" spans="2:13" ht="18">
      <c r="B257" s="35">
        <v>6</v>
      </c>
      <c r="C257" s="35">
        <v>12</v>
      </c>
      <c r="D257" s="35">
        <v>13</v>
      </c>
      <c r="E257" s="35">
        <v>2</v>
      </c>
      <c r="F257" s="35">
        <v>5</v>
      </c>
      <c r="G257" s="35">
        <v>2</v>
      </c>
      <c r="H257" s="35">
        <v>1</v>
      </c>
      <c r="I257" s="164"/>
      <c r="M257" s="23">
        <v>1</v>
      </c>
    </row>
    <row r="258" spans="2:13" ht="18">
      <c r="B258" s="35">
        <v>6</v>
      </c>
      <c r="C258" s="35">
        <v>35</v>
      </c>
      <c r="D258" s="35">
        <v>12</v>
      </c>
      <c r="E258" s="35">
        <v>5</v>
      </c>
      <c r="F258" s="35">
        <v>7</v>
      </c>
      <c r="G258" s="35">
        <v>0</v>
      </c>
      <c r="H258" s="35">
        <v>0</v>
      </c>
      <c r="I258" s="164"/>
      <c r="M258" s="23">
        <v>1</v>
      </c>
    </row>
    <row r="259" spans="2:13" ht="18">
      <c r="B259" s="35">
        <v>6</v>
      </c>
      <c r="C259" s="35">
        <v>22</v>
      </c>
      <c r="D259" s="35">
        <v>10</v>
      </c>
      <c r="E259" s="35">
        <v>3</v>
      </c>
      <c r="F259" s="35">
        <v>2</v>
      </c>
      <c r="G259" s="35">
        <v>2</v>
      </c>
      <c r="H259" s="35">
        <v>6</v>
      </c>
      <c r="I259" s="164"/>
      <c r="M259" s="23">
        <v>1</v>
      </c>
    </row>
    <row r="260" spans="2:13" ht="18">
      <c r="B260" s="35">
        <v>6</v>
      </c>
      <c r="C260" s="35">
        <v>25</v>
      </c>
      <c r="D260" s="35">
        <v>6</v>
      </c>
      <c r="E260" s="35">
        <v>8</v>
      </c>
      <c r="F260" s="35">
        <v>6</v>
      </c>
      <c r="G260" s="35">
        <v>3</v>
      </c>
      <c r="H260" s="35">
        <v>0</v>
      </c>
      <c r="I260" s="164"/>
      <c r="M260" s="23">
        <v>1</v>
      </c>
    </row>
    <row r="261" spans="2:13" ht="18">
      <c r="B261" s="35">
        <v>6</v>
      </c>
      <c r="C261" s="35">
        <v>25</v>
      </c>
      <c r="D261" s="35">
        <v>7</v>
      </c>
      <c r="E261" s="35">
        <v>13</v>
      </c>
      <c r="F261" s="35">
        <v>5</v>
      </c>
      <c r="G261" s="35">
        <v>2</v>
      </c>
      <c r="H261" s="35">
        <v>3</v>
      </c>
      <c r="I261" s="164"/>
      <c r="M261" s="23">
        <v>1</v>
      </c>
    </row>
    <row r="262" spans="2:13" ht="18">
      <c r="B262" s="35">
        <v>6</v>
      </c>
      <c r="C262" s="35">
        <v>25</v>
      </c>
      <c r="D262" s="35">
        <v>8</v>
      </c>
      <c r="E262" s="35">
        <v>12</v>
      </c>
      <c r="F262" s="35">
        <v>0</v>
      </c>
      <c r="G262" s="35">
        <v>1</v>
      </c>
      <c r="H262" s="35">
        <v>0</v>
      </c>
      <c r="I262" s="164"/>
      <c r="M262" s="23">
        <v>1</v>
      </c>
    </row>
    <row r="263" spans="2:13" ht="18">
      <c r="B263" s="35">
        <v>6</v>
      </c>
      <c r="C263" s="35">
        <v>30</v>
      </c>
      <c r="D263" s="35">
        <v>9</v>
      </c>
      <c r="E263" s="35">
        <v>24</v>
      </c>
      <c r="F263" s="35">
        <v>1</v>
      </c>
      <c r="G263" s="35">
        <v>0</v>
      </c>
      <c r="H263" s="35">
        <v>1</v>
      </c>
      <c r="I263" s="164"/>
      <c r="M263" s="23">
        <v>1</v>
      </c>
    </row>
    <row r="264" spans="2:13" ht="18">
      <c r="B264" s="35">
        <v>6</v>
      </c>
      <c r="C264" s="35">
        <v>39</v>
      </c>
      <c r="D264" s="35">
        <v>11</v>
      </c>
      <c r="E264" s="35">
        <v>2</v>
      </c>
      <c r="F264" s="35">
        <v>12</v>
      </c>
      <c r="G264" s="35">
        <v>1</v>
      </c>
      <c r="H264" s="35">
        <v>1</v>
      </c>
      <c r="I264" s="164"/>
      <c r="M264" s="23">
        <v>1</v>
      </c>
    </row>
    <row r="265" spans="2:13" ht="18">
      <c r="B265" s="35">
        <v>6</v>
      </c>
      <c r="C265" s="35">
        <v>30</v>
      </c>
      <c r="D265" s="35">
        <v>9</v>
      </c>
      <c r="E265" s="35">
        <v>24</v>
      </c>
      <c r="F265" s="35">
        <v>1</v>
      </c>
      <c r="G265" s="35">
        <v>0</v>
      </c>
      <c r="H265" s="35">
        <v>1</v>
      </c>
      <c r="I265" s="164"/>
      <c r="M265" s="23">
        <v>1</v>
      </c>
    </row>
    <row r="266" spans="2:13" ht="18">
      <c r="B266" s="35">
        <v>6</v>
      </c>
      <c r="C266" s="35">
        <v>30</v>
      </c>
      <c r="D266" s="35">
        <v>10</v>
      </c>
      <c r="E266" s="35">
        <v>6</v>
      </c>
      <c r="F266" s="35">
        <v>0</v>
      </c>
      <c r="G266" s="35">
        <v>0</v>
      </c>
      <c r="H266" s="35">
        <v>1</v>
      </c>
      <c r="I266" s="164"/>
      <c r="M266" s="23">
        <v>1</v>
      </c>
    </row>
    <row r="267" spans="2:13" ht="18">
      <c r="B267" s="35">
        <v>6</v>
      </c>
      <c r="C267" s="35">
        <v>25</v>
      </c>
      <c r="D267" s="35">
        <v>9</v>
      </c>
      <c r="E267" s="35">
        <v>4</v>
      </c>
      <c r="F267" s="35">
        <v>2</v>
      </c>
      <c r="G267" s="35">
        <v>0</v>
      </c>
      <c r="H267" s="35">
        <v>1</v>
      </c>
      <c r="I267" s="164"/>
      <c r="M267" s="23">
        <v>1</v>
      </c>
    </row>
    <row r="268" spans="2:13" ht="18">
      <c r="B268" s="35">
        <v>6</v>
      </c>
      <c r="C268" s="35">
        <v>25</v>
      </c>
      <c r="D268" s="35">
        <v>10</v>
      </c>
      <c r="E268" s="35">
        <v>6</v>
      </c>
      <c r="F268" s="35">
        <v>4</v>
      </c>
      <c r="G268" s="35">
        <v>4</v>
      </c>
      <c r="H268" s="35">
        <v>2</v>
      </c>
      <c r="I268" s="164"/>
      <c r="M268" s="23">
        <v>1</v>
      </c>
    </row>
    <row r="269" spans="2:13" ht="18">
      <c r="B269" s="35">
        <v>6</v>
      </c>
      <c r="C269" s="35">
        <v>25</v>
      </c>
      <c r="D269" s="35">
        <v>11</v>
      </c>
      <c r="E269" s="35">
        <v>10</v>
      </c>
      <c r="F269" s="35">
        <v>7</v>
      </c>
      <c r="G269" s="35">
        <v>4</v>
      </c>
      <c r="H269" s="35">
        <v>2</v>
      </c>
      <c r="I269" s="164"/>
      <c r="M269" s="23">
        <v>1</v>
      </c>
    </row>
    <row r="270" spans="2:13" ht="18">
      <c r="B270" s="35">
        <v>6</v>
      </c>
      <c r="C270" s="35">
        <v>34</v>
      </c>
      <c r="D270" s="35">
        <v>6</v>
      </c>
      <c r="E270" s="35">
        <v>11</v>
      </c>
      <c r="F270" s="35">
        <v>4</v>
      </c>
      <c r="G270" s="35">
        <v>1</v>
      </c>
      <c r="H270" s="35">
        <v>1</v>
      </c>
      <c r="I270" s="164"/>
      <c r="M270" s="23">
        <v>1</v>
      </c>
    </row>
    <row r="271" spans="2:13" ht="18">
      <c r="B271" s="35">
        <v>6</v>
      </c>
      <c r="C271" s="35">
        <v>34</v>
      </c>
      <c r="D271" s="35">
        <v>7</v>
      </c>
      <c r="E271" s="35">
        <v>6</v>
      </c>
      <c r="F271" s="35">
        <v>5</v>
      </c>
      <c r="G271" s="35">
        <v>0</v>
      </c>
      <c r="H271" s="35">
        <v>0</v>
      </c>
      <c r="I271" s="164"/>
      <c r="M271" s="23">
        <v>1</v>
      </c>
    </row>
    <row r="272" spans="2:13" ht="18">
      <c r="B272" s="35">
        <v>6</v>
      </c>
      <c r="C272" s="35">
        <v>34</v>
      </c>
      <c r="D272" s="35">
        <v>8</v>
      </c>
      <c r="E272" s="35">
        <v>10</v>
      </c>
      <c r="F272" s="35">
        <v>3</v>
      </c>
      <c r="G272" s="35">
        <v>0</v>
      </c>
      <c r="H272" s="35">
        <v>0</v>
      </c>
      <c r="I272" s="164"/>
      <c r="M272" s="23">
        <v>1</v>
      </c>
    </row>
    <row r="273" spans="2:13" ht="18">
      <c r="B273" s="35">
        <v>6</v>
      </c>
      <c r="C273" s="35">
        <v>34</v>
      </c>
      <c r="D273" s="35">
        <v>9</v>
      </c>
      <c r="E273" s="35">
        <v>6</v>
      </c>
      <c r="F273" s="35">
        <v>5</v>
      </c>
      <c r="G273" s="35">
        <v>0</v>
      </c>
      <c r="H273" s="35">
        <v>1</v>
      </c>
      <c r="I273" s="164"/>
      <c r="M273" s="23">
        <v>1</v>
      </c>
    </row>
    <row r="274" spans="2:13" ht="18">
      <c r="B274" s="35">
        <v>6</v>
      </c>
      <c r="C274" s="35">
        <v>34</v>
      </c>
      <c r="D274" s="35">
        <v>10</v>
      </c>
      <c r="E274" s="35">
        <v>2</v>
      </c>
      <c r="F274" s="35">
        <v>8</v>
      </c>
      <c r="G274" s="35">
        <v>0</v>
      </c>
      <c r="H274" s="35">
        <v>0</v>
      </c>
      <c r="I274" s="164"/>
      <c r="M274" s="23">
        <v>1</v>
      </c>
    </row>
    <row r="275" spans="2:13" ht="18">
      <c r="B275" s="35">
        <v>6</v>
      </c>
      <c r="C275" s="35">
        <v>38</v>
      </c>
      <c r="D275" s="35">
        <v>10</v>
      </c>
      <c r="E275" s="35">
        <v>11</v>
      </c>
      <c r="F275" s="35">
        <v>4</v>
      </c>
      <c r="G275" s="35">
        <v>0</v>
      </c>
      <c r="H275" s="35">
        <v>0</v>
      </c>
      <c r="I275" s="164"/>
      <c r="M275" s="23">
        <v>1</v>
      </c>
    </row>
    <row r="276" spans="2:13" ht="18">
      <c r="B276" s="35">
        <v>6</v>
      </c>
      <c r="C276" s="35">
        <v>38</v>
      </c>
      <c r="D276" s="35">
        <v>11</v>
      </c>
      <c r="E276" s="35">
        <v>1</v>
      </c>
      <c r="F276" s="35">
        <v>4</v>
      </c>
      <c r="G276" s="35">
        <v>0</v>
      </c>
      <c r="H276" s="35">
        <v>2</v>
      </c>
      <c r="I276" s="164"/>
      <c r="M276" s="23">
        <v>1</v>
      </c>
    </row>
    <row r="277" spans="2:13" ht="18">
      <c r="B277" s="35">
        <v>6</v>
      </c>
      <c r="C277" s="35">
        <v>38</v>
      </c>
      <c r="D277" s="35">
        <v>12</v>
      </c>
      <c r="E277" s="35">
        <v>8</v>
      </c>
      <c r="F277" s="35">
        <v>13</v>
      </c>
      <c r="G277" s="35">
        <v>0</v>
      </c>
      <c r="H277" s="35">
        <v>0</v>
      </c>
      <c r="I277" s="164"/>
      <c r="M277" s="23">
        <v>1</v>
      </c>
    </row>
    <row r="278" spans="2:13" ht="18">
      <c r="B278" s="35">
        <v>6</v>
      </c>
      <c r="C278" s="35">
        <v>14</v>
      </c>
      <c r="D278" s="35">
        <v>10</v>
      </c>
      <c r="E278" s="35">
        <v>19</v>
      </c>
      <c r="F278" s="35">
        <v>1</v>
      </c>
      <c r="G278" s="35">
        <v>2</v>
      </c>
      <c r="H278" s="35">
        <v>2</v>
      </c>
      <c r="I278" s="164"/>
      <c r="M278" s="23">
        <v>1</v>
      </c>
    </row>
    <row r="279" spans="2:13" ht="18">
      <c r="B279" s="35">
        <v>6</v>
      </c>
      <c r="C279" s="35">
        <v>14</v>
      </c>
      <c r="D279" s="35">
        <v>11</v>
      </c>
      <c r="E279" s="35">
        <v>11</v>
      </c>
      <c r="F279" s="35">
        <v>2</v>
      </c>
      <c r="G279" s="35">
        <v>11</v>
      </c>
      <c r="H279" s="35">
        <v>1</v>
      </c>
      <c r="I279" s="164"/>
      <c r="M279" s="23">
        <v>1</v>
      </c>
    </row>
    <row r="280" spans="2:13" ht="18">
      <c r="B280" s="35">
        <v>6</v>
      </c>
      <c r="C280" s="35">
        <v>14</v>
      </c>
      <c r="D280" s="35">
        <v>12</v>
      </c>
      <c r="E280" s="35">
        <v>13</v>
      </c>
      <c r="F280" s="35">
        <v>0</v>
      </c>
      <c r="G280" s="35">
        <v>3</v>
      </c>
      <c r="H280" s="35">
        <v>0</v>
      </c>
      <c r="I280" s="164"/>
      <c r="M280" s="23">
        <v>1</v>
      </c>
    </row>
    <row r="281" spans="2:13" ht="18">
      <c r="B281" s="35">
        <v>6</v>
      </c>
      <c r="C281" s="35">
        <v>18</v>
      </c>
      <c r="D281" s="35">
        <v>12</v>
      </c>
      <c r="E281" s="35">
        <v>12</v>
      </c>
      <c r="F281" s="35">
        <v>3</v>
      </c>
      <c r="G281" s="35">
        <v>5</v>
      </c>
      <c r="H281" s="35">
        <v>5</v>
      </c>
      <c r="I281" s="164"/>
      <c r="M281" s="23">
        <v>1</v>
      </c>
    </row>
    <row r="282" spans="2:13" ht="18">
      <c r="B282" s="35">
        <v>6</v>
      </c>
      <c r="C282" s="35">
        <v>18</v>
      </c>
      <c r="D282" s="35">
        <v>13</v>
      </c>
      <c r="E282" s="35">
        <v>8</v>
      </c>
      <c r="F282" s="35">
        <v>5</v>
      </c>
      <c r="G282" s="35">
        <v>6</v>
      </c>
      <c r="H282" s="35">
        <v>6</v>
      </c>
      <c r="I282" s="164"/>
      <c r="M282" s="23">
        <v>1</v>
      </c>
    </row>
    <row r="283" spans="2:13" ht="18">
      <c r="B283" s="35">
        <v>6</v>
      </c>
      <c r="C283" s="35">
        <v>16</v>
      </c>
      <c r="D283" s="35">
        <v>12</v>
      </c>
      <c r="E283" s="35">
        <v>19</v>
      </c>
      <c r="F283" s="35">
        <v>1</v>
      </c>
      <c r="G283" s="35">
        <v>4</v>
      </c>
      <c r="H283" s="35">
        <v>1</v>
      </c>
      <c r="I283" s="164"/>
      <c r="M283" s="23">
        <v>1</v>
      </c>
    </row>
    <row r="284" spans="2:13" ht="18">
      <c r="B284" s="35">
        <v>6</v>
      </c>
      <c r="C284" s="35">
        <v>16</v>
      </c>
      <c r="D284" s="35">
        <v>13</v>
      </c>
      <c r="E284" s="35">
        <v>10</v>
      </c>
      <c r="F284" s="35">
        <v>3</v>
      </c>
      <c r="G284" s="35">
        <v>3</v>
      </c>
      <c r="H284" s="35">
        <v>0</v>
      </c>
      <c r="I284" s="164"/>
      <c r="M284" s="23">
        <v>1</v>
      </c>
    </row>
    <row r="285" spans="2:13" ht="18">
      <c r="B285" s="35">
        <v>6</v>
      </c>
      <c r="C285" s="35">
        <v>38</v>
      </c>
      <c r="D285" s="35">
        <v>13</v>
      </c>
      <c r="E285" s="35">
        <v>10</v>
      </c>
      <c r="F285" s="35">
        <v>12</v>
      </c>
      <c r="G285" s="35">
        <v>0</v>
      </c>
      <c r="H285" s="35">
        <v>3</v>
      </c>
      <c r="I285" s="164"/>
      <c r="M285" s="23">
        <v>1</v>
      </c>
    </row>
    <row r="286" spans="2:13" ht="18">
      <c r="B286" s="35">
        <v>6</v>
      </c>
      <c r="C286" s="35">
        <v>21</v>
      </c>
      <c r="D286" s="35">
        <v>12</v>
      </c>
      <c r="E286" s="35">
        <v>14</v>
      </c>
      <c r="F286" s="35">
        <v>8</v>
      </c>
      <c r="G286" s="35">
        <v>3</v>
      </c>
      <c r="H286" s="35">
        <v>0</v>
      </c>
      <c r="I286" s="164"/>
      <c r="M286" s="23">
        <v>1</v>
      </c>
    </row>
    <row r="287" spans="2:13" ht="18">
      <c r="B287" s="35">
        <v>6</v>
      </c>
      <c r="C287" s="35">
        <v>21</v>
      </c>
      <c r="D287" s="35">
        <v>13</v>
      </c>
      <c r="E287" s="35">
        <v>9</v>
      </c>
      <c r="F287" s="35">
        <v>7</v>
      </c>
      <c r="G287" s="35">
        <v>9</v>
      </c>
      <c r="H287" s="35">
        <v>0</v>
      </c>
      <c r="I287" s="164"/>
      <c r="M287" s="23">
        <v>1</v>
      </c>
    </row>
    <row r="288" spans="2:13" ht="18">
      <c r="B288" s="35">
        <v>6</v>
      </c>
      <c r="C288" s="35">
        <v>19</v>
      </c>
      <c r="D288" s="35">
        <v>14</v>
      </c>
      <c r="E288" s="35">
        <v>14</v>
      </c>
      <c r="F288" s="35">
        <v>2</v>
      </c>
      <c r="G288" s="35">
        <v>6</v>
      </c>
      <c r="H288" s="35">
        <v>0</v>
      </c>
      <c r="I288" s="164"/>
      <c r="M288" s="23">
        <v>1</v>
      </c>
    </row>
    <row r="289" spans="2:13" ht="18">
      <c r="B289" s="35">
        <v>6</v>
      </c>
      <c r="C289" s="35">
        <v>19</v>
      </c>
      <c r="D289" s="35">
        <v>13</v>
      </c>
      <c r="E289" s="35">
        <v>18</v>
      </c>
      <c r="F289" s="35">
        <v>1</v>
      </c>
      <c r="G289" s="35">
        <v>6</v>
      </c>
      <c r="H289" s="35">
        <v>0</v>
      </c>
      <c r="I289" s="164"/>
      <c r="M289" s="23">
        <v>1</v>
      </c>
    </row>
    <row r="290" spans="2:13" ht="18">
      <c r="B290" s="35">
        <v>6</v>
      </c>
      <c r="C290" s="35">
        <v>19</v>
      </c>
      <c r="D290" s="35">
        <v>12</v>
      </c>
      <c r="E290" s="35">
        <v>17</v>
      </c>
      <c r="F290" s="35">
        <v>2</v>
      </c>
      <c r="G290" s="35">
        <v>3</v>
      </c>
      <c r="H290" s="35">
        <v>0</v>
      </c>
      <c r="I290" s="164"/>
      <c r="M290" s="23">
        <v>1</v>
      </c>
    </row>
    <row r="291" spans="2:13" ht="18">
      <c r="B291" s="35">
        <v>6</v>
      </c>
      <c r="C291" s="35">
        <v>19</v>
      </c>
      <c r="D291" s="35">
        <v>11</v>
      </c>
      <c r="E291" s="35">
        <v>13</v>
      </c>
      <c r="F291" s="35">
        <v>2</v>
      </c>
      <c r="G291" s="35">
        <v>5</v>
      </c>
      <c r="H291" s="35">
        <v>0</v>
      </c>
      <c r="I291" s="164"/>
      <c r="M291" s="23">
        <v>1</v>
      </c>
    </row>
    <row r="292" spans="2:13" ht="18">
      <c r="B292" s="35">
        <v>6</v>
      </c>
      <c r="C292" s="35">
        <v>40</v>
      </c>
      <c r="D292" s="35">
        <v>13</v>
      </c>
      <c r="E292" s="35">
        <v>8</v>
      </c>
      <c r="F292" s="35">
        <v>8</v>
      </c>
      <c r="G292" s="35">
        <v>0</v>
      </c>
      <c r="H292" s="35">
        <v>3</v>
      </c>
      <c r="I292" s="164"/>
      <c r="M292" s="23">
        <v>1</v>
      </c>
    </row>
    <row r="293" spans="2:13" ht="18">
      <c r="B293" s="35">
        <v>6</v>
      </c>
      <c r="C293" s="35">
        <v>40</v>
      </c>
      <c r="D293" s="35">
        <v>12</v>
      </c>
      <c r="E293" s="35">
        <v>6</v>
      </c>
      <c r="F293" s="35">
        <v>4</v>
      </c>
      <c r="G293" s="35">
        <v>0</v>
      </c>
      <c r="H293" s="35">
        <v>1</v>
      </c>
      <c r="I293" s="164"/>
      <c r="M293" s="23">
        <v>1</v>
      </c>
    </row>
    <row r="294" spans="2:13" ht="18">
      <c r="B294" s="35">
        <v>6</v>
      </c>
      <c r="C294" s="35">
        <v>40</v>
      </c>
      <c r="D294" s="35">
        <v>11</v>
      </c>
      <c r="E294" s="35">
        <v>14</v>
      </c>
      <c r="F294" s="35">
        <v>16</v>
      </c>
      <c r="G294" s="35">
        <v>0</v>
      </c>
      <c r="H294" s="35">
        <v>0</v>
      </c>
      <c r="I294" s="164"/>
      <c r="M294" s="23">
        <v>1</v>
      </c>
    </row>
    <row r="295" spans="2:13" ht="18">
      <c r="B295" s="35">
        <v>6</v>
      </c>
      <c r="C295" s="35">
        <v>17</v>
      </c>
      <c r="D295" s="35">
        <v>12</v>
      </c>
      <c r="E295" s="35">
        <v>10</v>
      </c>
      <c r="F295" s="35">
        <v>5</v>
      </c>
      <c r="G295" s="35">
        <v>8</v>
      </c>
      <c r="H295" s="35">
        <v>2</v>
      </c>
      <c r="I295" s="164"/>
      <c r="M295" s="23">
        <v>1</v>
      </c>
    </row>
    <row r="296" spans="2:13" ht="18">
      <c r="B296" s="35">
        <v>6</v>
      </c>
      <c r="C296" s="35">
        <v>31</v>
      </c>
      <c r="D296" s="35">
        <v>11</v>
      </c>
      <c r="E296" s="35">
        <v>3</v>
      </c>
      <c r="F296" s="35">
        <v>2</v>
      </c>
      <c r="G296" s="35">
        <v>1</v>
      </c>
      <c r="H296" s="35">
        <v>5</v>
      </c>
      <c r="I296" s="164"/>
      <c r="M296" s="23">
        <v>1</v>
      </c>
    </row>
    <row r="297" spans="2:13" ht="18">
      <c r="B297" s="35">
        <v>6</v>
      </c>
      <c r="C297" s="35">
        <v>31</v>
      </c>
      <c r="D297" s="35">
        <v>12</v>
      </c>
      <c r="E297" s="35">
        <v>5</v>
      </c>
      <c r="F297" s="35">
        <v>7</v>
      </c>
      <c r="G297" s="35">
        <v>0</v>
      </c>
      <c r="H297" s="35">
        <v>9</v>
      </c>
      <c r="I297" s="164"/>
      <c r="M297" s="23">
        <v>1</v>
      </c>
    </row>
    <row r="298" spans="2:13" ht="18">
      <c r="B298" s="35">
        <v>6</v>
      </c>
      <c r="C298" s="35">
        <v>31</v>
      </c>
      <c r="D298" s="35">
        <v>13</v>
      </c>
      <c r="E298" s="35">
        <v>5</v>
      </c>
      <c r="F298" s="35">
        <v>3</v>
      </c>
      <c r="G298" s="35">
        <v>2</v>
      </c>
      <c r="H298" s="35">
        <v>3</v>
      </c>
      <c r="I298" s="164"/>
      <c r="M298" s="23">
        <v>1</v>
      </c>
    </row>
    <row r="299" spans="2:13" ht="18">
      <c r="B299" s="35">
        <v>6</v>
      </c>
      <c r="C299" s="35">
        <v>15</v>
      </c>
      <c r="D299" s="35">
        <v>13</v>
      </c>
      <c r="E299" s="35">
        <v>3</v>
      </c>
      <c r="F299" s="35">
        <v>1</v>
      </c>
      <c r="G299" s="35">
        <v>2</v>
      </c>
      <c r="H299" s="35">
        <v>2</v>
      </c>
      <c r="I299" s="164"/>
      <c r="M299" s="23">
        <v>1</v>
      </c>
    </row>
    <row r="300" spans="2:13" ht="18">
      <c r="B300" s="35">
        <v>6</v>
      </c>
      <c r="C300" s="35">
        <v>15</v>
      </c>
      <c r="D300" s="35">
        <v>14</v>
      </c>
      <c r="E300" s="35">
        <v>2</v>
      </c>
      <c r="F300" s="35">
        <v>1</v>
      </c>
      <c r="G300" s="35">
        <v>2</v>
      </c>
      <c r="H300" s="35">
        <v>2</v>
      </c>
      <c r="I300" s="164"/>
      <c r="M300" s="23">
        <v>1</v>
      </c>
    </row>
    <row r="301" spans="2:13" ht="18">
      <c r="B301" s="35">
        <v>6</v>
      </c>
      <c r="C301" s="35">
        <v>27</v>
      </c>
      <c r="D301" s="35">
        <v>14</v>
      </c>
      <c r="E301" s="35">
        <v>1</v>
      </c>
      <c r="F301" s="35">
        <v>10</v>
      </c>
      <c r="G301" s="35">
        <v>3</v>
      </c>
      <c r="H301" s="35">
        <v>0</v>
      </c>
      <c r="I301" s="164"/>
      <c r="M301" s="23">
        <v>1</v>
      </c>
    </row>
    <row r="302" spans="2:13" ht="18">
      <c r="B302" s="35">
        <v>6</v>
      </c>
      <c r="C302" s="35">
        <v>27</v>
      </c>
      <c r="D302" s="35">
        <v>12</v>
      </c>
      <c r="E302" s="35">
        <v>3</v>
      </c>
      <c r="F302" s="35">
        <v>14</v>
      </c>
      <c r="G302" s="35">
        <v>1</v>
      </c>
      <c r="H302" s="35">
        <v>0</v>
      </c>
      <c r="I302" s="164"/>
      <c r="M302" s="23">
        <v>1</v>
      </c>
    </row>
    <row r="303" spans="2:13" ht="18">
      <c r="B303" s="35">
        <v>6</v>
      </c>
      <c r="C303" s="35">
        <v>27</v>
      </c>
      <c r="D303" s="35">
        <v>13</v>
      </c>
      <c r="E303" s="35">
        <v>0</v>
      </c>
      <c r="F303" s="35">
        <v>10</v>
      </c>
      <c r="G303" s="35">
        <v>1</v>
      </c>
      <c r="H303" s="35">
        <v>0</v>
      </c>
      <c r="I303" s="164"/>
      <c r="M303" s="23">
        <v>1</v>
      </c>
    </row>
    <row r="304" spans="2:13" ht="18">
      <c r="B304" s="35">
        <v>6</v>
      </c>
      <c r="C304" s="35">
        <v>20</v>
      </c>
      <c r="D304" s="35">
        <v>8</v>
      </c>
      <c r="E304" s="35">
        <v>6</v>
      </c>
      <c r="F304" s="35">
        <v>6</v>
      </c>
      <c r="G304" s="35">
        <v>10</v>
      </c>
      <c r="H304" s="35">
        <v>0</v>
      </c>
      <c r="I304" s="164"/>
      <c r="M304" s="23">
        <v>1</v>
      </c>
    </row>
    <row r="305" spans="2:13" ht="18">
      <c r="B305" s="35">
        <v>6</v>
      </c>
      <c r="C305" s="35">
        <v>33</v>
      </c>
      <c r="D305" s="35">
        <v>12</v>
      </c>
      <c r="E305" s="35">
        <v>6</v>
      </c>
      <c r="F305" s="35">
        <v>6</v>
      </c>
      <c r="G305" s="35">
        <v>0</v>
      </c>
      <c r="H305" s="35">
        <v>0</v>
      </c>
      <c r="I305" s="164"/>
      <c r="M305" s="23">
        <v>1</v>
      </c>
    </row>
    <row r="306" spans="2:13" ht="18">
      <c r="B306" s="35">
        <v>6</v>
      </c>
      <c r="C306" s="35">
        <v>33</v>
      </c>
      <c r="D306" s="35">
        <v>13</v>
      </c>
      <c r="E306" s="35">
        <v>3</v>
      </c>
      <c r="F306" s="35">
        <v>5</v>
      </c>
      <c r="G306" s="35">
        <v>1</v>
      </c>
      <c r="H306" s="35">
        <v>0</v>
      </c>
      <c r="I306" s="164"/>
      <c r="M306" s="23">
        <v>1</v>
      </c>
    </row>
    <row r="307" spans="2:13" ht="18">
      <c r="B307" s="35">
        <v>6</v>
      </c>
      <c r="C307" s="35">
        <v>43</v>
      </c>
      <c r="D307" s="35">
        <v>12</v>
      </c>
      <c r="E307" s="35">
        <v>10</v>
      </c>
      <c r="F307" s="35">
        <v>5</v>
      </c>
      <c r="G307" s="35">
        <v>6</v>
      </c>
      <c r="H307" s="35">
        <v>5</v>
      </c>
      <c r="I307" s="164"/>
      <c r="M307" s="23">
        <v>1</v>
      </c>
    </row>
    <row r="308" spans="2:13" ht="18">
      <c r="B308" s="35">
        <v>6</v>
      </c>
      <c r="C308" s="35">
        <v>43</v>
      </c>
      <c r="D308" s="35">
        <v>13</v>
      </c>
      <c r="E308" s="35">
        <v>3</v>
      </c>
      <c r="F308" s="35">
        <v>2</v>
      </c>
      <c r="G308" s="35">
        <v>3</v>
      </c>
      <c r="H308" s="35">
        <v>0</v>
      </c>
      <c r="I308" s="164"/>
      <c r="M308" s="23">
        <v>1</v>
      </c>
    </row>
    <row r="309" spans="2:13" ht="18">
      <c r="B309" s="35">
        <v>6</v>
      </c>
      <c r="C309" s="35">
        <v>24</v>
      </c>
      <c r="D309" s="35">
        <v>14</v>
      </c>
      <c r="E309" s="35">
        <v>15</v>
      </c>
      <c r="F309" s="35">
        <v>2</v>
      </c>
      <c r="G309" s="35">
        <v>8</v>
      </c>
      <c r="H309" s="35">
        <v>0</v>
      </c>
      <c r="I309" s="164"/>
      <c r="M309" s="23">
        <v>1</v>
      </c>
    </row>
    <row r="310" spans="2:13" ht="18">
      <c r="B310" s="35">
        <v>6</v>
      </c>
      <c r="C310" s="35">
        <v>24</v>
      </c>
      <c r="D310" s="35">
        <v>12</v>
      </c>
      <c r="E310" s="35">
        <v>17</v>
      </c>
      <c r="F310" s="35">
        <v>8</v>
      </c>
      <c r="G310" s="35">
        <v>8</v>
      </c>
      <c r="H310" s="35">
        <v>0</v>
      </c>
      <c r="I310" s="164"/>
      <c r="M310" s="23">
        <v>1</v>
      </c>
    </row>
    <row r="311" spans="2:13" ht="18">
      <c r="B311" s="35">
        <v>6</v>
      </c>
      <c r="C311" s="35">
        <v>24</v>
      </c>
      <c r="D311" s="35">
        <v>13</v>
      </c>
      <c r="E311" s="35">
        <v>20</v>
      </c>
      <c r="F311" s="35">
        <v>1</v>
      </c>
      <c r="G311" s="35">
        <v>3</v>
      </c>
      <c r="H311" s="35">
        <v>1</v>
      </c>
      <c r="I311" s="164"/>
      <c r="M311" s="23">
        <v>1</v>
      </c>
    </row>
    <row r="312" spans="2:13" ht="18">
      <c r="B312" s="35">
        <v>6</v>
      </c>
      <c r="C312" s="35">
        <v>14</v>
      </c>
      <c r="D312" s="35">
        <v>11</v>
      </c>
      <c r="E312" s="35">
        <v>11</v>
      </c>
      <c r="F312" s="35">
        <v>2</v>
      </c>
      <c r="G312" s="35">
        <v>11</v>
      </c>
      <c r="H312" s="35">
        <v>1</v>
      </c>
      <c r="I312" s="164"/>
      <c r="M312" s="23">
        <v>1</v>
      </c>
    </row>
    <row r="313" spans="2:13" ht="18">
      <c r="B313" s="35">
        <v>6</v>
      </c>
      <c r="C313" s="35">
        <v>14</v>
      </c>
      <c r="D313" s="35">
        <v>12</v>
      </c>
      <c r="E313" s="35">
        <v>13</v>
      </c>
      <c r="F313" s="35">
        <v>0</v>
      </c>
      <c r="G313" s="35">
        <v>3</v>
      </c>
      <c r="H313" s="35">
        <v>0</v>
      </c>
      <c r="I313" s="164"/>
      <c r="M313" s="23">
        <v>1</v>
      </c>
    </row>
    <row r="314" spans="2:13" ht="18">
      <c r="B314" s="35">
        <v>6</v>
      </c>
      <c r="C314" s="35">
        <v>14</v>
      </c>
      <c r="D314" s="35">
        <v>13</v>
      </c>
      <c r="E314" s="35">
        <v>16</v>
      </c>
      <c r="F314" s="35">
        <v>0</v>
      </c>
      <c r="G314" s="35">
        <v>4</v>
      </c>
      <c r="H314" s="35">
        <v>0</v>
      </c>
      <c r="I314" s="164"/>
      <c r="M314" s="23">
        <v>1</v>
      </c>
    </row>
    <row r="315" spans="2:13" ht="18">
      <c r="B315" s="35">
        <v>6</v>
      </c>
      <c r="C315" s="35">
        <v>37</v>
      </c>
      <c r="D315" s="35">
        <v>13</v>
      </c>
      <c r="E315" s="35">
        <v>1</v>
      </c>
      <c r="F315" s="35">
        <v>12</v>
      </c>
      <c r="G315" s="35">
        <v>0</v>
      </c>
      <c r="H315" s="35">
        <v>1</v>
      </c>
      <c r="I315" s="164"/>
      <c r="M315" s="23">
        <v>1</v>
      </c>
    </row>
    <row r="316" spans="2:13" ht="18">
      <c r="B316" s="35">
        <v>6</v>
      </c>
      <c r="C316" s="35">
        <v>34</v>
      </c>
      <c r="D316" s="35">
        <v>11</v>
      </c>
      <c r="E316" s="35">
        <v>4</v>
      </c>
      <c r="F316" s="35">
        <v>7</v>
      </c>
      <c r="G316" s="35">
        <v>0</v>
      </c>
      <c r="H316" s="35">
        <v>0</v>
      </c>
      <c r="I316" s="164"/>
      <c r="M316" s="23">
        <v>1</v>
      </c>
    </row>
    <row r="317" spans="2:13" ht="18">
      <c r="B317" s="35">
        <v>6</v>
      </c>
      <c r="C317" s="35">
        <v>34</v>
      </c>
      <c r="D317" s="35">
        <v>12</v>
      </c>
      <c r="E317" s="35">
        <v>12</v>
      </c>
      <c r="F317" s="35">
        <v>10</v>
      </c>
      <c r="G317" s="35">
        <v>0</v>
      </c>
      <c r="H317" s="35">
        <v>4</v>
      </c>
      <c r="I317" s="164"/>
      <c r="M317" s="23">
        <v>1</v>
      </c>
    </row>
    <row r="318" spans="2:13" ht="18">
      <c r="B318" s="35">
        <v>6</v>
      </c>
      <c r="C318" s="35">
        <v>32</v>
      </c>
      <c r="D318" s="35">
        <v>12</v>
      </c>
      <c r="E318" s="35">
        <v>10</v>
      </c>
      <c r="F318" s="35">
        <v>8</v>
      </c>
      <c r="G318" s="35">
        <v>0</v>
      </c>
      <c r="H318" s="35">
        <v>3</v>
      </c>
      <c r="I318" s="164"/>
      <c r="M318" s="23">
        <v>1</v>
      </c>
    </row>
    <row r="319" spans="2:13" ht="18">
      <c r="B319" s="35">
        <v>6</v>
      </c>
      <c r="C319" s="35">
        <v>42</v>
      </c>
      <c r="D319" s="35">
        <v>14</v>
      </c>
      <c r="E319" s="35">
        <v>12</v>
      </c>
      <c r="F319" s="35">
        <v>8</v>
      </c>
      <c r="G319" s="35">
        <v>5</v>
      </c>
      <c r="H319" s="35">
        <v>0</v>
      </c>
      <c r="I319" s="164"/>
      <c r="M319" s="23">
        <v>1</v>
      </c>
    </row>
    <row r="320" spans="2:13" ht="18">
      <c r="B320" s="35">
        <v>6</v>
      </c>
      <c r="C320" s="35">
        <v>26</v>
      </c>
      <c r="D320" s="35">
        <v>11</v>
      </c>
      <c r="E320" s="35">
        <v>12</v>
      </c>
      <c r="F320" s="35">
        <v>5</v>
      </c>
      <c r="G320" s="35">
        <v>4</v>
      </c>
      <c r="H320" s="35">
        <v>2</v>
      </c>
      <c r="I320" s="164"/>
      <c r="M320" s="23">
        <v>1</v>
      </c>
    </row>
    <row r="321" spans="2:13" ht="18">
      <c r="B321" s="35">
        <v>6</v>
      </c>
      <c r="C321" s="35">
        <v>26</v>
      </c>
      <c r="D321" s="35">
        <v>12</v>
      </c>
      <c r="E321" s="35">
        <v>16</v>
      </c>
      <c r="F321" s="35">
        <v>5</v>
      </c>
      <c r="G321" s="35">
        <v>1</v>
      </c>
      <c r="H321" s="35">
        <v>3</v>
      </c>
      <c r="I321" s="164"/>
      <c r="M321" s="23">
        <v>1</v>
      </c>
    </row>
    <row r="322" spans="2:13" ht="18">
      <c r="B322" s="35">
        <v>6</v>
      </c>
      <c r="C322" s="35">
        <v>26</v>
      </c>
      <c r="D322" s="35">
        <v>13</v>
      </c>
      <c r="E322" s="35">
        <v>10</v>
      </c>
      <c r="F322" s="35">
        <v>7</v>
      </c>
      <c r="G322" s="35">
        <v>2</v>
      </c>
      <c r="H322" s="35">
        <v>2</v>
      </c>
      <c r="I322" s="164"/>
      <c r="M322" s="23">
        <v>1</v>
      </c>
    </row>
    <row r="323" spans="2:13" ht="18">
      <c r="B323" s="35">
        <v>6</v>
      </c>
      <c r="C323" s="35">
        <v>16</v>
      </c>
      <c r="D323" s="35">
        <v>14</v>
      </c>
      <c r="E323" s="35">
        <v>12</v>
      </c>
      <c r="F323" s="35">
        <v>0</v>
      </c>
      <c r="G323" s="35">
        <v>3</v>
      </c>
      <c r="H323" s="35">
        <v>0</v>
      </c>
      <c r="I323" s="164"/>
      <c r="M323" s="23">
        <v>1</v>
      </c>
    </row>
    <row r="324" spans="2:13" ht="18">
      <c r="B324" s="35">
        <v>6</v>
      </c>
      <c r="C324" s="35">
        <v>18</v>
      </c>
      <c r="D324" s="35">
        <v>14</v>
      </c>
      <c r="E324" s="35">
        <v>3</v>
      </c>
      <c r="F324" s="35">
        <v>0</v>
      </c>
      <c r="G324" s="35">
        <v>2</v>
      </c>
      <c r="H324" s="35">
        <v>1</v>
      </c>
      <c r="I324" s="164"/>
      <c r="M324" s="23">
        <v>1</v>
      </c>
    </row>
    <row r="325" spans="2:13" ht="18">
      <c r="B325" s="35">
        <v>6</v>
      </c>
      <c r="C325" s="35">
        <v>12</v>
      </c>
      <c r="D325" s="35">
        <v>14</v>
      </c>
      <c r="E325" s="35">
        <v>7</v>
      </c>
      <c r="F325" s="35">
        <v>5</v>
      </c>
      <c r="G325" s="35">
        <v>2</v>
      </c>
      <c r="H325" s="35">
        <v>0</v>
      </c>
      <c r="I325" s="164"/>
      <c r="M325" s="23">
        <v>1</v>
      </c>
    </row>
    <row r="326" spans="2:13" ht="18">
      <c r="B326" s="35">
        <v>6</v>
      </c>
      <c r="C326" s="35">
        <v>23</v>
      </c>
      <c r="D326" s="35">
        <v>13</v>
      </c>
      <c r="E326" s="35">
        <v>14</v>
      </c>
      <c r="F326" s="35">
        <v>6</v>
      </c>
      <c r="G326" s="35">
        <v>3</v>
      </c>
      <c r="H326" s="35">
        <v>1</v>
      </c>
      <c r="I326" s="164"/>
      <c r="M326" s="23">
        <v>1</v>
      </c>
    </row>
    <row r="327" spans="2:13" ht="18">
      <c r="B327" s="35">
        <v>6</v>
      </c>
      <c r="C327" s="35">
        <v>23</v>
      </c>
      <c r="D327" s="35">
        <v>14</v>
      </c>
      <c r="E327" s="35">
        <v>13</v>
      </c>
      <c r="F327" s="35">
        <v>5</v>
      </c>
      <c r="G327" s="35">
        <v>2</v>
      </c>
      <c r="H327" s="35">
        <v>3</v>
      </c>
      <c r="I327" s="164"/>
      <c r="M327" s="23">
        <v>1</v>
      </c>
    </row>
    <row r="328" spans="2:13" ht="18">
      <c r="B328" s="35">
        <v>6</v>
      </c>
      <c r="C328" s="35">
        <v>13</v>
      </c>
      <c r="D328" s="35">
        <v>13</v>
      </c>
      <c r="E328" s="35">
        <v>6</v>
      </c>
      <c r="F328" s="35">
        <v>7</v>
      </c>
      <c r="G328" s="35">
        <v>4</v>
      </c>
      <c r="H328" s="35">
        <v>2</v>
      </c>
      <c r="I328" s="164"/>
      <c r="M328" s="23">
        <v>1</v>
      </c>
    </row>
    <row r="329" spans="2:13" ht="18">
      <c r="B329" s="35">
        <v>6</v>
      </c>
      <c r="C329" s="35">
        <v>13</v>
      </c>
      <c r="D329" s="35">
        <v>14</v>
      </c>
      <c r="E329" s="35">
        <v>4</v>
      </c>
      <c r="F329" s="35">
        <v>6</v>
      </c>
      <c r="G329" s="35">
        <v>7</v>
      </c>
      <c r="H329" s="35">
        <v>1</v>
      </c>
      <c r="I329" s="164"/>
      <c r="M329" s="23">
        <v>1</v>
      </c>
    </row>
    <row r="330" spans="2:13" ht="18">
      <c r="B330" s="35">
        <v>6</v>
      </c>
      <c r="C330" s="35">
        <v>35</v>
      </c>
      <c r="D330" s="35">
        <v>13</v>
      </c>
      <c r="E330" s="35">
        <v>6</v>
      </c>
      <c r="F330" s="35">
        <v>5</v>
      </c>
      <c r="G330" s="35">
        <v>0</v>
      </c>
      <c r="H330" s="35">
        <v>1</v>
      </c>
      <c r="I330" s="164"/>
      <c r="M330" s="23">
        <v>1</v>
      </c>
    </row>
    <row r="331" spans="2:13" ht="18">
      <c r="B331" s="35">
        <v>6</v>
      </c>
      <c r="C331" s="35">
        <v>35</v>
      </c>
      <c r="D331" s="35">
        <v>14</v>
      </c>
      <c r="E331" s="35">
        <v>4</v>
      </c>
      <c r="F331" s="35">
        <v>2</v>
      </c>
      <c r="G331" s="35">
        <v>0</v>
      </c>
      <c r="H331" s="35">
        <v>1</v>
      </c>
      <c r="I331" s="164"/>
      <c r="M331" s="23">
        <v>1</v>
      </c>
    </row>
    <row r="332" spans="2:13" ht="18">
      <c r="B332" s="35">
        <v>6</v>
      </c>
      <c r="C332" s="35">
        <v>22</v>
      </c>
      <c r="D332" s="35">
        <v>13</v>
      </c>
      <c r="E332" s="35">
        <v>5</v>
      </c>
      <c r="F332" s="35">
        <v>0</v>
      </c>
      <c r="G332" s="35">
        <v>2</v>
      </c>
      <c r="H332" s="35">
        <v>4</v>
      </c>
      <c r="I332" s="164"/>
      <c r="M332" s="23">
        <v>1</v>
      </c>
    </row>
    <row r="333" spans="2:13" ht="18">
      <c r="B333" s="35">
        <v>6</v>
      </c>
      <c r="C333" s="35">
        <v>22</v>
      </c>
      <c r="D333" s="35">
        <v>11</v>
      </c>
      <c r="E333" s="35">
        <v>4</v>
      </c>
      <c r="F333" s="35">
        <v>3</v>
      </c>
      <c r="G333" s="35">
        <v>0</v>
      </c>
      <c r="H333" s="35">
        <v>2</v>
      </c>
      <c r="I333" s="164"/>
      <c r="M333" s="23">
        <v>1</v>
      </c>
    </row>
    <row r="334" spans="2:13" ht="18">
      <c r="B334" s="35">
        <v>6</v>
      </c>
      <c r="C334" s="35">
        <v>22</v>
      </c>
      <c r="D334" s="35">
        <v>12</v>
      </c>
      <c r="E334" s="35">
        <v>6</v>
      </c>
      <c r="F334" s="35">
        <v>0</v>
      </c>
      <c r="G334" s="35">
        <v>2</v>
      </c>
      <c r="H334" s="35">
        <v>2</v>
      </c>
      <c r="I334" s="164"/>
      <c r="M334" s="23">
        <v>1</v>
      </c>
    </row>
    <row r="335" spans="2:13" ht="18">
      <c r="B335" s="35">
        <v>6</v>
      </c>
      <c r="C335" s="35">
        <v>25</v>
      </c>
      <c r="D335" s="35">
        <v>13</v>
      </c>
      <c r="E335" s="35">
        <v>4</v>
      </c>
      <c r="F335" s="35">
        <v>5</v>
      </c>
      <c r="G335" s="35">
        <v>7</v>
      </c>
      <c r="H335" s="35">
        <v>1</v>
      </c>
      <c r="I335" s="164"/>
      <c r="M335" s="23">
        <v>1</v>
      </c>
    </row>
    <row r="336" spans="2:13" ht="18">
      <c r="B336" s="35">
        <v>6</v>
      </c>
      <c r="C336" s="35">
        <v>25</v>
      </c>
      <c r="D336" s="35">
        <v>14</v>
      </c>
      <c r="E336" s="35">
        <v>0</v>
      </c>
      <c r="F336" s="35">
        <v>0</v>
      </c>
      <c r="G336" s="35">
        <v>3</v>
      </c>
      <c r="H336" s="35">
        <v>0</v>
      </c>
      <c r="I336" s="164"/>
      <c r="M336" s="23">
        <v>1</v>
      </c>
    </row>
    <row r="337" spans="2:13" ht="18">
      <c r="B337" s="35">
        <v>6</v>
      </c>
      <c r="C337" s="35">
        <v>25</v>
      </c>
      <c r="D337" s="35">
        <v>15</v>
      </c>
      <c r="E337" s="35">
        <v>4</v>
      </c>
      <c r="F337" s="35">
        <v>1</v>
      </c>
      <c r="G337" s="35">
        <v>2</v>
      </c>
      <c r="H337" s="35">
        <v>1</v>
      </c>
      <c r="I337" s="164"/>
      <c r="M337" s="23">
        <v>1</v>
      </c>
    </row>
    <row r="338" spans="2:13" ht="18">
      <c r="B338" s="35">
        <v>6</v>
      </c>
      <c r="C338" s="35">
        <v>41</v>
      </c>
      <c r="D338" s="35">
        <v>13</v>
      </c>
      <c r="E338" s="35">
        <v>10</v>
      </c>
      <c r="F338" s="35">
        <v>11</v>
      </c>
      <c r="G338" s="35">
        <v>2</v>
      </c>
      <c r="H338" s="35">
        <v>2</v>
      </c>
      <c r="I338" s="164"/>
      <c r="M338" s="23">
        <v>1</v>
      </c>
    </row>
    <row r="339" spans="2:13" ht="18">
      <c r="B339" s="35">
        <v>6</v>
      </c>
      <c r="C339" s="35">
        <v>41</v>
      </c>
      <c r="D339" s="35">
        <v>14</v>
      </c>
      <c r="E339" s="35">
        <v>12</v>
      </c>
      <c r="F339" s="35">
        <v>11</v>
      </c>
      <c r="G339" s="35">
        <v>3</v>
      </c>
      <c r="H339" s="35">
        <v>0</v>
      </c>
      <c r="I339" s="164"/>
      <c r="M339" s="23">
        <v>1</v>
      </c>
    </row>
    <row r="340" spans="2:13" ht="18">
      <c r="B340" s="35">
        <v>6</v>
      </c>
      <c r="C340" s="35">
        <v>41</v>
      </c>
      <c r="D340" s="35">
        <v>15</v>
      </c>
      <c r="E340" s="35">
        <v>9</v>
      </c>
      <c r="F340" s="35">
        <v>10</v>
      </c>
      <c r="G340" s="35">
        <v>3</v>
      </c>
      <c r="H340" s="35">
        <v>3</v>
      </c>
      <c r="I340" s="164"/>
      <c r="M340" s="23">
        <v>1</v>
      </c>
    </row>
    <row r="341" spans="2:13" ht="18">
      <c r="B341" s="35">
        <v>6</v>
      </c>
      <c r="C341" s="35">
        <v>20</v>
      </c>
      <c r="D341" s="35">
        <v>10</v>
      </c>
      <c r="E341" s="35">
        <v>3</v>
      </c>
      <c r="F341" s="35">
        <v>0</v>
      </c>
      <c r="G341" s="35">
        <v>1</v>
      </c>
      <c r="H341" s="35">
        <v>0</v>
      </c>
      <c r="I341" s="164"/>
      <c r="M341" s="23">
        <v>1</v>
      </c>
    </row>
    <row r="342" spans="2:13" ht="18">
      <c r="B342" s="35">
        <v>6</v>
      </c>
      <c r="C342" s="35">
        <v>39</v>
      </c>
      <c r="D342" s="35">
        <v>12</v>
      </c>
      <c r="E342" s="35">
        <v>0</v>
      </c>
      <c r="F342" s="35">
        <v>12</v>
      </c>
      <c r="G342" s="35">
        <v>0</v>
      </c>
      <c r="H342" s="35">
        <v>0</v>
      </c>
      <c r="I342" s="164"/>
      <c r="M342" s="23">
        <v>1</v>
      </c>
    </row>
    <row r="343" spans="2:13" ht="18">
      <c r="B343" s="35">
        <v>6</v>
      </c>
      <c r="C343" s="35">
        <v>39</v>
      </c>
      <c r="D343" s="35">
        <v>13</v>
      </c>
      <c r="E343" s="35">
        <v>2</v>
      </c>
      <c r="F343" s="35">
        <v>10</v>
      </c>
      <c r="G343" s="35">
        <v>0</v>
      </c>
      <c r="H343" s="35">
        <v>2</v>
      </c>
      <c r="I343" s="164"/>
      <c r="M343" s="23">
        <v>1</v>
      </c>
    </row>
    <row r="344" spans="2:13" ht="18">
      <c r="B344" s="35">
        <v>6</v>
      </c>
      <c r="C344" s="35">
        <v>19</v>
      </c>
      <c r="D344" s="35">
        <v>14</v>
      </c>
      <c r="E344" s="35">
        <v>1</v>
      </c>
      <c r="F344" s="35">
        <v>10</v>
      </c>
      <c r="G344" s="35">
        <v>3</v>
      </c>
      <c r="H344" s="35">
        <v>0</v>
      </c>
      <c r="I344" s="164"/>
      <c r="M344" s="23">
        <v>1</v>
      </c>
    </row>
    <row r="345" spans="2:13" ht="18">
      <c r="B345" s="35">
        <v>6</v>
      </c>
      <c r="C345" s="35">
        <v>38</v>
      </c>
      <c r="D345" s="35">
        <v>13</v>
      </c>
      <c r="E345" s="35">
        <v>10</v>
      </c>
      <c r="F345" s="35">
        <v>12</v>
      </c>
      <c r="G345" s="35">
        <v>0</v>
      </c>
      <c r="H345" s="35">
        <v>3</v>
      </c>
      <c r="I345" s="164"/>
      <c r="M345" s="23">
        <v>1</v>
      </c>
    </row>
    <row r="346" spans="2:13" ht="18">
      <c r="B346" s="35">
        <v>6</v>
      </c>
      <c r="C346" s="35">
        <v>38</v>
      </c>
      <c r="D346" s="35">
        <v>14</v>
      </c>
      <c r="E346" s="35">
        <v>8</v>
      </c>
      <c r="F346" s="35">
        <v>11</v>
      </c>
      <c r="G346" s="35">
        <v>0</v>
      </c>
      <c r="H346" s="35">
        <v>3</v>
      </c>
      <c r="I346" s="164"/>
      <c r="M346" s="23">
        <v>1</v>
      </c>
    </row>
    <row r="347" spans="2:13" ht="18">
      <c r="B347" s="35">
        <v>6</v>
      </c>
      <c r="C347" s="35">
        <v>38</v>
      </c>
      <c r="D347" s="35">
        <v>15</v>
      </c>
      <c r="E347" s="35">
        <v>0</v>
      </c>
      <c r="F347" s="35">
        <v>9</v>
      </c>
      <c r="G347" s="35">
        <v>0</v>
      </c>
      <c r="H347" s="35">
        <v>0</v>
      </c>
      <c r="I347" s="164"/>
      <c r="M347" s="23">
        <v>1</v>
      </c>
    </row>
    <row r="348" spans="2:13" ht="18">
      <c r="B348" s="35">
        <v>6</v>
      </c>
      <c r="C348" s="35">
        <v>31</v>
      </c>
      <c r="D348" s="35">
        <v>14</v>
      </c>
      <c r="E348" s="35">
        <v>3</v>
      </c>
      <c r="F348" s="35">
        <v>3</v>
      </c>
      <c r="G348" s="35">
        <v>4</v>
      </c>
      <c r="H348" s="35">
        <v>4</v>
      </c>
      <c r="I348" s="164"/>
      <c r="M348" s="23">
        <v>1</v>
      </c>
    </row>
    <row r="349" spans="2:13" ht="18">
      <c r="B349" s="35">
        <v>6</v>
      </c>
      <c r="C349" s="35">
        <v>14</v>
      </c>
      <c r="D349" s="35">
        <v>14</v>
      </c>
      <c r="E349" s="35">
        <v>14</v>
      </c>
      <c r="F349" s="35">
        <v>0</v>
      </c>
      <c r="G349" s="35">
        <v>4</v>
      </c>
      <c r="H349" s="35">
        <v>0</v>
      </c>
      <c r="I349" s="164"/>
      <c r="M349" s="23">
        <v>1</v>
      </c>
    </row>
    <row r="350" spans="2:13" ht="18">
      <c r="B350" s="35">
        <v>6</v>
      </c>
      <c r="C350" s="35">
        <v>14</v>
      </c>
      <c r="D350" s="35">
        <v>15</v>
      </c>
      <c r="E350" s="35">
        <v>5</v>
      </c>
      <c r="F350" s="35">
        <v>0</v>
      </c>
      <c r="G350" s="35">
        <v>2</v>
      </c>
      <c r="H350" s="35">
        <v>1</v>
      </c>
      <c r="I350" s="164"/>
      <c r="M350" s="23">
        <v>1</v>
      </c>
    </row>
    <row r="351" spans="2:13" ht="18">
      <c r="B351" s="35">
        <v>6</v>
      </c>
      <c r="C351" s="35">
        <v>37</v>
      </c>
      <c r="D351" s="35">
        <v>14</v>
      </c>
      <c r="E351" s="35">
        <v>0</v>
      </c>
      <c r="F351" s="35">
        <v>6</v>
      </c>
      <c r="G351" s="35">
        <v>0</v>
      </c>
      <c r="H351" s="35">
        <v>2</v>
      </c>
      <c r="I351" s="164"/>
      <c r="M351" s="23">
        <v>1</v>
      </c>
    </row>
    <row r="352" spans="2:13" ht="18">
      <c r="B352" s="35">
        <v>6</v>
      </c>
      <c r="C352" s="35">
        <v>40</v>
      </c>
      <c r="D352" s="35">
        <v>14</v>
      </c>
      <c r="E352" s="35">
        <v>7</v>
      </c>
      <c r="F352" s="35">
        <v>5</v>
      </c>
      <c r="G352" s="35">
        <v>0</v>
      </c>
      <c r="H352" s="35">
        <v>1</v>
      </c>
      <c r="I352" s="164"/>
      <c r="M352" s="23">
        <v>1</v>
      </c>
    </row>
    <row r="353" spans="2:13" ht="18">
      <c r="B353" s="35">
        <v>6</v>
      </c>
      <c r="C353" s="35">
        <v>40</v>
      </c>
      <c r="D353" s="35">
        <v>15</v>
      </c>
      <c r="E353" s="35">
        <v>1</v>
      </c>
      <c r="F353" s="35">
        <v>3</v>
      </c>
      <c r="G353" s="35">
        <v>0</v>
      </c>
      <c r="H353" s="35">
        <v>2</v>
      </c>
      <c r="I353" s="164"/>
      <c r="M353" s="23">
        <v>1</v>
      </c>
    </row>
    <row r="354" spans="2:13" ht="18">
      <c r="B354" s="35">
        <v>6</v>
      </c>
      <c r="C354" s="35">
        <v>19</v>
      </c>
      <c r="D354" s="35">
        <v>15</v>
      </c>
      <c r="E354" s="35">
        <v>15</v>
      </c>
      <c r="F354" s="35">
        <v>2</v>
      </c>
      <c r="G354" s="35">
        <v>9</v>
      </c>
      <c r="H354" s="35">
        <v>0</v>
      </c>
      <c r="I354" s="164"/>
      <c r="M354" s="23">
        <v>1</v>
      </c>
    </row>
    <row r="355" spans="2:13" ht="18">
      <c r="B355" s="35">
        <v>6</v>
      </c>
      <c r="C355" s="35">
        <v>19</v>
      </c>
      <c r="D355" s="35">
        <v>16</v>
      </c>
      <c r="E355" s="35">
        <v>11</v>
      </c>
      <c r="F355" s="35">
        <v>2</v>
      </c>
      <c r="G355" s="35">
        <v>0</v>
      </c>
      <c r="H355" s="35">
        <v>0</v>
      </c>
      <c r="I355" s="164"/>
      <c r="M355" s="23">
        <v>1</v>
      </c>
    </row>
    <row r="356" spans="2:13" ht="18">
      <c r="B356" s="35">
        <v>6</v>
      </c>
      <c r="C356" s="35">
        <v>17</v>
      </c>
      <c r="D356" s="35">
        <v>13</v>
      </c>
      <c r="E356" s="35">
        <v>17</v>
      </c>
      <c r="F356" s="35">
        <v>1</v>
      </c>
      <c r="G356" s="35">
        <v>7</v>
      </c>
      <c r="H356" s="35">
        <v>0</v>
      </c>
      <c r="I356" s="164"/>
      <c r="M356" s="23">
        <v>1</v>
      </c>
    </row>
    <row r="357" spans="2:13" ht="18">
      <c r="B357" s="35">
        <v>6</v>
      </c>
      <c r="C357" s="35">
        <v>17</v>
      </c>
      <c r="D357" s="35">
        <v>14</v>
      </c>
      <c r="E357" s="35">
        <v>15</v>
      </c>
      <c r="F357" s="35">
        <v>3</v>
      </c>
      <c r="G357" s="35">
        <v>7</v>
      </c>
      <c r="H357" s="35">
        <v>0</v>
      </c>
      <c r="I357" s="164"/>
      <c r="M357" s="23">
        <v>1</v>
      </c>
    </row>
    <row r="358" spans="2:13" ht="18">
      <c r="B358" s="35">
        <v>6</v>
      </c>
      <c r="C358" s="35">
        <v>17</v>
      </c>
      <c r="D358" s="35">
        <v>15</v>
      </c>
      <c r="E358" s="35">
        <v>18</v>
      </c>
      <c r="F358" s="35">
        <v>0</v>
      </c>
      <c r="G358" s="35">
        <v>6</v>
      </c>
      <c r="H358" s="35">
        <v>1</v>
      </c>
      <c r="I358" s="164"/>
      <c r="M358" s="23">
        <v>1</v>
      </c>
    </row>
    <row r="359" spans="2:13" ht="18">
      <c r="B359" s="35">
        <v>6</v>
      </c>
      <c r="C359" s="35">
        <v>36</v>
      </c>
      <c r="D359" s="35">
        <v>13</v>
      </c>
      <c r="E359" s="35">
        <v>13</v>
      </c>
      <c r="F359" s="35">
        <v>11</v>
      </c>
      <c r="G359" s="35">
        <v>0</v>
      </c>
      <c r="H359" s="35">
        <v>1</v>
      </c>
      <c r="I359" s="164"/>
      <c r="M359" s="23">
        <v>1</v>
      </c>
    </row>
    <row r="360" spans="2:13" ht="18">
      <c r="B360" s="35">
        <v>6</v>
      </c>
      <c r="C360" s="35">
        <v>36</v>
      </c>
      <c r="D360" s="35">
        <v>14</v>
      </c>
      <c r="E360" s="35">
        <v>11</v>
      </c>
      <c r="F360" s="35">
        <v>11</v>
      </c>
      <c r="G360" s="35">
        <v>1</v>
      </c>
      <c r="H360" s="35">
        <v>2</v>
      </c>
      <c r="I360" s="164"/>
      <c r="M360" s="23">
        <v>1</v>
      </c>
    </row>
    <row r="361" spans="2:13" ht="18">
      <c r="B361" s="35">
        <v>6</v>
      </c>
      <c r="C361" s="35">
        <v>36</v>
      </c>
      <c r="D361" s="35">
        <v>15</v>
      </c>
      <c r="E361" s="35">
        <v>10</v>
      </c>
      <c r="F361" s="35">
        <v>14</v>
      </c>
      <c r="G361" s="35">
        <v>0</v>
      </c>
      <c r="H361" s="35">
        <v>1</v>
      </c>
      <c r="I361" s="164"/>
      <c r="M361" s="23">
        <v>1</v>
      </c>
    </row>
    <row r="362" spans="2:13" ht="18">
      <c r="B362" s="35">
        <v>6</v>
      </c>
      <c r="C362" s="35">
        <v>15</v>
      </c>
      <c r="D362" s="35">
        <v>15</v>
      </c>
      <c r="E362" s="35">
        <v>3</v>
      </c>
      <c r="F362" s="35">
        <v>2</v>
      </c>
      <c r="G362" s="35">
        <v>3</v>
      </c>
      <c r="H362" s="35">
        <v>2</v>
      </c>
      <c r="I362" s="164"/>
      <c r="M362" s="23">
        <v>1</v>
      </c>
    </row>
    <row r="363" spans="2:13" ht="18">
      <c r="B363" s="35">
        <v>6</v>
      </c>
      <c r="C363" s="35">
        <v>15</v>
      </c>
      <c r="D363" s="35">
        <v>16</v>
      </c>
      <c r="E363" s="35">
        <v>2</v>
      </c>
      <c r="F363" s="35">
        <v>1</v>
      </c>
      <c r="G363" s="35">
        <v>2</v>
      </c>
      <c r="H363" s="35">
        <v>1</v>
      </c>
      <c r="I363" s="164"/>
      <c r="M363" s="23">
        <v>1</v>
      </c>
    </row>
    <row r="364" spans="2:13" ht="18">
      <c r="B364" s="35">
        <v>6</v>
      </c>
      <c r="C364" s="35">
        <v>27</v>
      </c>
      <c r="D364" s="35">
        <v>15</v>
      </c>
      <c r="E364" s="35">
        <v>1</v>
      </c>
      <c r="F364" s="35">
        <v>14</v>
      </c>
      <c r="G364" s="35">
        <v>1</v>
      </c>
      <c r="H364" s="35">
        <v>0</v>
      </c>
      <c r="I364" s="164"/>
      <c r="M364" s="23">
        <v>1</v>
      </c>
    </row>
    <row r="365" spans="2:13" ht="18">
      <c r="B365" s="35">
        <v>6</v>
      </c>
      <c r="C365" s="35">
        <v>27</v>
      </c>
      <c r="D365" s="35">
        <v>16</v>
      </c>
      <c r="E365" s="35">
        <v>1</v>
      </c>
      <c r="F365" s="35">
        <v>15</v>
      </c>
      <c r="G365" s="35">
        <v>2</v>
      </c>
      <c r="H365" s="35">
        <v>0</v>
      </c>
      <c r="I365" s="164"/>
      <c r="M365" s="23">
        <v>1</v>
      </c>
    </row>
    <row r="366" spans="2:13" ht="18">
      <c r="B366" s="35">
        <v>6</v>
      </c>
      <c r="C366" s="35">
        <v>27</v>
      </c>
      <c r="D366" s="35">
        <v>17</v>
      </c>
      <c r="E366" s="35">
        <v>3</v>
      </c>
      <c r="F366" s="35">
        <v>18</v>
      </c>
      <c r="G366" s="35">
        <v>1</v>
      </c>
      <c r="H366" s="35">
        <v>0</v>
      </c>
      <c r="I366" s="164"/>
      <c r="M366" s="23">
        <v>1</v>
      </c>
    </row>
    <row r="367" spans="2:13" ht="18">
      <c r="B367" s="35">
        <v>6</v>
      </c>
      <c r="C367" s="35">
        <v>27</v>
      </c>
      <c r="D367" s="35">
        <v>18</v>
      </c>
      <c r="E367" s="35">
        <v>2</v>
      </c>
      <c r="F367" s="35">
        <v>16</v>
      </c>
      <c r="G367" s="35">
        <v>1</v>
      </c>
      <c r="H367" s="35">
        <v>0</v>
      </c>
      <c r="I367" s="164"/>
      <c r="M367" s="23">
        <v>1</v>
      </c>
    </row>
    <row r="368" spans="2:13" ht="18">
      <c r="B368" s="35">
        <v>6</v>
      </c>
      <c r="C368" s="35">
        <v>33</v>
      </c>
      <c r="D368" s="35">
        <v>14</v>
      </c>
      <c r="E368" s="35">
        <v>0</v>
      </c>
      <c r="F368" s="35">
        <v>2</v>
      </c>
      <c r="G368" s="35">
        <v>0</v>
      </c>
      <c r="H368" s="35">
        <v>0</v>
      </c>
      <c r="I368" s="164"/>
      <c r="M368" s="23">
        <v>1</v>
      </c>
    </row>
    <row r="369" spans="2:13" ht="18">
      <c r="B369" s="35">
        <v>6</v>
      </c>
      <c r="C369" s="35">
        <v>43</v>
      </c>
      <c r="D369" s="35">
        <v>14</v>
      </c>
      <c r="E369" s="35">
        <v>4</v>
      </c>
      <c r="F369" s="35">
        <v>6</v>
      </c>
      <c r="G369" s="35">
        <v>1</v>
      </c>
      <c r="H369" s="35">
        <v>0</v>
      </c>
      <c r="I369" s="164"/>
      <c r="M369" s="23">
        <v>1</v>
      </c>
    </row>
    <row r="370" spans="2:13" ht="18">
      <c r="B370" s="35">
        <v>6</v>
      </c>
      <c r="C370" s="35">
        <v>43</v>
      </c>
      <c r="D370" s="35">
        <v>15</v>
      </c>
      <c r="E370" s="35">
        <v>2</v>
      </c>
      <c r="F370" s="35">
        <v>8</v>
      </c>
      <c r="G370" s="35">
        <v>3</v>
      </c>
      <c r="H370" s="35">
        <v>0</v>
      </c>
      <c r="I370" s="164"/>
      <c r="M370" s="23">
        <v>1</v>
      </c>
    </row>
    <row r="371" spans="2:13" ht="18">
      <c r="B371" s="35">
        <v>6</v>
      </c>
      <c r="C371" s="35">
        <v>43</v>
      </c>
      <c r="D371" s="35">
        <v>16</v>
      </c>
      <c r="E371" s="35">
        <v>15</v>
      </c>
      <c r="F371" s="35">
        <v>2</v>
      </c>
      <c r="G371" s="35">
        <v>2</v>
      </c>
      <c r="H371" s="35">
        <v>0</v>
      </c>
      <c r="I371" s="164"/>
      <c r="M371" s="23">
        <v>1</v>
      </c>
    </row>
    <row r="372" spans="2:13" ht="18">
      <c r="B372" s="35">
        <v>6</v>
      </c>
      <c r="C372" s="35">
        <v>43</v>
      </c>
      <c r="D372" s="35">
        <v>17</v>
      </c>
      <c r="E372" s="35">
        <v>6</v>
      </c>
      <c r="F372" s="35">
        <v>3</v>
      </c>
      <c r="G372" s="35">
        <v>1</v>
      </c>
      <c r="H372" s="35">
        <v>4</v>
      </c>
      <c r="I372" s="164"/>
      <c r="M372" s="23">
        <v>1</v>
      </c>
    </row>
    <row r="373" spans="2:13" ht="18">
      <c r="B373" s="35">
        <v>6</v>
      </c>
      <c r="C373" s="35">
        <v>43</v>
      </c>
      <c r="D373" s="35">
        <v>18</v>
      </c>
      <c r="E373" s="35">
        <v>10</v>
      </c>
      <c r="F373" s="35">
        <v>3</v>
      </c>
      <c r="G373" s="35">
        <v>0</v>
      </c>
      <c r="H373" s="35">
        <v>0</v>
      </c>
      <c r="I373" s="164"/>
      <c r="M373" s="23">
        <v>1</v>
      </c>
    </row>
    <row r="374" spans="2:13" ht="18">
      <c r="B374" s="35">
        <v>6</v>
      </c>
      <c r="C374" s="35">
        <v>43</v>
      </c>
      <c r="D374" s="35">
        <v>19</v>
      </c>
      <c r="E374" s="35">
        <v>4</v>
      </c>
      <c r="F374" s="35">
        <v>6</v>
      </c>
      <c r="G374" s="35">
        <v>4</v>
      </c>
      <c r="H374" s="35">
        <v>0</v>
      </c>
      <c r="I374" s="164"/>
      <c r="M374" s="23">
        <v>1</v>
      </c>
    </row>
    <row r="375" spans="2:13" ht="18">
      <c r="B375" s="35">
        <v>6</v>
      </c>
      <c r="C375" s="35">
        <v>43</v>
      </c>
      <c r="D375" s="35">
        <v>20</v>
      </c>
      <c r="E375" s="35">
        <v>7</v>
      </c>
      <c r="F375" s="35">
        <v>3</v>
      </c>
      <c r="G375" s="35">
        <v>1</v>
      </c>
      <c r="H375" s="35">
        <v>2</v>
      </c>
      <c r="I375" s="164"/>
      <c r="M375" s="23">
        <v>1</v>
      </c>
    </row>
    <row r="376" spans="2:13" ht="18">
      <c r="B376" s="35">
        <v>6</v>
      </c>
      <c r="C376" s="35">
        <v>25</v>
      </c>
      <c r="D376" s="35">
        <v>16</v>
      </c>
      <c r="E376" s="35">
        <v>6</v>
      </c>
      <c r="F376" s="35">
        <v>3</v>
      </c>
      <c r="G376" s="35">
        <v>3</v>
      </c>
      <c r="H376" s="35">
        <v>3</v>
      </c>
      <c r="I376" s="164"/>
      <c r="M376" s="23">
        <v>1</v>
      </c>
    </row>
    <row r="377" spans="2:13" ht="18">
      <c r="B377" s="35">
        <v>6</v>
      </c>
      <c r="C377" s="35">
        <v>13</v>
      </c>
      <c r="D377" s="35">
        <v>15</v>
      </c>
      <c r="E377" s="35">
        <v>4</v>
      </c>
      <c r="F377" s="35">
        <v>3</v>
      </c>
      <c r="G377" s="35">
        <v>1</v>
      </c>
      <c r="H377" s="35">
        <v>3</v>
      </c>
      <c r="I377" s="164"/>
      <c r="M377" s="23">
        <v>1</v>
      </c>
    </row>
    <row r="378" spans="2:13" ht="18">
      <c r="B378" s="35">
        <v>6</v>
      </c>
      <c r="C378" s="35">
        <v>23</v>
      </c>
      <c r="D378" s="35">
        <v>15</v>
      </c>
      <c r="E378" s="35">
        <v>12</v>
      </c>
      <c r="F378" s="35">
        <v>7</v>
      </c>
      <c r="G378" s="35">
        <v>1</v>
      </c>
      <c r="H378" s="35">
        <v>2</v>
      </c>
      <c r="I378" s="164"/>
      <c r="M378" s="23">
        <v>1</v>
      </c>
    </row>
    <row r="379" spans="2:13" ht="18">
      <c r="B379" s="35">
        <v>6</v>
      </c>
      <c r="C379" s="35">
        <v>18</v>
      </c>
      <c r="D379" s="35">
        <v>15</v>
      </c>
      <c r="E379" s="35">
        <v>8</v>
      </c>
      <c r="F379" s="35">
        <v>0</v>
      </c>
      <c r="G379" s="35">
        <v>5</v>
      </c>
      <c r="H379" s="35">
        <v>4</v>
      </c>
      <c r="I379" s="164"/>
      <c r="M379" s="23">
        <v>1</v>
      </c>
    </row>
    <row r="380" spans="2:13" ht="18">
      <c r="B380" s="35">
        <v>6</v>
      </c>
      <c r="C380" s="35">
        <v>16</v>
      </c>
      <c r="D380" s="35">
        <v>15</v>
      </c>
      <c r="E380" s="35">
        <v>14</v>
      </c>
      <c r="F380" s="35">
        <v>4</v>
      </c>
      <c r="G380" s="35">
        <v>7</v>
      </c>
      <c r="H380" s="35">
        <v>0</v>
      </c>
      <c r="I380" s="164"/>
      <c r="M380" s="23">
        <v>1</v>
      </c>
    </row>
    <row r="381" spans="2:13" ht="18">
      <c r="B381" s="35">
        <v>6</v>
      </c>
      <c r="C381" s="35">
        <v>34</v>
      </c>
      <c r="D381" s="35">
        <v>13</v>
      </c>
      <c r="E381" s="35">
        <v>4</v>
      </c>
      <c r="F381" s="35">
        <v>7</v>
      </c>
      <c r="G381" s="35">
        <v>0</v>
      </c>
      <c r="H381" s="35">
        <v>1</v>
      </c>
      <c r="I381" s="164"/>
      <c r="M381" s="23">
        <v>1</v>
      </c>
    </row>
    <row r="382" spans="2:13" ht="18">
      <c r="B382" s="35">
        <v>6</v>
      </c>
      <c r="C382" s="35">
        <v>34</v>
      </c>
      <c r="D382" s="35">
        <v>14</v>
      </c>
      <c r="E382" s="35">
        <v>12</v>
      </c>
      <c r="F382" s="35">
        <v>10</v>
      </c>
      <c r="G382" s="35">
        <v>0</v>
      </c>
      <c r="H382" s="35">
        <v>4</v>
      </c>
      <c r="I382" s="164"/>
      <c r="M382" s="23">
        <v>1</v>
      </c>
    </row>
    <row r="383" spans="2:13" ht="18">
      <c r="B383" s="35">
        <v>6</v>
      </c>
      <c r="C383" s="35">
        <v>34</v>
      </c>
      <c r="D383" s="35">
        <v>15</v>
      </c>
      <c r="E383" s="35">
        <v>8</v>
      </c>
      <c r="F383" s="35">
        <v>3</v>
      </c>
      <c r="G383" s="35">
        <v>1</v>
      </c>
      <c r="H383" s="35">
        <v>0</v>
      </c>
      <c r="I383" s="164"/>
      <c r="M383" s="23">
        <v>1</v>
      </c>
    </row>
    <row r="384" spans="2:13" ht="18">
      <c r="B384" s="35">
        <v>6</v>
      </c>
      <c r="C384" s="35">
        <v>35</v>
      </c>
      <c r="D384" s="35">
        <v>15</v>
      </c>
      <c r="E384" s="35">
        <v>7</v>
      </c>
      <c r="F384" s="35">
        <v>5</v>
      </c>
      <c r="G384" s="35">
        <v>2</v>
      </c>
      <c r="H384" s="35">
        <v>2</v>
      </c>
      <c r="I384" s="164"/>
      <c r="M384" s="23">
        <v>1</v>
      </c>
    </row>
    <row r="385" spans="2:13" ht="18">
      <c r="B385" s="35">
        <v>6</v>
      </c>
      <c r="C385" s="35">
        <v>35</v>
      </c>
      <c r="D385" s="35">
        <v>16</v>
      </c>
      <c r="E385" s="35">
        <v>4</v>
      </c>
      <c r="F385" s="35">
        <v>2</v>
      </c>
      <c r="G385" s="35">
        <v>1</v>
      </c>
      <c r="H385" s="35">
        <v>0</v>
      </c>
      <c r="I385" s="164"/>
      <c r="M385" s="23">
        <v>1</v>
      </c>
    </row>
    <row r="386" spans="2:13" ht="18">
      <c r="B386" s="35">
        <v>6</v>
      </c>
      <c r="C386" s="35">
        <v>42</v>
      </c>
      <c r="D386" s="35">
        <v>15</v>
      </c>
      <c r="E386" s="35">
        <v>11</v>
      </c>
      <c r="F386" s="35">
        <v>12</v>
      </c>
      <c r="G386" s="35">
        <v>0</v>
      </c>
      <c r="H386" s="35">
        <v>2</v>
      </c>
      <c r="I386" s="164"/>
      <c r="M386" s="23">
        <v>1</v>
      </c>
    </row>
    <row r="387" spans="2:13" ht="18">
      <c r="B387" s="35">
        <v>6</v>
      </c>
      <c r="C387" s="35">
        <v>42</v>
      </c>
      <c r="D387" s="35">
        <v>16</v>
      </c>
      <c r="E387" s="35">
        <v>2</v>
      </c>
      <c r="F387" s="35">
        <v>8</v>
      </c>
      <c r="G387" s="35">
        <v>7</v>
      </c>
      <c r="H387" s="35">
        <v>8</v>
      </c>
      <c r="I387" s="164"/>
      <c r="M387" s="23">
        <v>1</v>
      </c>
    </row>
    <row r="388" spans="2:13" ht="18">
      <c r="B388" s="35">
        <v>6</v>
      </c>
      <c r="C388" s="35">
        <v>42</v>
      </c>
      <c r="D388" s="35">
        <v>17</v>
      </c>
      <c r="E388" s="35">
        <v>8</v>
      </c>
      <c r="F388" s="35">
        <v>10</v>
      </c>
      <c r="G388" s="35">
        <v>6</v>
      </c>
      <c r="H388" s="35">
        <v>1</v>
      </c>
      <c r="I388" s="164"/>
      <c r="M388" s="23">
        <v>1</v>
      </c>
    </row>
    <row r="389" spans="2:13" ht="18">
      <c r="B389" s="35">
        <v>6</v>
      </c>
      <c r="C389" s="35">
        <v>12</v>
      </c>
      <c r="D389" s="35">
        <v>16</v>
      </c>
      <c r="E389" s="35">
        <v>7</v>
      </c>
      <c r="F389" s="35">
        <v>6</v>
      </c>
      <c r="G389" s="35">
        <v>1</v>
      </c>
      <c r="H389" s="35">
        <v>0</v>
      </c>
      <c r="I389" s="164"/>
      <c r="M389" s="23">
        <v>1</v>
      </c>
    </row>
    <row r="390" spans="2:13" ht="18">
      <c r="B390" s="35">
        <v>6</v>
      </c>
      <c r="C390" s="35">
        <v>26</v>
      </c>
      <c r="D390" s="35">
        <v>14</v>
      </c>
      <c r="E390" s="35">
        <v>8</v>
      </c>
      <c r="F390" s="35">
        <v>2</v>
      </c>
      <c r="G390" s="35">
        <v>1</v>
      </c>
      <c r="H390" s="35">
        <v>0</v>
      </c>
      <c r="I390" s="164"/>
      <c r="M390" s="23">
        <v>1</v>
      </c>
    </row>
    <row r="391" spans="2:13" ht="18">
      <c r="B391" s="35">
        <v>6</v>
      </c>
      <c r="C391" s="35">
        <v>26</v>
      </c>
      <c r="D391" s="35">
        <v>15</v>
      </c>
      <c r="E391" s="35">
        <v>9</v>
      </c>
      <c r="F391" s="35">
        <v>3</v>
      </c>
      <c r="G391" s="35">
        <v>4</v>
      </c>
      <c r="H391" s="35">
        <v>3</v>
      </c>
      <c r="I391" s="164"/>
      <c r="M391" s="23">
        <v>1</v>
      </c>
    </row>
    <row r="392" spans="2:13" ht="18">
      <c r="B392" s="35">
        <v>6</v>
      </c>
      <c r="C392" s="35">
        <v>28</v>
      </c>
      <c r="D392" s="35">
        <v>12</v>
      </c>
      <c r="E392" s="35">
        <v>3</v>
      </c>
      <c r="F392" s="35">
        <v>3</v>
      </c>
      <c r="G392" s="35">
        <v>4</v>
      </c>
      <c r="H392" s="35">
        <v>1</v>
      </c>
      <c r="I392" s="164"/>
      <c r="M392" s="23">
        <v>1</v>
      </c>
    </row>
    <row r="393" spans="2:13" ht="18">
      <c r="B393" s="35">
        <v>6</v>
      </c>
      <c r="C393" s="35">
        <v>28</v>
      </c>
      <c r="D393" s="35">
        <v>13</v>
      </c>
      <c r="E393" s="35">
        <v>2</v>
      </c>
      <c r="F393" s="35">
        <v>4</v>
      </c>
      <c r="G393" s="35">
        <v>2</v>
      </c>
      <c r="H393" s="35">
        <v>0</v>
      </c>
      <c r="I393" s="164"/>
      <c r="M393" s="23">
        <v>1</v>
      </c>
    </row>
    <row r="394" spans="2:13" ht="18">
      <c r="B394" s="35">
        <v>6</v>
      </c>
      <c r="C394" s="35">
        <v>28</v>
      </c>
      <c r="D394" s="35">
        <v>14</v>
      </c>
      <c r="E394" s="35">
        <v>4</v>
      </c>
      <c r="F394" s="35">
        <v>7</v>
      </c>
      <c r="G394" s="35">
        <v>5</v>
      </c>
      <c r="H394" s="35">
        <v>0</v>
      </c>
      <c r="I394" s="164"/>
      <c r="M394" s="23">
        <v>1</v>
      </c>
    </row>
    <row r="395" spans="2:13" ht="18">
      <c r="B395" s="35">
        <v>6</v>
      </c>
      <c r="C395" s="35">
        <v>28</v>
      </c>
      <c r="D395" s="35">
        <v>15</v>
      </c>
      <c r="E395" s="35">
        <v>3</v>
      </c>
      <c r="F395" s="35">
        <v>2</v>
      </c>
      <c r="G395" s="35">
        <v>1</v>
      </c>
      <c r="H395" s="35">
        <v>1</v>
      </c>
      <c r="I395" s="164"/>
      <c r="M395" s="23">
        <v>1</v>
      </c>
    </row>
    <row r="396" spans="2:13" ht="18">
      <c r="B396" s="35">
        <v>6</v>
      </c>
      <c r="C396" s="35">
        <v>28</v>
      </c>
      <c r="D396" s="35">
        <v>16</v>
      </c>
      <c r="E396" s="35">
        <v>2</v>
      </c>
      <c r="F396" s="35">
        <v>2</v>
      </c>
      <c r="G396" s="35">
        <v>2</v>
      </c>
      <c r="H396" s="35">
        <v>1</v>
      </c>
      <c r="I396" s="164"/>
      <c r="M396" s="23">
        <v>1</v>
      </c>
    </row>
    <row r="397" spans="2:13" ht="18">
      <c r="B397" s="35">
        <v>6</v>
      </c>
      <c r="C397" s="35">
        <v>28</v>
      </c>
      <c r="D397" s="35">
        <v>17</v>
      </c>
      <c r="E397" s="35">
        <v>3</v>
      </c>
      <c r="F397" s="35">
        <v>3</v>
      </c>
      <c r="G397" s="35">
        <v>2</v>
      </c>
      <c r="H397" s="35">
        <v>1</v>
      </c>
      <c r="I397" s="164"/>
      <c r="M397" s="23">
        <v>1</v>
      </c>
    </row>
    <row r="398" spans="2:13" ht="18">
      <c r="B398" s="35">
        <v>6</v>
      </c>
      <c r="C398" s="35">
        <v>40</v>
      </c>
      <c r="D398" s="35">
        <v>16</v>
      </c>
      <c r="E398" s="35">
        <v>7</v>
      </c>
      <c r="F398" s="35">
        <v>7</v>
      </c>
      <c r="G398" s="35">
        <v>0</v>
      </c>
      <c r="H398" s="35">
        <v>5</v>
      </c>
      <c r="I398" s="164"/>
      <c r="M398" s="23">
        <v>1</v>
      </c>
    </row>
    <row r="399" spans="2:13" ht="18">
      <c r="B399" s="35">
        <v>6</v>
      </c>
      <c r="C399" s="35">
        <v>41</v>
      </c>
      <c r="D399" s="35">
        <v>16</v>
      </c>
      <c r="E399" s="35">
        <v>9</v>
      </c>
      <c r="F399" s="35">
        <v>7</v>
      </c>
      <c r="G399" s="35">
        <v>8</v>
      </c>
      <c r="H399" s="35">
        <v>1</v>
      </c>
      <c r="I399" s="164"/>
      <c r="M399" s="23">
        <v>1</v>
      </c>
    </row>
    <row r="400" spans="2:13" ht="18">
      <c r="B400" s="35">
        <v>6</v>
      </c>
      <c r="C400" s="35">
        <v>41</v>
      </c>
      <c r="D400" s="35">
        <v>17</v>
      </c>
      <c r="E400" s="35">
        <v>8</v>
      </c>
      <c r="F400" s="35">
        <v>12</v>
      </c>
      <c r="G400" s="35">
        <v>6</v>
      </c>
      <c r="H400" s="35">
        <v>2</v>
      </c>
      <c r="I400" s="164"/>
      <c r="M400" s="23">
        <v>1</v>
      </c>
    </row>
    <row r="401" spans="2:13" ht="18">
      <c r="B401" s="35">
        <v>6</v>
      </c>
      <c r="C401" s="35">
        <v>39</v>
      </c>
      <c r="D401" s="35">
        <v>16</v>
      </c>
      <c r="E401" s="35">
        <v>2</v>
      </c>
      <c r="F401" s="35">
        <v>13</v>
      </c>
      <c r="G401" s="35">
        <v>0</v>
      </c>
      <c r="H401" s="35">
        <v>0</v>
      </c>
      <c r="I401" s="164"/>
      <c r="M401" s="23">
        <v>1</v>
      </c>
    </row>
    <row r="402" spans="2:13" ht="18">
      <c r="B402" s="35">
        <v>6</v>
      </c>
      <c r="C402" s="35">
        <v>39</v>
      </c>
      <c r="D402" s="35">
        <v>17</v>
      </c>
      <c r="E402" s="35">
        <v>4</v>
      </c>
      <c r="F402" s="35">
        <v>11</v>
      </c>
      <c r="G402" s="35">
        <v>0</v>
      </c>
      <c r="H402" s="35">
        <v>0</v>
      </c>
      <c r="I402" s="164"/>
      <c r="M402" s="23">
        <v>1</v>
      </c>
    </row>
    <row r="403" spans="2:13" ht="18">
      <c r="B403" s="35">
        <v>6</v>
      </c>
      <c r="C403" s="35">
        <v>17</v>
      </c>
      <c r="D403" s="35">
        <v>16</v>
      </c>
      <c r="E403" s="35">
        <v>12</v>
      </c>
      <c r="F403" s="35">
        <v>3</v>
      </c>
      <c r="G403" s="35">
        <v>9</v>
      </c>
      <c r="H403" s="35">
        <v>1</v>
      </c>
      <c r="I403" s="164"/>
      <c r="M403" s="23">
        <v>1</v>
      </c>
    </row>
    <row r="404" spans="2:13" ht="18">
      <c r="B404" s="35"/>
      <c r="C404" s="35"/>
      <c r="D404" s="35"/>
      <c r="E404" s="35"/>
      <c r="F404" s="35"/>
      <c r="G404" s="35"/>
      <c r="H404" s="35"/>
      <c r="I404" s="164"/>
      <c r="M404" s="23">
        <v>1</v>
      </c>
    </row>
    <row r="405" spans="2:13" ht="18">
      <c r="B405" s="35"/>
      <c r="C405" s="35"/>
      <c r="D405" s="35"/>
      <c r="E405" s="35"/>
      <c r="F405" s="35"/>
      <c r="G405" s="35"/>
      <c r="H405" s="35"/>
      <c r="I405" s="164"/>
      <c r="M405" s="23">
        <v>1</v>
      </c>
    </row>
    <row r="406" spans="2:13" ht="18">
      <c r="B406" s="35"/>
      <c r="C406" s="35"/>
      <c r="D406" s="35"/>
      <c r="E406" s="35"/>
      <c r="F406" s="35"/>
      <c r="G406" s="35"/>
      <c r="H406" s="35"/>
      <c r="I406" s="164"/>
      <c r="M406" s="23">
        <v>1</v>
      </c>
    </row>
    <row r="407" spans="2:13" ht="18">
      <c r="B407" s="35"/>
      <c r="C407" s="35"/>
      <c r="D407" s="35"/>
      <c r="E407" s="35"/>
      <c r="F407" s="35"/>
      <c r="G407" s="35"/>
      <c r="H407" s="35"/>
      <c r="I407" s="164"/>
      <c r="M407" s="23">
        <v>1</v>
      </c>
    </row>
    <row r="408" spans="2:13" ht="18">
      <c r="B408" s="35"/>
      <c r="C408" s="35"/>
      <c r="D408" s="35"/>
      <c r="E408" s="35"/>
      <c r="F408" s="35"/>
      <c r="G408" s="35"/>
      <c r="H408" s="35"/>
      <c r="I408" s="164"/>
      <c r="M408" s="23">
        <v>1</v>
      </c>
    </row>
    <row r="409" spans="2:13" ht="18">
      <c r="B409" s="35"/>
      <c r="C409" s="35"/>
      <c r="D409" s="35"/>
      <c r="E409" s="35"/>
      <c r="F409" s="35"/>
      <c r="G409" s="35"/>
      <c r="H409" s="35"/>
      <c r="I409" s="164"/>
      <c r="M409" s="23">
        <v>1</v>
      </c>
    </row>
    <row r="410" spans="2:13" ht="18">
      <c r="B410" s="35"/>
      <c r="C410" s="35"/>
      <c r="D410" s="35"/>
      <c r="E410" s="35"/>
      <c r="F410" s="35"/>
      <c r="G410" s="35"/>
      <c r="H410" s="35"/>
      <c r="I410" s="164"/>
      <c r="M410" s="23">
        <v>1</v>
      </c>
    </row>
    <row r="411" spans="2:13" ht="18">
      <c r="B411" s="35"/>
      <c r="C411" s="35"/>
      <c r="D411" s="35"/>
      <c r="E411" s="35"/>
      <c r="F411" s="35"/>
      <c r="G411" s="35"/>
      <c r="H411" s="35"/>
      <c r="I411" s="164"/>
      <c r="M411" s="23">
        <v>1</v>
      </c>
    </row>
    <row r="412" spans="2:13" ht="18">
      <c r="B412" s="35"/>
      <c r="C412" s="35"/>
      <c r="D412" s="35"/>
      <c r="E412" s="35"/>
      <c r="F412" s="35"/>
      <c r="G412" s="35"/>
      <c r="H412" s="35"/>
      <c r="I412" s="164"/>
      <c r="M412" s="23">
        <v>1</v>
      </c>
    </row>
    <row r="413" spans="2:13" ht="18">
      <c r="B413" s="35"/>
      <c r="C413" s="35"/>
      <c r="D413" s="35"/>
      <c r="E413" s="35"/>
      <c r="F413" s="35"/>
      <c r="G413" s="35"/>
      <c r="H413" s="35"/>
      <c r="I413" s="164"/>
      <c r="M413" s="23">
        <v>1</v>
      </c>
    </row>
    <row r="414" spans="2:13" ht="18">
      <c r="B414" s="35"/>
      <c r="C414" s="35"/>
      <c r="D414" s="35"/>
      <c r="E414" s="35"/>
      <c r="F414" s="35"/>
      <c r="G414" s="35"/>
      <c r="H414" s="35"/>
      <c r="I414" s="164"/>
      <c r="M414" s="23">
        <v>1</v>
      </c>
    </row>
    <row r="415" spans="2:13" ht="18">
      <c r="B415" s="35"/>
      <c r="C415" s="35"/>
      <c r="D415" s="35"/>
      <c r="E415" s="35"/>
      <c r="F415" s="35"/>
      <c r="G415" s="35"/>
      <c r="H415" s="35"/>
      <c r="I415" s="164"/>
      <c r="M415" s="23">
        <v>1</v>
      </c>
    </row>
    <row r="416" spans="2:13" ht="18">
      <c r="B416" s="35"/>
      <c r="C416" s="35"/>
      <c r="D416" s="35"/>
      <c r="E416" s="35"/>
      <c r="F416" s="35"/>
      <c r="G416" s="35"/>
      <c r="H416" s="35"/>
      <c r="I416" s="164"/>
      <c r="M416" s="23">
        <v>1</v>
      </c>
    </row>
    <row r="417" spans="2:13" ht="18">
      <c r="B417" s="35"/>
      <c r="C417" s="35"/>
      <c r="D417" s="35"/>
      <c r="E417" s="35"/>
      <c r="F417" s="35"/>
      <c r="G417" s="35"/>
      <c r="H417" s="35"/>
      <c r="I417" s="164"/>
      <c r="M417" s="23">
        <v>1</v>
      </c>
    </row>
    <row r="418" spans="2:13" ht="18">
      <c r="B418" s="35"/>
      <c r="C418" s="35"/>
      <c r="D418" s="35"/>
      <c r="E418" s="35"/>
      <c r="F418" s="35"/>
      <c r="G418" s="35"/>
      <c r="H418" s="35"/>
      <c r="I418" s="164"/>
      <c r="M418" s="23">
        <v>1</v>
      </c>
    </row>
    <row r="419" spans="2:13" ht="18">
      <c r="B419" s="35"/>
      <c r="C419" s="35"/>
      <c r="D419" s="35"/>
      <c r="E419" s="35"/>
      <c r="F419" s="35"/>
      <c r="G419" s="35"/>
      <c r="H419" s="35"/>
      <c r="I419" s="164"/>
      <c r="M419" s="23">
        <v>1</v>
      </c>
    </row>
    <row r="420" spans="2:13" ht="18">
      <c r="B420" s="35"/>
      <c r="C420" s="35"/>
      <c r="D420" s="35"/>
      <c r="E420" s="35"/>
      <c r="F420" s="35"/>
      <c r="G420" s="35"/>
      <c r="H420" s="35"/>
      <c r="I420" s="164"/>
      <c r="M420" s="23">
        <v>1</v>
      </c>
    </row>
    <row r="421" spans="2:13" ht="18">
      <c r="B421" s="35"/>
      <c r="C421" s="35"/>
      <c r="D421" s="35"/>
      <c r="E421" s="35"/>
      <c r="F421" s="35"/>
      <c r="G421" s="35"/>
      <c r="H421" s="35"/>
      <c r="I421" s="164"/>
      <c r="M421" s="23">
        <v>1</v>
      </c>
    </row>
    <row r="422" spans="2:13" ht="18">
      <c r="B422" s="35"/>
      <c r="C422" s="35"/>
      <c r="D422" s="35"/>
      <c r="E422" s="35"/>
      <c r="F422" s="35"/>
      <c r="G422" s="35"/>
      <c r="H422" s="35"/>
      <c r="I422" s="164"/>
      <c r="M422" s="23">
        <v>1</v>
      </c>
    </row>
    <row r="423" spans="2:13" ht="18">
      <c r="B423" s="35"/>
      <c r="C423" s="35"/>
      <c r="D423" s="35"/>
      <c r="E423" s="35"/>
      <c r="F423" s="35"/>
      <c r="G423" s="35"/>
      <c r="H423" s="35"/>
      <c r="I423" s="164"/>
      <c r="M423" s="23">
        <v>1</v>
      </c>
    </row>
    <row r="424" spans="2:13" ht="18">
      <c r="B424" s="35"/>
      <c r="C424" s="35"/>
      <c r="D424" s="35"/>
      <c r="E424" s="35"/>
      <c r="F424" s="35"/>
      <c r="G424" s="35"/>
      <c r="H424" s="35"/>
      <c r="I424" s="164"/>
      <c r="M424" s="23">
        <v>1</v>
      </c>
    </row>
    <row r="425" spans="2:13" ht="18">
      <c r="B425" s="35"/>
      <c r="C425" s="35"/>
      <c r="D425" s="35"/>
      <c r="E425" s="35"/>
      <c r="F425" s="35"/>
      <c r="G425" s="35"/>
      <c r="H425" s="35"/>
      <c r="I425" s="164"/>
      <c r="M425" s="23">
        <v>1</v>
      </c>
    </row>
    <row r="426" spans="2:13" ht="18">
      <c r="B426" s="35"/>
      <c r="C426" s="35"/>
      <c r="D426" s="35"/>
      <c r="E426" s="35"/>
      <c r="F426" s="35"/>
      <c r="G426" s="35"/>
      <c r="H426" s="35"/>
      <c r="I426" s="164"/>
      <c r="M426" s="23">
        <v>1</v>
      </c>
    </row>
    <row r="427" spans="2:13" ht="18">
      <c r="B427" s="35"/>
      <c r="C427" s="35"/>
      <c r="D427" s="35"/>
      <c r="E427" s="35"/>
      <c r="F427" s="35"/>
      <c r="G427" s="35"/>
      <c r="H427" s="35"/>
      <c r="I427" s="164"/>
      <c r="M427" s="23">
        <v>1</v>
      </c>
    </row>
    <row r="428" spans="2:13" ht="18">
      <c r="B428" s="35"/>
      <c r="C428" s="35"/>
      <c r="D428" s="35"/>
      <c r="E428" s="35"/>
      <c r="F428" s="35"/>
      <c r="G428" s="35"/>
      <c r="H428" s="35"/>
      <c r="I428" s="164"/>
      <c r="M428" s="23">
        <v>1</v>
      </c>
    </row>
    <row r="429" spans="2:13" ht="18">
      <c r="B429" s="35"/>
      <c r="C429" s="35"/>
      <c r="D429" s="35"/>
      <c r="E429" s="35"/>
      <c r="F429" s="35"/>
      <c r="G429" s="35"/>
      <c r="H429" s="35"/>
      <c r="I429" s="164"/>
      <c r="M429" s="23">
        <v>1</v>
      </c>
    </row>
    <row r="430" spans="2:13" ht="18">
      <c r="B430" s="35"/>
      <c r="C430" s="35"/>
      <c r="D430" s="35"/>
      <c r="E430" s="35"/>
      <c r="F430" s="35"/>
      <c r="G430" s="35"/>
      <c r="H430" s="35"/>
      <c r="I430" s="164"/>
      <c r="M430" s="23">
        <v>1</v>
      </c>
    </row>
    <row r="431" spans="2:13" ht="18">
      <c r="B431" s="35"/>
      <c r="C431" s="35"/>
      <c r="D431" s="35"/>
      <c r="E431" s="35"/>
      <c r="F431" s="35"/>
      <c r="G431" s="35"/>
      <c r="H431" s="35"/>
      <c r="I431" s="164"/>
      <c r="M431" s="23">
        <v>1</v>
      </c>
    </row>
    <row r="432" spans="2:13" ht="18">
      <c r="B432" s="35"/>
      <c r="C432" s="35"/>
      <c r="D432" s="35"/>
      <c r="E432" s="35"/>
      <c r="F432" s="35"/>
      <c r="G432" s="35"/>
      <c r="H432" s="35"/>
      <c r="I432" s="164"/>
      <c r="M432" s="23">
        <v>1</v>
      </c>
    </row>
    <row r="433" spans="2:13" ht="18">
      <c r="B433" s="35"/>
      <c r="C433" s="35"/>
      <c r="D433" s="35"/>
      <c r="E433" s="35"/>
      <c r="F433" s="35"/>
      <c r="G433" s="35"/>
      <c r="H433" s="35"/>
      <c r="I433" s="164"/>
      <c r="M433" s="23">
        <v>1</v>
      </c>
    </row>
    <row r="434" spans="2:13" ht="18">
      <c r="B434" s="35"/>
      <c r="C434" s="35"/>
      <c r="D434" s="35"/>
      <c r="E434" s="35"/>
      <c r="F434" s="35"/>
      <c r="G434" s="35"/>
      <c r="H434" s="35"/>
      <c r="I434" s="164"/>
      <c r="M434" s="23">
        <v>1</v>
      </c>
    </row>
    <row r="435" spans="2:13" ht="18">
      <c r="B435" s="35"/>
      <c r="C435" s="35"/>
      <c r="D435" s="35"/>
      <c r="E435" s="35"/>
      <c r="F435" s="35"/>
      <c r="G435" s="35"/>
      <c r="H435" s="35"/>
      <c r="I435" s="164"/>
      <c r="M435" s="23">
        <v>1</v>
      </c>
    </row>
    <row r="436" spans="2:13" ht="18">
      <c r="B436" s="35"/>
      <c r="C436" s="35"/>
      <c r="D436" s="35"/>
      <c r="E436" s="35"/>
      <c r="F436" s="35"/>
      <c r="G436" s="35"/>
      <c r="H436" s="35"/>
      <c r="I436" s="164"/>
      <c r="M436" s="23">
        <v>1</v>
      </c>
    </row>
    <row r="437" spans="2:13" ht="18">
      <c r="B437" s="35"/>
      <c r="C437" s="35"/>
      <c r="D437" s="35"/>
      <c r="E437" s="35"/>
      <c r="F437" s="35"/>
      <c r="G437" s="35"/>
      <c r="H437" s="35"/>
      <c r="I437" s="164"/>
      <c r="M437" s="23">
        <v>1</v>
      </c>
    </row>
    <row r="438" spans="2:13" ht="18">
      <c r="B438" s="35"/>
      <c r="C438" s="35"/>
      <c r="D438" s="35"/>
      <c r="E438" s="35"/>
      <c r="F438" s="35"/>
      <c r="G438" s="35"/>
      <c r="H438" s="35"/>
      <c r="I438" s="164"/>
      <c r="M438" s="23">
        <v>1</v>
      </c>
    </row>
    <row r="439" spans="2:13" ht="18">
      <c r="B439" s="35"/>
      <c r="C439" s="35"/>
      <c r="D439" s="35"/>
      <c r="E439" s="35"/>
      <c r="F439" s="35"/>
      <c r="G439" s="35"/>
      <c r="H439" s="35"/>
      <c r="I439" s="164"/>
      <c r="M439" s="23">
        <v>1</v>
      </c>
    </row>
    <row r="440" spans="2:13" ht="18">
      <c r="B440" s="35"/>
      <c r="C440" s="35"/>
      <c r="D440" s="35"/>
      <c r="E440" s="35"/>
      <c r="F440" s="35"/>
      <c r="G440" s="35"/>
      <c r="H440" s="35"/>
      <c r="I440" s="164"/>
      <c r="M440" s="23">
        <v>1</v>
      </c>
    </row>
    <row r="441" spans="2:13" ht="18">
      <c r="B441" s="35"/>
      <c r="C441" s="35"/>
      <c r="D441" s="35"/>
      <c r="E441" s="35"/>
      <c r="F441" s="35"/>
      <c r="G441" s="35"/>
      <c r="H441" s="35"/>
      <c r="I441" s="164"/>
      <c r="M441" s="23">
        <v>1</v>
      </c>
    </row>
    <row r="442" spans="2:13" ht="18">
      <c r="B442" s="35"/>
      <c r="C442" s="35"/>
      <c r="D442" s="35"/>
      <c r="E442" s="35"/>
      <c r="F442" s="35"/>
      <c r="G442" s="35"/>
      <c r="H442" s="35"/>
      <c r="I442" s="164"/>
      <c r="M442" s="23">
        <v>1</v>
      </c>
    </row>
    <row r="443" spans="2:13" ht="18">
      <c r="B443" s="35"/>
      <c r="C443" s="35"/>
      <c r="D443" s="35"/>
      <c r="E443" s="35"/>
      <c r="F443" s="35"/>
      <c r="G443" s="35"/>
      <c r="H443" s="35"/>
      <c r="I443" s="164"/>
      <c r="M443" s="23">
        <v>1</v>
      </c>
    </row>
    <row r="444" spans="2:13" ht="18">
      <c r="B444" s="35"/>
      <c r="C444" s="35"/>
      <c r="D444" s="35"/>
      <c r="E444" s="35"/>
      <c r="F444" s="35"/>
      <c r="G444" s="35"/>
      <c r="H444" s="35"/>
      <c r="I444" s="164"/>
      <c r="M444" s="23">
        <v>1</v>
      </c>
    </row>
    <row r="445" spans="2:13" ht="18">
      <c r="B445" s="35"/>
      <c r="C445" s="35"/>
      <c r="D445" s="35"/>
      <c r="E445" s="35"/>
      <c r="F445" s="35"/>
      <c r="G445" s="35"/>
      <c r="H445" s="35"/>
      <c r="I445" s="164"/>
      <c r="M445" s="23">
        <v>1</v>
      </c>
    </row>
    <row r="446" spans="2:13" ht="18">
      <c r="B446" s="35"/>
      <c r="C446" s="35"/>
      <c r="D446" s="35"/>
      <c r="E446" s="35"/>
      <c r="F446" s="35"/>
      <c r="G446" s="35"/>
      <c r="H446" s="35"/>
      <c r="I446" s="164"/>
      <c r="M446" s="23">
        <v>1</v>
      </c>
    </row>
    <row r="447" spans="2:13" ht="18">
      <c r="B447" s="35"/>
      <c r="C447" s="35"/>
      <c r="D447" s="35"/>
      <c r="E447" s="35"/>
      <c r="F447" s="35"/>
      <c r="G447" s="35"/>
      <c r="H447" s="35"/>
      <c r="I447" s="164"/>
      <c r="M447" s="23">
        <v>1</v>
      </c>
    </row>
    <row r="448" spans="2:13" ht="18">
      <c r="B448" s="35"/>
      <c r="C448" s="35"/>
      <c r="D448" s="35"/>
      <c r="E448" s="35"/>
      <c r="F448" s="35"/>
      <c r="G448" s="35"/>
      <c r="H448" s="35"/>
      <c r="I448" s="164"/>
      <c r="M448" s="23">
        <v>1</v>
      </c>
    </row>
    <row r="449" spans="2:13" ht="18">
      <c r="B449" s="35"/>
      <c r="C449" s="35"/>
      <c r="D449" s="35"/>
      <c r="E449" s="35"/>
      <c r="F449" s="35"/>
      <c r="G449" s="35"/>
      <c r="H449" s="35"/>
      <c r="I449" s="164"/>
      <c r="M449" s="23">
        <v>1</v>
      </c>
    </row>
    <row r="450" spans="2:13" ht="18">
      <c r="B450" s="35"/>
      <c r="C450" s="35"/>
      <c r="D450" s="35"/>
      <c r="E450" s="35"/>
      <c r="F450" s="35"/>
      <c r="G450" s="35"/>
      <c r="H450" s="35"/>
      <c r="I450" s="164"/>
      <c r="M450" s="23">
        <v>1</v>
      </c>
    </row>
    <row r="451" spans="2:13" ht="18">
      <c r="B451" s="35"/>
      <c r="C451" s="35"/>
      <c r="D451" s="35"/>
      <c r="E451" s="35"/>
      <c r="F451" s="35"/>
      <c r="G451" s="35"/>
      <c r="H451" s="35"/>
      <c r="I451" s="164"/>
      <c r="M451" s="23">
        <v>1</v>
      </c>
    </row>
    <row r="452" spans="2:13" ht="18">
      <c r="B452" s="35"/>
      <c r="C452" s="35"/>
      <c r="D452" s="35"/>
      <c r="E452" s="35"/>
      <c r="F452" s="35"/>
      <c r="G452" s="35"/>
      <c r="H452" s="35"/>
      <c r="I452" s="164"/>
      <c r="M452" s="23">
        <v>1</v>
      </c>
    </row>
    <row r="453" spans="2:13" ht="18">
      <c r="B453" s="35"/>
      <c r="C453" s="35"/>
      <c r="D453" s="35"/>
      <c r="E453" s="35"/>
      <c r="F453" s="35"/>
      <c r="G453" s="35"/>
      <c r="H453" s="35"/>
      <c r="I453" s="164"/>
      <c r="M453" s="23">
        <v>1</v>
      </c>
    </row>
    <row r="454" spans="2:13" ht="18">
      <c r="B454" s="35"/>
      <c r="C454" s="35"/>
      <c r="D454" s="35"/>
      <c r="E454" s="35"/>
      <c r="F454" s="35"/>
      <c r="G454" s="35"/>
      <c r="H454" s="35"/>
      <c r="I454" s="164"/>
      <c r="M454" s="23">
        <v>1</v>
      </c>
    </row>
    <row r="455" spans="2:13" ht="18">
      <c r="B455" s="35"/>
      <c r="C455" s="35"/>
      <c r="D455" s="35"/>
      <c r="E455" s="35"/>
      <c r="F455" s="35"/>
      <c r="G455" s="35"/>
      <c r="H455" s="35"/>
      <c r="I455" s="164"/>
      <c r="M455" s="23">
        <v>1</v>
      </c>
    </row>
    <row r="456" spans="2:13" ht="18">
      <c r="B456" s="35"/>
      <c r="C456" s="35"/>
      <c r="D456" s="35"/>
      <c r="E456" s="35"/>
      <c r="F456" s="35"/>
      <c r="G456" s="35"/>
      <c r="H456" s="35"/>
      <c r="I456" s="164"/>
      <c r="M456" s="23">
        <v>1</v>
      </c>
    </row>
    <row r="457" spans="2:13" ht="18">
      <c r="B457" s="35"/>
      <c r="C457" s="35"/>
      <c r="D457" s="35"/>
      <c r="E457" s="35"/>
      <c r="F457" s="35"/>
      <c r="G457" s="35"/>
      <c r="H457" s="35"/>
      <c r="I457" s="164"/>
      <c r="M457" s="23">
        <v>1</v>
      </c>
    </row>
    <row r="458" spans="2:13" ht="18">
      <c r="B458" s="35"/>
      <c r="C458" s="35"/>
      <c r="D458" s="35"/>
      <c r="E458" s="35"/>
      <c r="F458" s="35"/>
      <c r="G458" s="35"/>
      <c r="H458" s="35"/>
      <c r="I458" s="164"/>
      <c r="M458" s="23">
        <v>1</v>
      </c>
    </row>
    <row r="459" spans="2:13" ht="18">
      <c r="B459" s="35"/>
      <c r="C459" s="35"/>
      <c r="D459" s="35"/>
      <c r="E459" s="35"/>
      <c r="F459" s="35"/>
      <c r="G459" s="35"/>
      <c r="H459" s="35"/>
      <c r="I459" s="164"/>
      <c r="M459" s="23">
        <v>1</v>
      </c>
    </row>
    <row r="460" spans="2:13" ht="18">
      <c r="B460" s="35"/>
      <c r="C460" s="35"/>
      <c r="D460" s="35"/>
      <c r="E460" s="35"/>
      <c r="F460" s="35"/>
      <c r="G460" s="35"/>
      <c r="H460" s="35"/>
      <c r="I460" s="164"/>
      <c r="M460" s="23">
        <v>1</v>
      </c>
    </row>
    <row r="461" spans="2:13" ht="18">
      <c r="B461" s="35"/>
      <c r="C461" s="35"/>
      <c r="D461" s="35"/>
      <c r="E461" s="35"/>
      <c r="F461" s="35"/>
      <c r="G461" s="35"/>
      <c r="H461" s="35"/>
      <c r="I461" s="164"/>
      <c r="M461" s="23">
        <v>1</v>
      </c>
    </row>
    <row r="462" spans="2:13" ht="18">
      <c r="B462" s="35"/>
      <c r="C462" s="35"/>
      <c r="D462" s="35"/>
      <c r="E462" s="35"/>
      <c r="F462" s="35"/>
      <c r="G462" s="35"/>
      <c r="H462" s="35"/>
      <c r="I462" s="164"/>
      <c r="M462" s="23">
        <v>1</v>
      </c>
    </row>
    <row r="463" spans="2:13" ht="18">
      <c r="B463" s="35"/>
      <c r="C463" s="35"/>
      <c r="D463" s="35"/>
      <c r="E463" s="35"/>
      <c r="F463" s="35"/>
      <c r="G463" s="35"/>
      <c r="H463" s="35"/>
      <c r="I463" s="164"/>
      <c r="M463" s="23">
        <v>1</v>
      </c>
    </row>
    <row r="464" spans="2:13" ht="18">
      <c r="B464" s="35"/>
      <c r="C464" s="35"/>
      <c r="D464" s="35"/>
      <c r="E464" s="35"/>
      <c r="F464" s="35"/>
      <c r="G464" s="35"/>
      <c r="H464" s="35"/>
      <c r="I464" s="164"/>
      <c r="M464" s="23">
        <v>1</v>
      </c>
    </row>
    <row r="465" spans="2:13" ht="18">
      <c r="B465" s="35"/>
      <c r="C465" s="35"/>
      <c r="D465" s="35"/>
      <c r="E465" s="35"/>
      <c r="F465" s="35"/>
      <c r="G465" s="35"/>
      <c r="H465" s="35"/>
      <c r="I465" s="164"/>
      <c r="M465" s="23">
        <v>1</v>
      </c>
    </row>
    <row r="466" spans="2:13" ht="18">
      <c r="B466" s="35"/>
      <c r="C466" s="35"/>
      <c r="D466" s="35"/>
      <c r="E466" s="35"/>
      <c r="F466" s="35"/>
      <c r="G466" s="35"/>
      <c r="H466" s="35"/>
      <c r="I466" s="164"/>
      <c r="M466" s="23">
        <v>1</v>
      </c>
    </row>
    <row r="467" spans="2:13" ht="18">
      <c r="B467" s="35"/>
      <c r="C467" s="35"/>
      <c r="D467" s="35"/>
      <c r="E467" s="35"/>
      <c r="F467" s="35"/>
      <c r="G467" s="35"/>
      <c r="H467" s="35"/>
      <c r="I467" s="164"/>
      <c r="M467" s="23">
        <v>1</v>
      </c>
    </row>
    <row r="468" spans="2:13" ht="18">
      <c r="B468" s="35"/>
      <c r="C468" s="35"/>
      <c r="D468" s="35"/>
      <c r="E468" s="35"/>
      <c r="F468" s="35"/>
      <c r="G468" s="35"/>
      <c r="H468" s="35"/>
      <c r="I468" s="164"/>
      <c r="M468" s="23">
        <v>1</v>
      </c>
    </row>
    <row r="469" spans="2:13" ht="18">
      <c r="B469" s="35"/>
      <c r="C469" s="35"/>
      <c r="D469" s="35"/>
      <c r="E469" s="35"/>
      <c r="F469" s="35"/>
      <c r="G469" s="35"/>
      <c r="H469" s="35"/>
      <c r="I469" s="164"/>
      <c r="M469" s="23">
        <v>1</v>
      </c>
    </row>
    <row r="470" spans="2:13" ht="18">
      <c r="B470" s="35"/>
      <c r="C470" s="35"/>
      <c r="D470" s="35"/>
      <c r="E470" s="35"/>
      <c r="F470" s="35"/>
      <c r="G470" s="35"/>
      <c r="H470" s="35"/>
      <c r="I470" s="164"/>
      <c r="M470" s="23">
        <v>1</v>
      </c>
    </row>
    <row r="471" spans="2:13" ht="18">
      <c r="B471" s="35"/>
      <c r="C471" s="35"/>
      <c r="D471" s="35"/>
      <c r="E471" s="35"/>
      <c r="F471" s="35"/>
      <c r="G471" s="35"/>
      <c r="H471" s="35"/>
      <c r="I471" s="164"/>
      <c r="M471" s="23">
        <v>1</v>
      </c>
    </row>
    <row r="472" spans="2:13" ht="18">
      <c r="B472" s="35"/>
      <c r="C472" s="35"/>
      <c r="D472" s="35"/>
      <c r="E472" s="35"/>
      <c r="F472" s="35"/>
      <c r="G472" s="35"/>
      <c r="H472" s="35"/>
      <c r="I472" s="164"/>
      <c r="M472" s="23">
        <v>1</v>
      </c>
    </row>
    <row r="473" spans="2:13" ht="18">
      <c r="B473" s="35"/>
      <c r="C473" s="35"/>
      <c r="D473" s="35"/>
      <c r="E473" s="35"/>
      <c r="F473" s="35"/>
      <c r="G473" s="35"/>
      <c r="H473" s="35"/>
      <c r="I473" s="164"/>
      <c r="M473" s="23">
        <v>1</v>
      </c>
    </row>
    <row r="474" spans="2:13" ht="18">
      <c r="B474" s="35"/>
      <c r="C474" s="35"/>
      <c r="D474" s="35"/>
      <c r="E474" s="35"/>
      <c r="F474" s="35"/>
      <c r="G474" s="35"/>
      <c r="H474" s="35"/>
      <c r="I474" s="164"/>
      <c r="M474" s="23">
        <v>1</v>
      </c>
    </row>
    <row r="475" spans="2:13" ht="18">
      <c r="B475" s="35"/>
      <c r="C475" s="35"/>
      <c r="D475" s="35"/>
      <c r="E475" s="35"/>
      <c r="F475" s="35"/>
      <c r="G475" s="35"/>
      <c r="H475" s="35"/>
      <c r="I475" s="164"/>
      <c r="M475" s="23">
        <v>1</v>
      </c>
    </row>
    <row r="476" spans="2:13" ht="18">
      <c r="B476" s="35"/>
      <c r="C476" s="35"/>
      <c r="D476" s="35"/>
      <c r="E476" s="35"/>
      <c r="F476" s="35"/>
      <c r="G476" s="35"/>
      <c r="H476" s="35"/>
      <c r="I476" s="164"/>
      <c r="M476" s="23">
        <v>1</v>
      </c>
    </row>
    <row r="477" spans="2:13" ht="18">
      <c r="B477" s="35"/>
      <c r="C477" s="35"/>
      <c r="D477" s="35"/>
      <c r="E477" s="35"/>
      <c r="F477" s="35"/>
      <c r="G477" s="35"/>
      <c r="H477" s="35"/>
      <c r="I477" s="164"/>
      <c r="M477" s="23">
        <v>1</v>
      </c>
    </row>
    <row r="478" spans="2:13" ht="18">
      <c r="B478" s="35"/>
      <c r="C478" s="35"/>
      <c r="D478" s="35"/>
      <c r="E478" s="35"/>
      <c r="F478" s="35"/>
      <c r="G478" s="35"/>
      <c r="H478" s="35"/>
      <c r="I478" s="164"/>
      <c r="M478" s="23">
        <v>1</v>
      </c>
    </row>
    <row r="479" spans="2:13" ht="18">
      <c r="B479" s="35"/>
      <c r="C479" s="35"/>
      <c r="D479" s="35"/>
      <c r="E479" s="35"/>
      <c r="F479" s="35"/>
      <c r="G479" s="35"/>
      <c r="H479" s="35"/>
      <c r="I479" s="164"/>
      <c r="M479" s="23">
        <v>1</v>
      </c>
    </row>
    <row r="480" spans="2:13" ht="18">
      <c r="B480" s="35"/>
      <c r="C480" s="35"/>
      <c r="D480" s="35"/>
      <c r="E480" s="35"/>
      <c r="F480" s="35"/>
      <c r="G480" s="35"/>
      <c r="H480" s="35"/>
      <c r="I480" s="164"/>
      <c r="M480" s="23">
        <v>1</v>
      </c>
    </row>
    <row r="481" spans="2:13" ht="18">
      <c r="B481" s="35"/>
      <c r="C481" s="35"/>
      <c r="D481" s="35"/>
      <c r="E481" s="35"/>
      <c r="F481" s="35"/>
      <c r="G481" s="35"/>
      <c r="H481" s="35"/>
      <c r="I481" s="164"/>
      <c r="M481" s="23">
        <v>1</v>
      </c>
    </row>
    <row r="482" spans="2:13" ht="18">
      <c r="B482" s="35"/>
      <c r="C482" s="35"/>
      <c r="D482" s="35"/>
      <c r="E482" s="35"/>
      <c r="F482" s="35"/>
      <c r="G482" s="35"/>
      <c r="H482" s="35"/>
      <c r="I482" s="164"/>
      <c r="M482" s="23">
        <v>1</v>
      </c>
    </row>
    <row r="483" spans="2:13" ht="18">
      <c r="B483" s="35"/>
      <c r="C483" s="35"/>
      <c r="D483" s="35"/>
      <c r="E483" s="35"/>
      <c r="F483" s="35"/>
      <c r="G483" s="35"/>
      <c r="H483" s="35"/>
      <c r="I483" s="164"/>
      <c r="M483" s="23">
        <v>1</v>
      </c>
    </row>
    <row r="484" spans="2:13" ht="18">
      <c r="B484" s="35"/>
      <c r="C484" s="35"/>
      <c r="D484" s="35"/>
      <c r="E484" s="35"/>
      <c r="F484" s="35"/>
      <c r="G484" s="35"/>
      <c r="H484" s="35"/>
      <c r="I484" s="164"/>
      <c r="M484" s="23">
        <v>1</v>
      </c>
    </row>
    <row r="485" spans="2:13" ht="18">
      <c r="B485" s="35"/>
      <c r="C485" s="35"/>
      <c r="D485" s="35"/>
      <c r="E485" s="35"/>
      <c r="F485" s="35"/>
      <c r="G485" s="35"/>
      <c r="H485" s="35"/>
      <c r="I485" s="164"/>
      <c r="M485" s="23">
        <v>1</v>
      </c>
    </row>
    <row r="486" spans="2:13" ht="18">
      <c r="B486" s="35"/>
      <c r="C486" s="35"/>
      <c r="D486" s="35"/>
      <c r="E486" s="35"/>
      <c r="F486" s="35"/>
      <c r="G486" s="35"/>
      <c r="H486" s="35"/>
      <c r="I486" s="164"/>
      <c r="M486" s="23">
        <v>1</v>
      </c>
    </row>
    <row r="487" spans="2:13" ht="18">
      <c r="B487" s="35"/>
      <c r="C487" s="35"/>
      <c r="D487" s="35"/>
      <c r="E487" s="35"/>
      <c r="F487" s="35"/>
      <c r="G487" s="35"/>
      <c r="H487" s="35"/>
      <c r="I487" s="164"/>
      <c r="M487" s="23">
        <v>1</v>
      </c>
    </row>
    <row r="488" spans="2:13" ht="18">
      <c r="B488" s="35"/>
      <c r="C488" s="35"/>
      <c r="D488" s="35"/>
      <c r="E488" s="35"/>
      <c r="F488" s="35"/>
      <c r="G488" s="35"/>
      <c r="H488" s="35"/>
      <c r="I488" s="164"/>
      <c r="M488" s="23">
        <v>1</v>
      </c>
    </row>
    <row r="489" spans="2:13" ht="18">
      <c r="B489" s="35"/>
      <c r="C489" s="35"/>
      <c r="D489" s="35"/>
      <c r="E489" s="35"/>
      <c r="F489" s="35"/>
      <c r="G489" s="35"/>
      <c r="H489" s="35"/>
      <c r="I489" s="164"/>
      <c r="M489" s="23">
        <v>1</v>
      </c>
    </row>
    <row r="490" spans="2:13" ht="18">
      <c r="B490" s="35"/>
      <c r="C490" s="35"/>
      <c r="D490" s="35"/>
      <c r="E490" s="35"/>
      <c r="F490" s="35"/>
      <c r="G490" s="35"/>
      <c r="H490" s="35"/>
      <c r="I490" s="164"/>
      <c r="M490" s="23">
        <v>1</v>
      </c>
    </row>
    <row r="491" spans="2:13" ht="18">
      <c r="B491" s="35"/>
      <c r="C491" s="35"/>
      <c r="D491" s="35"/>
      <c r="E491" s="35"/>
      <c r="F491" s="35"/>
      <c r="G491" s="35"/>
      <c r="H491" s="35"/>
      <c r="I491" s="164"/>
      <c r="M491" s="23">
        <v>1</v>
      </c>
    </row>
    <row r="492" spans="2:13" ht="18">
      <c r="B492" s="35"/>
      <c r="C492" s="35"/>
      <c r="D492" s="35"/>
      <c r="E492" s="35"/>
      <c r="F492" s="35"/>
      <c r="G492" s="35"/>
      <c r="H492" s="35"/>
      <c r="I492" s="164"/>
      <c r="M492" s="23">
        <v>1</v>
      </c>
    </row>
    <row r="493" spans="2:13" ht="18">
      <c r="B493" s="35"/>
      <c r="C493" s="35"/>
      <c r="D493" s="35"/>
      <c r="E493" s="35"/>
      <c r="F493" s="35"/>
      <c r="G493" s="35"/>
      <c r="H493" s="35"/>
      <c r="I493" s="164"/>
      <c r="M493" s="23">
        <v>1</v>
      </c>
    </row>
    <row r="494" spans="2:13" ht="18">
      <c r="B494" s="35"/>
      <c r="C494" s="35"/>
      <c r="D494" s="35"/>
      <c r="E494" s="35"/>
      <c r="F494" s="35"/>
      <c r="G494" s="35"/>
      <c r="H494" s="35"/>
      <c r="I494" s="164"/>
      <c r="M494" s="23">
        <v>1</v>
      </c>
    </row>
    <row r="495" spans="2:13" ht="18">
      <c r="B495" s="35"/>
      <c r="C495" s="35"/>
      <c r="D495" s="35"/>
      <c r="E495" s="35"/>
      <c r="F495" s="35"/>
      <c r="G495" s="35"/>
      <c r="H495" s="35"/>
      <c r="I495" s="164"/>
      <c r="M495" s="23">
        <v>1</v>
      </c>
    </row>
    <row r="496" spans="2:13" ht="18">
      <c r="B496" s="35"/>
      <c r="C496" s="35"/>
      <c r="D496" s="35"/>
      <c r="E496" s="35"/>
      <c r="F496" s="35"/>
      <c r="G496" s="35"/>
      <c r="H496" s="35"/>
      <c r="I496" s="164"/>
      <c r="M496" s="23">
        <v>1</v>
      </c>
    </row>
    <row r="497" spans="2:13" ht="18">
      <c r="B497" s="35"/>
      <c r="C497" s="35"/>
      <c r="D497" s="35"/>
      <c r="E497" s="35"/>
      <c r="F497" s="35"/>
      <c r="G497" s="35"/>
      <c r="H497" s="35"/>
      <c r="I497" s="164"/>
      <c r="M497" s="23">
        <v>1</v>
      </c>
    </row>
    <row r="498" spans="2:13" ht="18">
      <c r="B498" s="35"/>
      <c r="C498" s="35"/>
      <c r="D498" s="35"/>
      <c r="E498" s="35"/>
      <c r="F498" s="35"/>
      <c r="G498" s="35"/>
      <c r="H498" s="35"/>
      <c r="I498" s="164"/>
      <c r="M498" s="23">
        <v>1</v>
      </c>
    </row>
    <row r="499" spans="2:13" ht="18">
      <c r="B499" s="35"/>
      <c r="C499" s="35"/>
      <c r="D499" s="35"/>
      <c r="E499" s="35"/>
      <c r="F499" s="35"/>
      <c r="G499" s="35"/>
      <c r="H499" s="35"/>
      <c r="I499" s="164"/>
      <c r="M499" s="23">
        <v>1</v>
      </c>
    </row>
    <row r="500" spans="2:13" ht="18">
      <c r="B500" s="35"/>
      <c r="C500" s="35"/>
      <c r="D500" s="35"/>
      <c r="E500" s="35"/>
      <c r="F500" s="35"/>
      <c r="G500" s="35"/>
      <c r="H500" s="35"/>
      <c r="I500" s="164"/>
      <c r="M500" s="23">
        <v>1</v>
      </c>
    </row>
    <row r="501" spans="2:13" ht="18">
      <c r="B501" s="35"/>
      <c r="C501" s="35"/>
      <c r="D501" s="35"/>
      <c r="E501" s="35"/>
      <c r="F501" s="35"/>
      <c r="G501" s="35"/>
      <c r="H501" s="35"/>
      <c r="I501" s="164"/>
      <c r="M501" s="23">
        <v>1</v>
      </c>
    </row>
    <row r="502" spans="2:13" ht="18">
      <c r="B502" s="35"/>
      <c r="C502" s="35"/>
      <c r="D502" s="35"/>
      <c r="E502" s="35"/>
      <c r="F502" s="35"/>
      <c r="G502" s="35"/>
      <c r="H502" s="35"/>
      <c r="I502" s="164"/>
      <c r="M502" s="23">
        <v>1</v>
      </c>
    </row>
    <row r="503" spans="2:13" ht="18">
      <c r="B503" s="35"/>
      <c r="C503" s="35"/>
      <c r="D503" s="35"/>
      <c r="E503" s="35"/>
      <c r="F503" s="35"/>
      <c r="G503" s="35"/>
      <c r="H503" s="35"/>
      <c r="I503" s="164"/>
      <c r="M503" s="23">
        <v>1</v>
      </c>
    </row>
    <row r="504" spans="2:13" ht="18">
      <c r="B504" s="35"/>
      <c r="C504" s="35"/>
      <c r="D504" s="35"/>
      <c r="E504" s="35"/>
      <c r="F504" s="35"/>
      <c r="G504" s="35"/>
      <c r="H504" s="35"/>
      <c r="I504" s="164"/>
      <c r="M504" s="23">
        <v>1</v>
      </c>
    </row>
    <row r="505" spans="2:13" ht="18">
      <c r="B505" s="35"/>
      <c r="C505" s="35"/>
      <c r="D505" s="35"/>
      <c r="E505" s="35"/>
      <c r="F505" s="35"/>
      <c r="G505" s="35"/>
      <c r="H505" s="35"/>
      <c r="I505" s="164"/>
      <c r="M505" s="23">
        <v>1</v>
      </c>
    </row>
    <row r="506" spans="2:13" ht="18">
      <c r="B506" s="35"/>
      <c r="C506" s="35"/>
      <c r="D506" s="35"/>
      <c r="E506" s="35"/>
      <c r="F506" s="35"/>
      <c r="G506" s="35"/>
      <c r="H506" s="35"/>
      <c r="I506" s="164"/>
      <c r="M506" s="23">
        <v>1</v>
      </c>
    </row>
    <row r="507" spans="2:13" ht="18">
      <c r="B507" s="35"/>
      <c r="C507" s="35"/>
      <c r="D507" s="35"/>
      <c r="E507" s="35"/>
      <c r="F507" s="35"/>
      <c r="G507" s="35"/>
      <c r="H507" s="35"/>
      <c r="I507" s="164"/>
      <c r="M507" s="23">
        <v>1</v>
      </c>
    </row>
    <row r="508" spans="2:13" ht="18">
      <c r="B508" s="35"/>
      <c r="C508" s="35"/>
      <c r="D508" s="35"/>
      <c r="E508" s="35"/>
      <c r="F508" s="35"/>
      <c r="G508" s="35"/>
      <c r="H508" s="35"/>
      <c r="I508" s="164"/>
      <c r="M508" s="23">
        <v>1</v>
      </c>
    </row>
    <row r="509" spans="2:13" ht="18">
      <c r="B509" s="35"/>
      <c r="C509" s="35"/>
      <c r="D509" s="35"/>
      <c r="E509" s="35"/>
      <c r="F509" s="35"/>
      <c r="G509" s="35"/>
      <c r="H509" s="35"/>
      <c r="I509" s="164"/>
      <c r="M509" s="23">
        <v>1</v>
      </c>
    </row>
    <row r="510" spans="2:13" ht="18">
      <c r="B510" s="35"/>
      <c r="C510" s="35"/>
      <c r="D510" s="35"/>
      <c r="E510" s="35"/>
      <c r="F510" s="35"/>
      <c r="G510" s="35"/>
      <c r="H510" s="35"/>
      <c r="I510" s="164"/>
      <c r="M510" s="23">
        <v>1</v>
      </c>
    </row>
    <row r="511" spans="2:13" ht="18">
      <c r="B511" s="35"/>
      <c r="C511" s="35"/>
      <c r="D511" s="35"/>
      <c r="E511" s="35"/>
      <c r="F511" s="35"/>
      <c r="G511" s="35"/>
      <c r="H511" s="35"/>
      <c r="I511" s="164"/>
      <c r="M511" s="23">
        <v>1</v>
      </c>
    </row>
    <row r="512" spans="2:13" ht="18">
      <c r="B512" s="35"/>
      <c r="C512" s="35"/>
      <c r="D512" s="35"/>
      <c r="E512" s="35"/>
      <c r="F512" s="35"/>
      <c r="G512" s="35"/>
      <c r="H512" s="35"/>
      <c r="I512" s="164"/>
      <c r="M512" s="23">
        <v>1</v>
      </c>
    </row>
    <row r="513" spans="2:13" ht="18">
      <c r="B513" s="35"/>
      <c r="C513" s="35"/>
      <c r="D513" s="35"/>
      <c r="E513" s="35"/>
      <c r="F513" s="35"/>
      <c r="G513" s="35"/>
      <c r="H513" s="35"/>
      <c r="I513" s="164"/>
      <c r="M513" s="23">
        <v>1</v>
      </c>
    </row>
    <row r="514" spans="2:13" ht="18">
      <c r="B514" s="35"/>
      <c r="C514" s="35"/>
      <c r="D514" s="35"/>
      <c r="E514" s="35"/>
      <c r="F514" s="35"/>
      <c r="G514" s="35"/>
      <c r="H514" s="35"/>
      <c r="I514" s="164"/>
      <c r="M514" s="23">
        <v>1</v>
      </c>
    </row>
    <row r="515" spans="2:13" ht="18">
      <c r="B515" s="35"/>
      <c r="C515" s="35"/>
      <c r="D515" s="35"/>
      <c r="E515" s="35"/>
      <c r="F515" s="35"/>
      <c r="G515" s="35"/>
      <c r="H515" s="35"/>
      <c r="I515" s="164"/>
      <c r="M515" s="23">
        <v>1</v>
      </c>
    </row>
    <row r="516" spans="2:13" ht="18">
      <c r="B516" s="35"/>
      <c r="C516" s="35"/>
      <c r="D516" s="35"/>
      <c r="E516" s="35"/>
      <c r="F516" s="35"/>
      <c r="G516" s="35"/>
      <c r="H516" s="35"/>
      <c r="I516" s="164"/>
      <c r="M516" s="23">
        <v>1</v>
      </c>
    </row>
    <row r="517" spans="2:13" ht="18">
      <c r="B517" s="35"/>
      <c r="C517" s="35"/>
      <c r="D517" s="35"/>
      <c r="E517" s="35"/>
      <c r="F517" s="35"/>
      <c r="G517" s="35"/>
      <c r="H517" s="35"/>
      <c r="I517" s="164"/>
      <c r="M517" s="23">
        <v>1</v>
      </c>
    </row>
    <row r="518" spans="2:13" ht="18">
      <c r="B518" s="35"/>
      <c r="C518" s="35"/>
      <c r="D518" s="35"/>
      <c r="E518" s="35"/>
      <c r="F518" s="35"/>
      <c r="G518" s="35"/>
      <c r="H518" s="35"/>
      <c r="I518" s="164"/>
      <c r="M518" s="23">
        <v>1</v>
      </c>
    </row>
    <row r="519" spans="2:13" ht="18">
      <c r="B519" s="35"/>
      <c r="C519" s="35"/>
      <c r="D519" s="35"/>
      <c r="E519" s="35"/>
      <c r="F519" s="35"/>
      <c r="G519" s="35"/>
      <c r="H519" s="35"/>
      <c r="I519" s="164"/>
      <c r="M519" s="23">
        <v>1</v>
      </c>
    </row>
    <row r="520" spans="2:13" ht="18">
      <c r="B520" s="35"/>
      <c r="C520" s="35"/>
      <c r="D520" s="35"/>
      <c r="E520" s="35"/>
      <c r="F520" s="35"/>
      <c r="G520" s="35"/>
      <c r="H520" s="35"/>
      <c r="I520" s="164"/>
      <c r="M520" s="23">
        <v>1</v>
      </c>
    </row>
    <row r="521" spans="2:13" ht="18">
      <c r="B521" s="35"/>
      <c r="C521" s="35"/>
      <c r="D521" s="35"/>
      <c r="E521" s="35"/>
      <c r="F521" s="35"/>
      <c r="G521" s="35"/>
      <c r="H521" s="35"/>
      <c r="I521" s="164"/>
      <c r="M521" s="23">
        <v>1</v>
      </c>
    </row>
    <row r="522" spans="2:13" ht="18">
      <c r="B522" s="35"/>
      <c r="C522" s="35"/>
      <c r="D522" s="35"/>
      <c r="E522" s="35"/>
      <c r="F522" s="35"/>
      <c r="G522" s="35"/>
      <c r="H522" s="35"/>
      <c r="I522" s="164"/>
      <c r="M522" s="23">
        <v>1</v>
      </c>
    </row>
    <row r="523" spans="2:13" ht="18">
      <c r="B523" s="35"/>
      <c r="C523" s="35"/>
      <c r="D523" s="35"/>
      <c r="E523" s="35"/>
      <c r="F523" s="35"/>
      <c r="G523" s="35"/>
      <c r="H523" s="35"/>
      <c r="I523" s="164"/>
      <c r="M523" s="23">
        <v>1</v>
      </c>
    </row>
    <row r="524" spans="2:13" ht="18">
      <c r="B524" s="35"/>
      <c r="C524" s="35"/>
      <c r="D524" s="35"/>
      <c r="E524" s="35"/>
      <c r="F524" s="35"/>
      <c r="G524" s="35"/>
      <c r="H524" s="35"/>
      <c r="I524" s="164"/>
      <c r="M524" s="23">
        <v>1</v>
      </c>
    </row>
    <row r="525" spans="2:13" ht="18">
      <c r="B525" s="35"/>
      <c r="C525" s="35"/>
      <c r="D525" s="35"/>
      <c r="E525" s="35"/>
      <c r="F525" s="35"/>
      <c r="G525" s="35"/>
      <c r="H525" s="35"/>
      <c r="I525" s="164"/>
      <c r="M525" s="23">
        <v>1</v>
      </c>
    </row>
    <row r="526" spans="2:13" ht="18">
      <c r="B526" s="35"/>
      <c r="C526" s="35"/>
      <c r="D526" s="35"/>
      <c r="E526" s="35"/>
      <c r="F526" s="35"/>
      <c r="G526" s="35"/>
      <c r="H526" s="35"/>
      <c r="I526" s="164"/>
      <c r="M526" s="23">
        <v>1</v>
      </c>
    </row>
    <row r="527" spans="2:13" ht="18">
      <c r="B527" s="35"/>
      <c r="C527" s="35"/>
      <c r="D527" s="35"/>
      <c r="E527" s="35"/>
      <c r="F527" s="35"/>
      <c r="G527" s="35"/>
      <c r="H527" s="35"/>
      <c r="I527" s="164"/>
      <c r="M527" s="23">
        <v>1</v>
      </c>
    </row>
    <row r="528" spans="2:13" ht="18">
      <c r="B528" s="35"/>
      <c r="C528" s="35"/>
      <c r="D528" s="35"/>
      <c r="E528" s="35"/>
      <c r="F528" s="35"/>
      <c r="G528" s="35"/>
      <c r="H528" s="35"/>
      <c r="I528" s="164"/>
      <c r="M528" s="23">
        <v>1</v>
      </c>
    </row>
    <row r="529" spans="2:13" ht="18">
      <c r="B529" s="35"/>
      <c r="C529" s="35"/>
      <c r="D529" s="35"/>
      <c r="E529" s="35"/>
      <c r="F529" s="35"/>
      <c r="G529" s="35"/>
      <c r="H529" s="35"/>
      <c r="I529" s="164"/>
      <c r="M529" s="23">
        <v>1</v>
      </c>
    </row>
    <row r="530" spans="2:13" ht="18">
      <c r="B530" s="35"/>
      <c r="C530" s="35"/>
      <c r="D530" s="35"/>
      <c r="E530" s="35"/>
      <c r="F530" s="35"/>
      <c r="G530" s="35"/>
      <c r="H530" s="35"/>
      <c r="I530" s="164"/>
      <c r="M530" s="23">
        <v>1</v>
      </c>
    </row>
    <row r="531" spans="2:13" ht="18">
      <c r="B531" s="35"/>
      <c r="C531" s="35"/>
      <c r="D531" s="35"/>
      <c r="E531" s="35"/>
      <c r="F531" s="35"/>
      <c r="G531" s="35"/>
      <c r="H531" s="35"/>
      <c r="I531" s="164"/>
      <c r="M531" s="23">
        <v>1</v>
      </c>
    </row>
    <row r="532" spans="2:13" ht="18">
      <c r="B532" s="35"/>
      <c r="C532" s="35"/>
      <c r="D532" s="35"/>
      <c r="E532" s="35"/>
      <c r="F532" s="35"/>
      <c r="G532" s="35"/>
      <c r="H532" s="35"/>
      <c r="I532" s="164"/>
      <c r="M532" s="23">
        <v>1</v>
      </c>
    </row>
    <row r="533" spans="2:13" ht="18">
      <c r="B533" s="35"/>
      <c r="C533" s="35"/>
      <c r="D533" s="35"/>
      <c r="E533" s="35"/>
      <c r="F533" s="35"/>
      <c r="G533" s="35"/>
      <c r="H533" s="35"/>
      <c r="I533" s="164"/>
      <c r="M533" s="23">
        <v>1</v>
      </c>
    </row>
    <row r="534" spans="2:13" ht="18">
      <c r="B534" s="35"/>
      <c r="C534" s="35"/>
      <c r="D534" s="35"/>
      <c r="E534" s="35"/>
      <c r="F534" s="35"/>
      <c r="G534" s="35"/>
      <c r="H534" s="35"/>
      <c r="I534" s="164"/>
      <c r="M534" s="23">
        <v>1</v>
      </c>
    </row>
    <row r="535" spans="2:13" ht="18">
      <c r="B535" s="35"/>
      <c r="C535" s="35"/>
      <c r="D535" s="35"/>
      <c r="E535" s="35"/>
      <c r="F535" s="35"/>
      <c r="G535" s="35"/>
      <c r="H535" s="35"/>
      <c r="I535" s="164"/>
      <c r="M535" s="23">
        <v>1</v>
      </c>
    </row>
    <row r="536" spans="2:13" ht="18">
      <c r="B536" s="35"/>
      <c r="C536" s="35"/>
      <c r="D536" s="35"/>
      <c r="E536" s="35"/>
      <c r="F536" s="35"/>
      <c r="G536" s="35"/>
      <c r="H536" s="35"/>
      <c r="I536" s="164"/>
      <c r="M536" s="23">
        <v>1</v>
      </c>
    </row>
    <row r="537" spans="2:13" ht="18">
      <c r="B537" s="35"/>
      <c r="C537" s="35"/>
      <c r="D537" s="35"/>
      <c r="E537" s="35"/>
      <c r="F537" s="35"/>
      <c r="G537" s="35"/>
      <c r="H537" s="35"/>
      <c r="I537" s="164"/>
      <c r="M537" s="23">
        <v>1</v>
      </c>
    </row>
    <row r="538" spans="2:13" ht="18">
      <c r="B538" s="35"/>
      <c r="C538" s="35"/>
      <c r="D538" s="35"/>
      <c r="E538" s="35"/>
      <c r="F538" s="35"/>
      <c r="G538" s="35"/>
      <c r="H538" s="35"/>
      <c r="I538" s="164"/>
      <c r="M538" s="23">
        <v>1</v>
      </c>
    </row>
    <row r="539" spans="2:13" ht="18">
      <c r="B539" s="35"/>
      <c r="C539" s="35"/>
      <c r="D539" s="35"/>
      <c r="E539" s="35"/>
      <c r="F539" s="35"/>
      <c r="G539" s="35"/>
      <c r="H539" s="35"/>
      <c r="I539" s="164"/>
      <c r="M539" s="23">
        <v>1</v>
      </c>
    </row>
    <row r="540" spans="2:13" ht="18">
      <c r="B540" s="35"/>
      <c r="C540" s="35"/>
      <c r="D540" s="35"/>
      <c r="E540" s="35"/>
      <c r="F540" s="35"/>
      <c r="G540" s="35"/>
      <c r="H540" s="35"/>
      <c r="I540" s="164"/>
      <c r="M540" s="23">
        <v>1</v>
      </c>
    </row>
    <row r="541" spans="2:13" ht="18">
      <c r="B541" s="35"/>
      <c r="C541" s="35"/>
      <c r="D541" s="35"/>
      <c r="E541" s="35"/>
      <c r="F541" s="35"/>
      <c r="G541" s="35"/>
      <c r="H541" s="35"/>
      <c r="I541" s="164"/>
      <c r="M541" s="23">
        <v>1</v>
      </c>
    </row>
    <row r="542" spans="2:13" ht="18">
      <c r="B542" s="35"/>
      <c r="C542" s="35"/>
      <c r="D542" s="35"/>
      <c r="E542" s="35"/>
      <c r="F542" s="35"/>
      <c r="G542" s="35"/>
      <c r="H542" s="35"/>
      <c r="I542" s="164"/>
      <c r="M542" s="23">
        <v>1</v>
      </c>
    </row>
    <row r="543" spans="2:13" ht="18">
      <c r="B543" s="35"/>
      <c r="C543" s="35"/>
      <c r="D543" s="35"/>
      <c r="E543" s="35"/>
      <c r="F543" s="35"/>
      <c r="G543" s="35"/>
      <c r="H543" s="35"/>
      <c r="I543" s="164"/>
      <c r="M543" s="23">
        <v>1</v>
      </c>
    </row>
    <row r="544" spans="2:13" ht="18">
      <c r="B544" s="35"/>
      <c r="C544" s="35"/>
      <c r="D544" s="35"/>
      <c r="E544" s="35"/>
      <c r="F544" s="35"/>
      <c r="G544" s="35"/>
      <c r="H544" s="35"/>
      <c r="I544" s="164"/>
      <c r="M544" s="23">
        <v>1</v>
      </c>
    </row>
    <row r="545" spans="2:13" ht="18">
      <c r="B545" s="35"/>
      <c r="C545" s="35"/>
      <c r="D545" s="35"/>
      <c r="E545" s="35"/>
      <c r="F545" s="35"/>
      <c r="G545" s="35"/>
      <c r="H545" s="35"/>
      <c r="I545" s="164"/>
      <c r="M545" s="23">
        <v>1</v>
      </c>
    </row>
    <row r="546" spans="2:13" ht="18">
      <c r="B546" s="35"/>
      <c r="C546" s="35"/>
      <c r="D546" s="35"/>
      <c r="E546" s="35"/>
      <c r="F546" s="35"/>
      <c r="G546" s="35"/>
      <c r="H546" s="35"/>
      <c r="I546" s="164"/>
      <c r="M546" s="23">
        <v>1</v>
      </c>
    </row>
    <row r="547" spans="2:13" ht="18">
      <c r="B547" s="35"/>
      <c r="C547" s="35"/>
      <c r="D547" s="35"/>
      <c r="E547" s="35"/>
      <c r="F547" s="35"/>
      <c r="G547" s="35"/>
      <c r="H547" s="35"/>
      <c r="I547" s="164"/>
      <c r="M547" s="23">
        <v>1</v>
      </c>
    </row>
    <row r="548" spans="2:13" ht="18">
      <c r="B548" s="35"/>
      <c r="C548" s="35"/>
      <c r="D548" s="35"/>
      <c r="E548" s="35"/>
      <c r="F548" s="35"/>
      <c r="G548" s="35"/>
      <c r="H548" s="35"/>
      <c r="I548" s="164"/>
      <c r="M548" s="23">
        <v>1</v>
      </c>
    </row>
    <row r="549" spans="2:13" ht="18">
      <c r="B549" s="35"/>
      <c r="C549" s="35"/>
      <c r="D549" s="35"/>
      <c r="E549" s="35"/>
      <c r="F549" s="35"/>
      <c r="G549" s="35"/>
      <c r="H549" s="35"/>
      <c r="I549" s="164"/>
      <c r="M549" s="23">
        <v>1</v>
      </c>
    </row>
    <row r="550" spans="2:13" ht="18">
      <c r="B550" s="35"/>
      <c r="C550" s="35"/>
      <c r="D550" s="35"/>
      <c r="E550" s="35"/>
      <c r="F550" s="35"/>
      <c r="G550" s="35"/>
      <c r="H550" s="35"/>
      <c r="I550" s="164"/>
      <c r="M550" s="23">
        <v>1</v>
      </c>
    </row>
    <row r="551" spans="2:13" ht="18">
      <c r="B551" s="35"/>
      <c r="C551" s="35"/>
      <c r="D551" s="35"/>
      <c r="E551" s="35"/>
      <c r="F551" s="35"/>
      <c r="G551" s="35"/>
      <c r="H551" s="35"/>
      <c r="I551" s="164"/>
      <c r="M551" s="23">
        <v>1</v>
      </c>
    </row>
    <row r="552" spans="2:13" ht="18">
      <c r="B552" s="35"/>
      <c r="C552" s="35"/>
      <c r="D552" s="35"/>
      <c r="E552" s="35"/>
      <c r="F552" s="35"/>
      <c r="G552" s="35"/>
      <c r="H552" s="35"/>
      <c r="I552" s="164"/>
      <c r="M552" s="23">
        <v>1</v>
      </c>
    </row>
    <row r="553" spans="2:13" ht="18">
      <c r="B553" s="35"/>
      <c r="C553" s="35"/>
      <c r="D553" s="35"/>
      <c r="E553" s="35"/>
      <c r="F553" s="35"/>
      <c r="G553" s="35"/>
      <c r="H553" s="35"/>
      <c r="I553" s="164"/>
      <c r="M553" s="23">
        <v>1</v>
      </c>
    </row>
    <row r="554" spans="2:13" ht="18">
      <c r="B554" s="35"/>
      <c r="C554" s="35"/>
      <c r="D554" s="35"/>
      <c r="E554" s="35"/>
      <c r="F554" s="35"/>
      <c r="G554" s="35"/>
      <c r="H554" s="35"/>
      <c r="I554" s="164"/>
      <c r="M554" s="23">
        <v>1</v>
      </c>
    </row>
    <row r="555" spans="2:13" ht="18">
      <c r="B555" s="35"/>
      <c r="C555" s="35"/>
      <c r="D555" s="35"/>
      <c r="E555" s="35"/>
      <c r="F555" s="35"/>
      <c r="G555" s="35"/>
      <c r="H555" s="35"/>
      <c r="I555" s="164"/>
      <c r="M555" s="23">
        <v>1</v>
      </c>
    </row>
    <row r="556" spans="2:13" ht="18">
      <c r="B556" s="35"/>
      <c r="C556" s="35"/>
      <c r="D556" s="35"/>
      <c r="E556" s="35"/>
      <c r="F556" s="35"/>
      <c r="G556" s="35"/>
      <c r="H556" s="35"/>
      <c r="I556" s="164"/>
      <c r="M556" s="23">
        <v>1</v>
      </c>
    </row>
    <row r="557" spans="2:13" ht="18">
      <c r="B557" s="35"/>
      <c r="C557" s="35"/>
      <c r="D557" s="35"/>
      <c r="E557" s="35"/>
      <c r="F557" s="35"/>
      <c r="G557" s="35"/>
      <c r="H557" s="35"/>
      <c r="I557" s="164"/>
      <c r="M557" s="23">
        <v>1</v>
      </c>
    </row>
    <row r="558" spans="2:13" ht="18">
      <c r="B558" s="35"/>
      <c r="C558" s="35"/>
      <c r="D558" s="35"/>
      <c r="E558" s="35"/>
      <c r="F558" s="35"/>
      <c r="G558" s="35"/>
      <c r="H558" s="35"/>
      <c r="I558" s="164"/>
      <c r="M558" s="23">
        <v>1</v>
      </c>
    </row>
    <row r="559" spans="2:13" ht="18">
      <c r="B559" s="35"/>
      <c r="C559" s="35"/>
      <c r="D559" s="35"/>
      <c r="E559" s="35"/>
      <c r="F559" s="35"/>
      <c r="G559" s="35"/>
      <c r="H559" s="35"/>
      <c r="I559" s="164"/>
      <c r="M559" s="23">
        <v>1</v>
      </c>
    </row>
    <row r="560" spans="2:13" ht="18">
      <c r="B560" s="35"/>
      <c r="C560" s="35"/>
      <c r="D560" s="35"/>
      <c r="E560" s="35"/>
      <c r="F560" s="35"/>
      <c r="G560" s="35"/>
      <c r="H560" s="35"/>
      <c r="I560" s="164"/>
      <c r="M560" s="23">
        <v>1</v>
      </c>
    </row>
    <row r="561" spans="2:13" ht="18">
      <c r="B561" s="35"/>
      <c r="C561" s="35"/>
      <c r="D561" s="35"/>
      <c r="E561" s="35"/>
      <c r="F561" s="35"/>
      <c r="G561" s="35"/>
      <c r="H561" s="35"/>
      <c r="I561" s="164"/>
      <c r="M561" s="23">
        <v>1</v>
      </c>
    </row>
    <row r="562" spans="2:13" ht="18">
      <c r="B562" s="35"/>
      <c r="C562" s="35"/>
      <c r="D562" s="35"/>
      <c r="E562" s="35"/>
      <c r="F562" s="35"/>
      <c r="G562" s="35"/>
      <c r="H562" s="35"/>
      <c r="I562" s="164"/>
      <c r="M562" s="23">
        <v>1</v>
      </c>
    </row>
    <row r="563" spans="2:13" ht="18">
      <c r="B563" s="35"/>
      <c r="C563" s="35"/>
      <c r="D563" s="35"/>
      <c r="E563" s="35"/>
      <c r="F563" s="35"/>
      <c r="G563" s="35"/>
      <c r="H563" s="35"/>
      <c r="I563" s="164"/>
      <c r="M563" s="23">
        <v>1</v>
      </c>
    </row>
    <row r="564" spans="2:13" ht="18">
      <c r="B564" s="35"/>
      <c r="C564" s="35"/>
      <c r="D564" s="35"/>
      <c r="E564" s="35"/>
      <c r="F564" s="35"/>
      <c r="G564" s="35"/>
      <c r="H564" s="35"/>
      <c r="I564" s="164"/>
      <c r="M564" s="23">
        <v>1</v>
      </c>
    </row>
    <row r="565" spans="2:13" ht="18">
      <c r="B565" s="35"/>
      <c r="C565" s="35"/>
      <c r="D565" s="35"/>
      <c r="E565" s="35"/>
      <c r="F565" s="35"/>
      <c r="G565" s="35"/>
      <c r="H565" s="35"/>
      <c r="I565" s="164"/>
      <c r="M565" s="23">
        <v>1</v>
      </c>
    </row>
    <row r="566" spans="2:13" ht="18">
      <c r="B566" s="35"/>
      <c r="C566" s="35"/>
      <c r="D566" s="35"/>
      <c r="E566" s="35"/>
      <c r="F566" s="35"/>
      <c r="G566" s="35"/>
      <c r="H566" s="35"/>
      <c r="I566" s="164"/>
      <c r="M566" s="23">
        <v>1</v>
      </c>
    </row>
    <row r="567" spans="2:13" ht="18">
      <c r="B567" s="35"/>
      <c r="C567" s="35"/>
      <c r="D567" s="35"/>
      <c r="E567" s="35"/>
      <c r="F567" s="35"/>
      <c r="G567" s="35"/>
      <c r="H567" s="35"/>
      <c r="I567" s="164"/>
      <c r="M567" s="23">
        <v>1</v>
      </c>
    </row>
    <row r="568" spans="2:13" ht="18">
      <c r="B568" s="35"/>
      <c r="C568" s="35"/>
      <c r="D568" s="35"/>
      <c r="E568" s="35"/>
      <c r="F568" s="35"/>
      <c r="G568" s="35"/>
      <c r="H568" s="35"/>
      <c r="I568" s="164"/>
      <c r="M568" s="23">
        <v>1</v>
      </c>
    </row>
    <row r="569" spans="2:13" ht="18">
      <c r="B569" s="35"/>
      <c r="C569" s="35"/>
      <c r="D569" s="35"/>
      <c r="E569" s="35"/>
      <c r="F569" s="35"/>
      <c r="G569" s="35"/>
      <c r="H569" s="35"/>
      <c r="I569" s="164"/>
      <c r="M569" s="23">
        <v>1</v>
      </c>
    </row>
    <row r="570" spans="2:13" ht="18">
      <c r="B570" s="35"/>
      <c r="C570" s="35"/>
      <c r="D570" s="35"/>
      <c r="E570" s="35"/>
      <c r="F570" s="35"/>
      <c r="G570" s="35"/>
      <c r="H570" s="35"/>
      <c r="I570" s="164"/>
      <c r="M570" s="23">
        <v>1</v>
      </c>
    </row>
    <row r="571" spans="2:13" ht="18">
      <c r="B571" s="35"/>
      <c r="C571" s="35"/>
      <c r="D571" s="35"/>
      <c r="E571" s="35"/>
      <c r="F571" s="35"/>
      <c r="G571" s="35"/>
      <c r="H571" s="35"/>
      <c r="I571" s="164"/>
      <c r="M571" s="23">
        <v>1</v>
      </c>
    </row>
    <row r="572" spans="2:13" ht="18">
      <c r="B572" s="35"/>
      <c r="C572" s="35"/>
      <c r="D572" s="35"/>
      <c r="E572" s="35"/>
      <c r="F572" s="35"/>
      <c r="G572" s="35"/>
      <c r="H572" s="35"/>
      <c r="I572" s="164"/>
      <c r="M572" s="23">
        <v>1</v>
      </c>
    </row>
    <row r="573" spans="2:13" ht="18">
      <c r="B573" s="35"/>
      <c r="C573" s="35"/>
      <c r="D573" s="35"/>
      <c r="E573" s="35"/>
      <c r="F573" s="35"/>
      <c r="G573" s="35"/>
      <c r="H573" s="35"/>
      <c r="I573" s="164"/>
      <c r="M573" s="23">
        <v>1</v>
      </c>
    </row>
    <row r="574" spans="2:13" ht="18">
      <c r="B574" s="35"/>
      <c r="C574" s="35"/>
      <c r="D574" s="35"/>
      <c r="E574" s="35"/>
      <c r="F574" s="35"/>
      <c r="G574" s="35"/>
      <c r="H574" s="35"/>
      <c r="I574" s="164"/>
      <c r="M574" s="23">
        <v>1</v>
      </c>
    </row>
    <row r="575" spans="2:13" ht="18">
      <c r="B575" s="35"/>
      <c r="C575" s="35"/>
      <c r="D575" s="35"/>
      <c r="E575" s="35"/>
      <c r="F575" s="35"/>
      <c r="G575" s="35"/>
      <c r="H575" s="35"/>
      <c r="I575" s="164"/>
      <c r="M575" s="23">
        <v>1</v>
      </c>
    </row>
    <row r="576" spans="2:13" ht="18">
      <c r="B576" s="35"/>
      <c r="C576" s="35"/>
      <c r="D576" s="35"/>
      <c r="E576" s="35"/>
      <c r="F576" s="35"/>
      <c r="G576" s="35"/>
      <c r="H576" s="35"/>
      <c r="I576" s="164"/>
      <c r="M576" s="23">
        <v>1</v>
      </c>
    </row>
    <row r="577" spans="2:13" ht="18">
      <c r="B577" s="35"/>
      <c r="C577" s="35"/>
      <c r="D577" s="35"/>
      <c r="E577" s="35"/>
      <c r="F577" s="35"/>
      <c r="G577" s="35"/>
      <c r="H577" s="35"/>
      <c r="I577" s="164"/>
      <c r="M577" s="23">
        <v>1</v>
      </c>
    </row>
    <row r="578" spans="2:13" ht="18">
      <c r="B578" s="35"/>
      <c r="C578" s="35"/>
      <c r="D578" s="35"/>
      <c r="E578" s="35"/>
      <c r="F578" s="35"/>
      <c r="G578" s="35"/>
      <c r="H578" s="35"/>
      <c r="I578" s="164"/>
      <c r="M578" s="23">
        <v>1</v>
      </c>
    </row>
    <row r="579" spans="2:13" ht="18">
      <c r="B579" s="35"/>
      <c r="C579" s="35"/>
      <c r="D579" s="35"/>
      <c r="E579" s="35"/>
      <c r="F579" s="35"/>
      <c r="G579" s="35"/>
      <c r="H579" s="35"/>
      <c r="I579" s="164"/>
      <c r="M579" s="23">
        <v>1</v>
      </c>
    </row>
    <row r="580" spans="2:13" ht="18">
      <c r="B580" s="35"/>
      <c r="C580" s="35"/>
      <c r="D580" s="35"/>
      <c r="E580" s="35"/>
      <c r="F580" s="35"/>
      <c r="G580" s="35"/>
      <c r="H580" s="35"/>
      <c r="I580" s="164"/>
      <c r="M580" s="23">
        <v>1</v>
      </c>
    </row>
    <row r="581" spans="2:13" ht="18">
      <c r="B581" s="35"/>
      <c r="C581" s="35"/>
      <c r="D581" s="35"/>
      <c r="E581" s="35"/>
      <c r="F581" s="35"/>
      <c r="G581" s="35"/>
      <c r="H581" s="35"/>
      <c r="I581" s="164"/>
      <c r="M581" s="23">
        <v>1</v>
      </c>
    </row>
    <row r="582" spans="2:13" ht="18">
      <c r="B582" s="35"/>
      <c r="C582" s="35"/>
      <c r="D582" s="35"/>
      <c r="E582" s="35"/>
      <c r="F582" s="35"/>
      <c r="G582" s="35"/>
      <c r="H582" s="35"/>
      <c r="I582" s="164"/>
      <c r="M582" s="23">
        <v>1</v>
      </c>
    </row>
    <row r="583" spans="2:13" ht="18">
      <c r="B583" s="35"/>
      <c r="C583" s="35"/>
      <c r="D583" s="35"/>
      <c r="E583" s="35"/>
      <c r="F583" s="35"/>
      <c r="G583" s="35"/>
      <c r="H583" s="35"/>
      <c r="I583" s="164"/>
      <c r="M583" s="23">
        <v>1</v>
      </c>
    </row>
    <row r="584" spans="2:13" ht="18">
      <c r="B584" s="35"/>
      <c r="C584" s="35"/>
      <c r="D584" s="35"/>
      <c r="E584" s="35"/>
      <c r="F584" s="35"/>
      <c r="G584" s="35"/>
      <c r="H584" s="35"/>
      <c r="I584" s="164"/>
      <c r="M584" s="23">
        <v>1</v>
      </c>
    </row>
    <row r="585" spans="2:13" ht="18">
      <c r="B585" s="35"/>
      <c r="C585" s="35"/>
      <c r="D585" s="35"/>
      <c r="E585" s="35"/>
      <c r="F585" s="35"/>
      <c r="G585" s="35"/>
      <c r="H585" s="35"/>
      <c r="I585" s="164"/>
      <c r="M585" s="23">
        <v>1</v>
      </c>
    </row>
    <row r="586" spans="2:13" ht="18">
      <c r="B586" s="35"/>
      <c r="C586" s="35"/>
      <c r="D586" s="35"/>
      <c r="E586" s="35"/>
      <c r="F586" s="35"/>
      <c r="G586" s="35"/>
      <c r="H586" s="35"/>
      <c r="I586" s="164"/>
      <c r="M586" s="23">
        <v>1</v>
      </c>
    </row>
    <row r="587" spans="2:13" ht="18">
      <c r="B587" s="35"/>
      <c r="C587" s="35"/>
      <c r="D587" s="35"/>
      <c r="E587" s="35"/>
      <c r="F587" s="35"/>
      <c r="G587" s="35"/>
      <c r="H587" s="35"/>
      <c r="I587" s="164"/>
      <c r="M587" s="23">
        <v>1</v>
      </c>
    </row>
    <row r="588" spans="2:13" ht="18">
      <c r="B588" s="35"/>
      <c r="C588" s="35"/>
      <c r="D588" s="35"/>
      <c r="E588" s="35"/>
      <c r="F588" s="35"/>
      <c r="G588" s="35"/>
      <c r="H588" s="35"/>
      <c r="I588" s="164"/>
      <c r="M588" s="23">
        <v>1</v>
      </c>
    </row>
    <row r="589" spans="2:13" ht="18">
      <c r="B589" s="35"/>
      <c r="C589" s="35"/>
      <c r="D589" s="35"/>
      <c r="E589" s="35"/>
      <c r="F589" s="35"/>
      <c r="G589" s="35"/>
      <c r="H589" s="35"/>
      <c r="I589" s="164"/>
      <c r="M589" s="23">
        <v>1</v>
      </c>
    </row>
    <row r="590" spans="2:13" ht="18">
      <c r="B590" s="35"/>
      <c r="C590" s="35"/>
      <c r="D590" s="35"/>
      <c r="E590" s="35"/>
      <c r="F590" s="35"/>
      <c r="G590" s="35"/>
      <c r="H590" s="35"/>
      <c r="I590" s="164"/>
      <c r="M590" s="23">
        <v>1</v>
      </c>
    </row>
    <row r="591" spans="2:13" ht="18">
      <c r="B591" s="35"/>
      <c r="C591" s="35"/>
      <c r="D591" s="35"/>
      <c r="E591" s="35"/>
      <c r="F591" s="35"/>
      <c r="G591" s="35"/>
      <c r="H591" s="35"/>
      <c r="I591" s="164"/>
      <c r="M591" s="23">
        <v>1</v>
      </c>
    </row>
    <row r="592" spans="2:13" ht="18">
      <c r="B592" s="35"/>
      <c r="C592" s="35"/>
      <c r="D592" s="35"/>
      <c r="E592" s="35"/>
      <c r="F592" s="35"/>
      <c r="G592" s="35"/>
      <c r="H592" s="35"/>
      <c r="I592" s="164"/>
      <c r="M592" s="23">
        <v>1</v>
      </c>
    </row>
    <row r="593" spans="2:13" ht="18">
      <c r="B593" s="35"/>
      <c r="C593" s="35"/>
      <c r="D593" s="35"/>
      <c r="E593" s="35"/>
      <c r="F593" s="35"/>
      <c r="G593" s="35"/>
      <c r="H593" s="35"/>
      <c r="I593" s="164"/>
      <c r="M593" s="23">
        <v>1</v>
      </c>
    </row>
    <row r="594" spans="2:13" ht="18">
      <c r="B594" s="35"/>
      <c r="C594" s="35"/>
      <c r="D594" s="35"/>
      <c r="E594" s="35"/>
      <c r="F594" s="35"/>
      <c r="G594" s="35"/>
      <c r="H594" s="35"/>
      <c r="I594" s="164"/>
      <c r="M594" s="23">
        <v>1</v>
      </c>
    </row>
    <row r="595" spans="2:13" ht="18">
      <c r="B595" s="35"/>
      <c r="C595" s="35"/>
      <c r="D595" s="35"/>
      <c r="E595" s="35"/>
      <c r="F595" s="35"/>
      <c r="G595" s="35"/>
      <c r="H595" s="35"/>
      <c r="I595" s="164"/>
      <c r="M595" s="23">
        <v>1</v>
      </c>
    </row>
    <row r="596" spans="2:13" ht="18">
      <c r="B596" s="35"/>
      <c r="C596" s="35"/>
      <c r="D596" s="35"/>
      <c r="E596" s="35"/>
      <c r="F596" s="35"/>
      <c r="G596" s="35"/>
      <c r="H596" s="35"/>
      <c r="I596" s="164"/>
      <c r="M596" s="23">
        <v>1</v>
      </c>
    </row>
    <row r="597" spans="2:13" ht="18">
      <c r="B597" s="35"/>
      <c r="C597" s="35"/>
      <c r="D597" s="35"/>
      <c r="E597" s="35"/>
      <c r="F597" s="35"/>
      <c r="G597" s="35"/>
      <c r="H597" s="35"/>
      <c r="I597" s="164"/>
      <c r="M597" s="23">
        <v>1</v>
      </c>
    </row>
    <row r="598" spans="2:13" ht="18">
      <c r="B598" s="35"/>
      <c r="C598" s="35"/>
      <c r="D598" s="35"/>
      <c r="E598" s="35"/>
      <c r="F598" s="35"/>
      <c r="G598" s="35"/>
      <c r="H598" s="35"/>
      <c r="I598" s="164"/>
      <c r="M598" s="23">
        <v>1</v>
      </c>
    </row>
    <row r="599" spans="2:13" ht="18">
      <c r="B599" s="35"/>
      <c r="C599" s="35"/>
      <c r="D599" s="35"/>
      <c r="E599" s="35"/>
      <c r="F599" s="35"/>
      <c r="G599" s="35"/>
      <c r="H599" s="35"/>
      <c r="I599" s="164"/>
      <c r="M599" s="23">
        <v>1</v>
      </c>
    </row>
    <row r="600" spans="2:13" ht="18">
      <c r="B600" s="35"/>
      <c r="C600" s="35"/>
      <c r="D600" s="35"/>
      <c r="E600" s="35"/>
      <c r="F600" s="35"/>
      <c r="G600" s="35"/>
      <c r="H600" s="35"/>
      <c r="I600" s="164"/>
      <c r="M600" s="23">
        <v>1</v>
      </c>
    </row>
    <row r="601" spans="2:13" ht="18">
      <c r="B601" s="35"/>
      <c r="C601" s="35"/>
      <c r="D601" s="35"/>
      <c r="E601" s="35"/>
      <c r="F601" s="35"/>
      <c r="G601" s="35"/>
      <c r="H601" s="35"/>
      <c r="I601" s="164"/>
      <c r="M601" s="23">
        <v>1</v>
      </c>
    </row>
    <row r="602" spans="2:13" ht="18">
      <c r="B602" s="35"/>
      <c r="C602" s="35"/>
      <c r="D602" s="35"/>
      <c r="E602" s="35"/>
      <c r="F602" s="35"/>
      <c r="G602" s="35"/>
      <c r="H602" s="35"/>
      <c r="I602" s="164"/>
      <c r="M602" s="23">
        <v>1</v>
      </c>
    </row>
    <row r="603" spans="2:13" ht="18">
      <c r="B603" s="35"/>
      <c r="C603" s="35"/>
      <c r="D603" s="35"/>
      <c r="E603" s="35"/>
      <c r="F603" s="35"/>
      <c r="G603" s="35"/>
      <c r="H603" s="35"/>
      <c r="I603" s="164"/>
      <c r="M603" s="23">
        <v>1</v>
      </c>
    </row>
    <row r="604" spans="2:13" ht="18">
      <c r="B604" s="35"/>
      <c r="C604" s="35"/>
      <c r="D604" s="35"/>
      <c r="E604" s="35"/>
      <c r="F604" s="35"/>
      <c r="G604" s="35"/>
      <c r="H604" s="35"/>
      <c r="I604" s="164"/>
      <c r="M604" s="23">
        <v>1</v>
      </c>
    </row>
    <row r="605" spans="2:13" ht="18">
      <c r="B605" s="35"/>
      <c r="C605" s="35"/>
      <c r="D605" s="35"/>
      <c r="E605" s="35"/>
      <c r="F605" s="35"/>
      <c r="G605" s="35"/>
      <c r="H605" s="35"/>
      <c r="I605" s="164"/>
      <c r="M605" s="23">
        <v>1</v>
      </c>
    </row>
    <row r="606" spans="2:13" ht="18">
      <c r="B606" s="35"/>
      <c r="C606" s="35"/>
      <c r="D606" s="35"/>
      <c r="E606" s="35"/>
      <c r="F606" s="35"/>
      <c r="G606" s="35"/>
      <c r="H606" s="35"/>
      <c r="I606" s="164"/>
      <c r="M606" s="23">
        <v>1</v>
      </c>
    </row>
    <row r="607" spans="2:13" ht="18">
      <c r="B607" s="35"/>
      <c r="C607" s="35"/>
      <c r="D607" s="35"/>
      <c r="E607" s="35"/>
      <c r="F607" s="35"/>
      <c r="G607" s="35"/>
      <c r="H607" s="35"/>
      <c r="I607" s="164"/>
      <c r="M607" s="23">
        <v>1</v>
      </c>
    </row>
    <row r="608" spans="2:13" ht="18">
      <c r="B608" s="35"/>
      <c r="C608" s="35"/>
      <c r="D608" s="35"/>
      <c r="E608" s="35"/>
      <c r="F608" s="35"/>
      <c r="G608" s="35"/>
      <c r="H608" s="35"/>
      <c r="I608" s="164"/>
      <c r="M608" s="23">
        <v>1</v>
      </c>
    </row>
    <row r="609" spans="2:13" ht="18">
      <c r="B609" s="35"/>
      <c r="C609" s="35"/>
      <c r="D609" s="35"/>
      <c r="E609" s="35"/>
      <c r="F609" s="35"/>
      <c r="G609" s="35"/>
      <c r="H609" s="35"/>
      <c r="I609" s="164"/>
      <c r="M609" s="23">
        <v>1</v>
      </c>
    </row>
    <row r="610" spans="2:13" ht="18">
      <c r="B610" s="35"/>
      <c r="C610" s="35"/>
      <c r="D610" s="35"/>
      <c r="E610" s="35"/>
      <c r="F610" s="35"/>
      <c r="G610" s="35"/>
      <c r="H610" s="35"/>
      <c r="I610" s="164"/>
      <c r="M610" s="23">
        <v>1</v>
      </c>
    </row>
    <row r="611" spans="2:13" ht="18">
      <c r="B611" s="35"/>
      <c r="C611" s="35"/>
      <c r="D611" s="35"/>
      <c r="E611" s="35"/>
      <c r="F611" s="35"/>
      <c r="G611" s="35"/>
      <c r="H611" s="35"/>
      <c r="I611" s="164"/>
      <c r="M611" s="23">
        <v>1</v>
      </c>
    </row>
    <row r="612" spans="2:13" ht="18">
      <c r="B612" s="35"/>
      <c r="C612" s="35"/>
      <c r="D612" s="35"/>
      <c r="E612" s="35"/>
      <c r="F612" s="35"/>
      <c r="G612" s="35"/>
      <c r="H612" s="35"/>
      <c r="I612" s="164"/>
      <c r="M612" s="23">
        <v>1</v>
      </c>
    </row>
    <row r="613" spans="2:13" ht="18">
      <c r="B613" s="35"/>
      <c r="C613" s="35"/>
      <c r="D613" s="35"/>
      <c r="E613" s="35"/>
      <c r="F613" s="35"/>
      <c r="G613" s="35"/>
      <c r="H613" s="35"/>
      <c r="I613" s="164"/>
      <c r="M613" s="23">
        <v>1</v>
      </c>
    </row>
    <row r="614" spans="2:13" ht="18">
      <c r="B614" s="35"/>
      <c r="C614" s="35"/>
      <c r="D614" s="35"/>
      <c r="E614" s="35"/>
      <c r="F614" s="35"/>
      <c r="G614" s="35"/>
      <c r="H614" s="35"/>
      <c r="I614" s="164"/>
      <c r="M614" s="23">
        <v>1</v>
      </c>
    </row>
    <row r="615" spans="2:13" ht="18">
      <c r="B615" s="35"/>
      <c r="C615" s="35"/>
      <c r="D615" s="35"/>
      <c r="E615" s="35"/>
      <c r="F615" s="35"/>
      <c r="G615" s="35"/>
      <c r="H615" s="35"/>
      <c r="I615" s="164"/>
      <c r="M615" s="23">
        <v>1</v>
      </c>
    </row>
    <row r="616" spans="2:13" ht="18">
      <c r="B616" s="35"/>
      <c r="C616" s="35"/>
      <c r="D616" s="35"/>
      <c r="E616" s="35"/>
      <c r="F616" s="35"/>
      <c r="G616" s="35"/>
      <c r="H616" s="35"/>
      <c r="I616" s="164"/>
      <c r="M616" s="23">
        <v>1</v>
      </c>
    </row>
    <row r="617" spans="2:13" ht="18">
      <c r="B617" s="35"/>
      <c r="C617" s="35"/>
      <c r="D617" s="35"/>
      <c r="E617" s="35"/>
      <c r="F617" s="35"/>
      <c r="G617" s="35"/>
      <c r="H617" s="35"/>
      <c r="I617" s="164"/>
      <c r="M617" s="23">
        <v>1</v>
      </c>
    </row>
    <row r="618" spans="2:13" ht="18">
      <c r="B618" s="35"/>
      <c r="C618" s="35"/>
      <c r="D618" s="35"/>
      <c r="E618" s="35"/>
      <c r="F618" s="35"/>
      <c r="G618" s="35"/>
      <c r="H618" s="35"/>
      <c r="I618" s="164"/>
      <c r="M618" s="23">
        <v>1</v>
      </c>
    </row>
    <row r="619" spans="2:13" ht="18">
      <c r="B619" s="35"/>
      <c r="C619" s="35"/>
      <c r="D619" s="35"/>
      <c r="E619" s="35"/>
      <c r="F619" s="35"/>
      <c r="G619" s="35"/>
      <c r="H619" s="35"/>
      <c r="I619" s="164"/>
      <c r="M619" s="23">
        <v>1</v>
      </c>
    </row>
    <row r="620" spans="2:13" ht="18">
      <c r="B620" s="35"/>
      <c r="C620" s="35"/>
      <c r="D620" s="35"/>
      <c r="E620" s="35"/>
      <c r="F620" s="35"/>
      <c r="G620" s="35"/>
      <c r="H620" s="35"/>
      <c r="I620" s="164"/>
      <c r="M620" s="23">
        <v>1</v>
      </c>
    </row>
    <row r="621" spans="2:13" ht="18">
      <c r="B621" s="35"/>
      <c r="C621" s="35"/>
      <c r="D621" s="35"/>
      <c r="E621" s="35"/>
      <c r="F621" s="35"/>
      <c r="G621" s="35"/>
      <c r="H621" s="35"/>
      <c r="I621" s="164"/>
      <c r="M621" s="23">
        <v>1</v>
      </c>
    </row>
    <row r="622" spans="2:13" ht="18">
      <c r="B622" s="35"/>
      <c r="C622" s="35"/>
      <c r="D622" s="35"/>
      <c r="E622" s="35"/>
      <c r="F622" s="35"/>
      <c r="G622" s="35"/>
      <c r="H622" s="35"/>
      <c r="I622" s="164"/>
      <c r="M622" s="23">
        <v>1</v>
      </c>
    </row>
    <row r="623" spans="2:13" ht="18">
      <c r="B623" s="35"/>
      <c r="C623" s="35"/>
      <c r="D623" s="35"/>
      <c r="E623" s="35"/>
      <c r="F623" s="35"/>
      <c r="G623" s="35"/>
      <c r="H623" s="35"/>
      <c r="I623" s="164"/>
      <c r="M623" s="23">
        <v>1</v>
      </c>
    </row>
    <row r="624" spans="2:13" ht="18">
      <c r="B624" s="35"/>
      <c r="C624" s="35"/>
      <c r="D624" s="35"/>
      <c r="E624" s="35"/>
      <c r="F624" s="35"/>
      <c r="G624" s="35"/>
      <c r="H624" s="35"/>
      <c r="I624" s="164"/>
      <c r="M624" s="23">
        <v>1</v>
      </c>
    </row>
    <row r="625" spans="2:13" ht="18">
      <c r="B625" s="35"/>
      <c r="C625" s="35"/>
      <c r="D625" s="35"/>
      <c r="E625" s="35"/>
      <c r="F625" s="35"/>
      <c r="G625" s="35"/>
      <c r="H625" s="35"/>
      <c r="I625" s="164"/>
      <c r="M625" s="23">
        <v>1</v>
      </c>
    </row>
    <row r="626" spans="2:13" ht="18">
      <c r="B626" s="35"/>
      <c r="C626" s="35"/>
      <c r="D626" s="35"/>
      <c r="E626" s="35"/>
      <c r="F626" s="35"/>
      <c r="G626" s="35"/>
      <c r="H626" s="35"/>
      <c r="I626" s="164"/>
      <c r="M626" s="23">
        <v>1</v>
      </c>
    </row>
    <row r="627" spans="2:13" ht="18">
      <c r="B627" s="35"/>
      <c r="C627" s="35"/>
      <c r="D627" s="35"/>
      <c r="E627" s="35"/>
      <c r="F627" s="35"/>
      <c r="G627" s="35"/>
      <c r="H627" s="35"/>
      <c r="I627" s="164"/>
      <c r="M627" s="23">
        <v>1</v>
      </c>
    </row>
    <row r="628" spans="2:13" ht="18">
      <c r="B628" s="35"/>
      <c r="C628" s="35"/>
      <c r="D628" s="35"/>
      <c r="E628" s="35"/>
      <c r="F628" s="35"/>
      <c r="G628" s="35"/>
      <c r="H628" s="35"/>
      <c r="I628" s="164"/>
      <c r="M628" s="23">
        <v>1</v>
      </c>
    </row>
    <row r="629" spans="2:13" ht="18">
      <c r="B629" s="35"/>
      <c r="C629" s="35"/>
      <c r="D629" s="35"/>
      <c r="E629" s="35"/>
      <c r="F629" s="35"/>
      <c r="G629" s="35"/>
      <c r="H629" s="35"/>
      <c r="I629" s="164"/>
      <c r="M629" s="23">
        <v>1</v>
      </c>
    </row>
    <row r="630" spans="2:13" ht="18">
      <c r="B630" s="35"/>
      <c r="C630" s="35"/>
      <c r="D630" s="35"/>
      <c r="E630" s="35"/>
      <c r="F630" s="35"/>
      <c r="G630" s="35"/>
      <c r="H630" s="35"/>
      <c r="I630" s="164"/>
      <c r="M630" s="23">
        <v>1</v>
      </c>
    </row>
    <row r="631" spans="2:13" ht="18">
      <c r="B631" s="35"/>
      <c r="C631" s="35"/>
      <c r="D631" s="35"/>
      <c r="E631" s="35"/>
      <c r="F631" s="35"/>
      <c r="G631" s="35"/>
      <c r="H631" s="35"/>
      <c r="I631" s="164"/>
      <c r="M631" s="23">
        <v>1</v>
      </c>
    </row>
    <row r="632" spans="2:13" ht="18">
      <c r="B632" s="35"/>
      <c r="C632" s="35"/>
      <c r="D632" s="35"/>
      <c r="E632" s="35"/>
      <c r="F632" s="35"/>
      <c r="G632" s="35"/>
      <c r="H632" s="35"/>
      <c r="I632" s="164"/>
      <c r="M632" s="23">
        <v>1</v>
      </c>
    </row>
    <row r="633" spans="2:13" ht="18">
      <c r="B633" s="35"/>
      <c r="C633" s="35"/>
      <c r="D633" s="35"/>
      <c r="E633" s="35"/>
      <c r="F633" s="35"/>
      <c r="G633" s="35"/>
      <c r="H633" s="35"/>
      <c r="I633" s="164"/>
      <c r="M633" s="23">
        <v>1</v>
      </c>
    </row>
    <row r="634" spans="2:13" ht="18">
      <c r="B634" s="35"/>
      <c r="C634" s="35"/>
      <c r="D634" s="35"/>
      <c r="E634" s="35"/>
      <c r="F634" s="35"/>
      <c r="G634" s="35"/>
      <c r="H634" s="35"/>
      <c r="I634" s="164"/>
      <c r="M634" s="23">
        <v>1</v>
      </c>
    </row>
    <row r="635" spans="2:13" ht="18">
      <c r="B635" s="35"/>
      <c r="C635" s="35"/>
      <c r="D635" s="35"/>
      <c r="E635" s="35"/>
      <c r="F635" s="35"/>
      <c r="G635" s="35"/>
      <c r="H635" s="35"/>
      <c r="I635" s="164"/>
      <c r="M635" s="23">
        <v>1</v>
      </c>
    </row>
    <row r="636" spans="2:13" ht="18">
      <c r="B636" s="35"/>
      <c r="C636" s="35"/>
      <c r="D636" s="35"/>
      <c r="E636" s="35"/>
      <c r="F636" s="35"/>
      <c r="G636" s="35"/>
      <c r="H636" s="35"/>
      <c r="I636" s="164"/>
      <c r="M636" s="23">
        <v>1</v>
      </c>
    </row>
    <row r="637" spans="2:13" ht="18">
      <c r="B637" s="35"/>
      <c r="C637" s="35"/>
      <c r="D637" s="35"/>
      <c r="E637" s="35"/>
      <c r="F637" s="35"/>
      <c r="G637" s="35"/>
      <c r="H637" s="35"/>
      <c r="I637" s="164"/>
      <c r="M637" s="23">
        <v>1</v>
      </c>
    </row>
    <row r="638" spans="2:13" ht="18">
      <c r="B638" s="35"/>
      <c r="C638" s="35"/>
      <c r="D638" s="35"/>
      <c r="E638" s="35"/>
      <c r="F638" s="35"/>
      <c r="G638" s="35"/>
      <c r="H638" s="35"/>
      <c r="I638" s="164"/>
      <c r="M638" s="23">
        <v>1</v>
      </c>
    </row>
    <row r="639" spans="2:13" ht="18">
      <c r="B639" s="35"/>
      <c r="C639" s="35"/>
      <c r="D639" s="35"/>
      <c r="E639" s="35"/>
      <c r="F639" s="35"/>
      <c r="G639" s="35"/>
      <c r="H639" s="35"/>
      <c r="I639" s="164"/>
      <c r="M639" s="23">
        <v>1</v>
      </c>
    </row>
    <row r="640" spans="2:13" ht="18">
      <c r="B640" s="35"/>
      <c r="C640" s="35"/>
      <c r="D640" s="35"/>
      <c r="E640" s="35"/>
      <c r="F640" s="35"/>
      <c r="G640" s="35"/>
      <c r="H640" s="35"/>
      <c r="I640" s="164"/>
      <c r="M640" s="23">
        <v>1</v>
      </c>
    </row>
    <row r="641" spans="2:13" ht="18">
      <c r="B641" s="35"/>
      <c r="C641" s="35"/>
      <c r="D641" s="35"/>
      <c r="E641" s="35"/>
      <c r="F641" s="35"/>
      <c r="G641" s="35"/>
      <c r="H641" s="35"/>
      <c r="I641" s="164"/>
      <c r="M641" s="23">
        <v>1</v>
      </c>
    </row>
    <row r="642" spans="2:13" ht="18">
      <c r="B642" s="35"/>
      <c r="C642" s="35"/>
      <c r="D642" s="35"/>
      <c r="E642" s="35"/>
      <c r="F642" s="35"/>
      <c r="G642" s="35"/>
      <c r="H642" s="35"/>
      <c r="I642" s="164"/>
      <c r="M642" s="23">
        <v>1</v>
      </c>
    </row>
    <row r="643" spans="2:13" ht="18">
      <c r="B643" s="35"/>
      <c r="C643" s="35"/>
      <c r="D643" s="35"/>
      <c r="E643" s="35"/>
      <c r="F643" s="35"/>
      <c r="G643" s="35"/>
      <c r="H643" s="35"/>
      <c r="I643" s="164"/>
      <c r="M643" s="23">
        <v>1</v>
      </c>
    </row>
    <row r="644" spans="2:13" ht="18">
      <c r="B644" s="35"/>
      <c r="C644" s="35"/>
      <c r="D644" s="35"/>
      <c r="E644" s="35"/>
      <c r="F644" s="35"/>
      <c r="G644" s="35"/>
      <c r="H644" s="35"/>
      <c r="I644" s="164"/>
      <c r="M644" s="23">
        <v>1</v>
      </c>
    </row>
    <row r="645" spans="2:13" ht="18">
      <c r="B645" s="35"/>
      <c r="C645" s="35"/>
      <c r="D645" s="35"/>
      <c r="E645" s="35"/>
      <c r="F645" s="35"/>
      <c r="G645" s="35"/>
      <c r="H645" s="35"/>
      <c r="I645" s="164"/>
      <c r="M645" s="23">
        <v>1</v>
      </c>
    </row>
    <row r="646" spans="2:13" ht="18">
      <c r="B646" s="35"/>
      <c r="C646" s="35"/>
      <c r="D646" s="35"/>
      <c r="E646" s="35"/>
      <c r="F646" s="35"/>
      <c r="G646" s="35"/>
      <c r="H646" s="35"/>
      <c r="I646" s="164"/>
      <c r="M646" s="23">
        <v>1</v>
      </c>
    </row>
    <row r="647" spans="2:13" ht="18">
      <c r="B647" s="35"/>
      <c r="C647" s="35"/>
      <c r="D647" s="35"/>
      <c r="E647" s="35"/>
      <c r="F647" s="35"/>
      <c r="G647" s="35"/>
      <c r="H647" s="35"/>
      <c r="I647" s="164"/>
      <c r="M647" s="23">
        <v>1</v>
      </c>
    </row>
    <row r="648" spans="2:13" ht="18">
      <c r="B648" s="35"/>
      <c r="C648" s="35"/>
      <c r="D648" s="35"/>
      <c r="E648" s="35"/>
      <c r="F648" s="35"/>
      <c r="G648" s="35"/>
      <c r="H648" s="35"/>
      <c r="I648" s="164"/>
      <c r="M648" s="23">
        <v>1</v>
      </c>
    </row>
    <row r="649" spans="2:13" ht="27.75" thickBot="1">
      <c r="B649" s="21" t="s">
        <v>3</v>
      </c>
      <c r="C649" s="21" t="s">
        <v>3</v>
      </c>
      <c r="D649" s="21" t="s">
        <v>3</v>
      </c>
      <c r="E649" s="22" t="s">
        <v>3</v>
      </c>
      <c r="F649" s="22" t="s">
        <v>3</v>
      </c>
      <c r="G649" s="22" t="s">
        <v>3</v>
      </c>
      <c r="H649" s="22" t="s">
        <v>3</v>
      </c>
      <c r="I649" s="165"/>
      <c r="M649" s="91" t="s">
        <v>3</v>
      </c>
    </row>
    <row r="650" spans="2:13" ht="13.5" thickTop="1"/>
  </sheetData>
  <sheetProtection sheet="1" objects="1" scenarios="1" selectLockedCells="1"/>
  <customSheetViews>
    <customSheetView guid="{F92CD80A-2F20-447E-84B4-C32E1E2FE9A3}" showGridLines="0" showRowCol="0">
      <pane ySplit="7" topLeftCell="A96" activePane="bottomLeft" state="frozen"/>
      <selection pane="bottomLeft" activeCell="I5" sqref="I5"/>
      <pageMargins left="0.7" right="0.7" top="0.75" bottom="0.75" header="0.3" footer="0.3"/>
      <pageSetup paperSize="9" orientation="portrait" r:id="rId1"/>
    </customSheetView>
    <customSheetView guid="{56AFE396-18B0-4AF5-AE05-5CBE92BF4893}" showGridLines="0" showRowCol="0">
      <pane ySplit="8" topLeftCell="A37" activePane="bottomLeft" state="frozen"/>
      <selection pane="bottomLeft" activeCell="I5" sqref="I5"/>
      <pageMargins left="0.7" right="0.7" top="0.75" bottom="0.75" header="0.3" footer="0.3"/>
      <pageSetup paperSize="9" orientation="portrait" r:id="rId2"/>
    </customSheetView>
    <customSheetView guid="{79B4DA94-8F3B-455B-B3D6-7A15488FD419}" showGridLines="0" showRowCol="0">
      <pane ySplit="8" topLeftCell="A96" activePane="bottomLeft" state="frozen"/>
      <selection pane="bottomLeft" activeCell="I5" sqref="I5"/>
      <pageMargins left="0.7" right="0.7" top="0.75" bottom="0.75" header="0.3" footer="0.3"/>
      <pageSetup paperSize="9" orientation="portrait" r:id="rId3"/>
    </customSheetView>
    <customSheetView guid="{4EA0FCF4-4E92-4FEF-BBB1-FFCF2D2846A6}" showGridLines="0" showRowCol="0">
      <pane ySplit="8" topLeftCell="A396" activePane="bottomLeft" state="frozen"/>
      <selection pane="bottomLeft" activeCell="I2" sqref="I2"/>
      <pageMargins left="0.7" right="0.7" top="0.75" bottom="0.75" header="0.3" footer="0.3"/>
      <pageSetup paperSize="9" orientation="portrait" r:id="rId4"/>
    </customSheetView>
  </customSheetViews>
  <mergeCells count="5">
    <mergeCell ref="S8:U8"/>
    <mergeCell ref="V8:X8"/>
    <mergeCell ref="Y8:AA8"/>
    <mergeCell ref="N9:O9"/>
    <mergeCell ref="P8:R8"/>
  </mergeCells>
  <dataValidations count="4">
    <dataValidation type="list" allowBlank="1" showDropDown="1" showInputMessage="1" showErrorMessage="1" sqref="C9:C648">
      <formula1>$O$32:$O$63</formula1>
    </dataValidation>
    <dataValidation type="list" allowBlank="1" showDropDown="1" showInputMessage="1" showErrorMessage="1" sqref="B16:B648 B9:B14">
      <formula1>$C$6</formula1>
    </dataValidation>
    <dataValidation allowBlank="1" showInputMessage="1" showErrorMessage="1" errorTitle="Dato no valido" error="El valor esta fuera de rango [0,30] o No es un numero" sqref="E9:I648"/>
    <dataValidation type="list" allowBlank="1" showDropDown="1" showInputMessage="1" showErrorMessage="1" sqref="D9:D648">
      <formula1>$O$10:$O$29</formula1>
    </dataValidation>
  </dataValidations>
  <hyperlinks>
    <hyperlink ref="I5" location="Guarico!A1" display="4 Guarico"/>
    <hyperlink ref="I4" location="'Delta Amacuro'!A1" display="3 Delta Amacuro"/>
    <hyperlink ref="I2" location="PPrincipal!A1" display="* Pagina Principal"/>
    <hyperlink ref="I3" location="Apure!A1" display="1 Apure"/>
  </hyperlinks>
  <pageMargins left="0.7" right="0.7" top="0.75" bottom="0.75" header="0.3" footer="0.3"/>
  <pageSetup paperSize="9" orientation="portrait" r:id="rId5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4"/>
  <sheetViews>
    <sheetView showGridLines="0" showRowColHeaders="0" workbookViewId="0">
      <selection activeCell="J3" sqref="J3"/>
    </sheetView>
  </sheetViews>
  <sheetFormatPr baseColWidth="10" defaultColWidth="15.7109375" defaultRowHeight="22.5" customHeight="1"/>
  <cols>
    <col min="1" max="16384" width="15.7109375" style="63"/>
  </cols>
  <sheetData>
    <row r="1" spans="1:11" ht="15" customHeight="1">
      <c r="J1" s="109"/>
      <c r="K1" s="142"/>
    </row>
    <row r="2" spans="1:11" ht="15" customHeight="1">
      <c r="J2" s="98" t="s">
        <v>39</v>
      </c>
      <c r="K2" s="142"/>
    </row>
    <row r="3" spans="1:11" ht="15" customHeight="1">
      <c r="J3" s="118" t="s">
        <v>64</v>
      </c>
      <c r="K3" s="142"/>
    </row>
    <row r="4" spans="1:11" ht="15" customHeight="1">
      <c r="J4" s="119" t="s">
        <v>62</v>
      </c>
      <c r="K4" s="142"/>
    </row>
    <row r="5" spans="1:11" ht="15" customHeight="1">
      <c r="G5" s="66"/>
      <c r="J5" s="98" t="s">
        <v>63</v>
      </c>
      <c r="K5" s="142"/>
    </row>
    <row r="6" spans="1:11" ht="15" customHeight="1">
      <c r="A6" s="175" t="s">
        <v>26</v>
      </c>
      <c r="B6" s="175"/>
      <c r="C6" s="175"/>
      <c r="D6" s="175"/>
      <c r="E6" s="175"/>
      <c r="F6" s="175"/>
    </row>
    <row r="25" spans="2:7" ht="22.5" customHeight="1">
      <c r="B25" s="175"/>
      <c r="C25" s="175"/>
      <c r="D25" s="175"/>
      <c r="E25" s="175"/>
      <c r="F25" s="175"/>
      <c r="G25" s="175"/>
    </row>
    <row r="44" spans="7:7" ht="22.5" customHeight="1">
      <c r="G44" s="66"/>
    </row>
  </sheetData>
  <customSheetViews>
    <customSheetView guid="{F92CD80A-2F20-447E-84B4-C32E1E2FE9A3}" showGridLines="0" showRowCol="0">
      <selection activeCell="J3" sqref="J3"/>
      <pageMargins left="0.7" right="0.7" top="0.75" bottom="0.75" header="0.3" footer="0.3"/>
    </customSheetView>
    <customSheetView guid="{56AFE396-18B0-4AF5-AE05-5CBE92BF4893}" showPageBreaks="1" showGridLines="0" showRowCol="0" printArea="1">
      <colBreaks count="1" manualBreakCount="1">
        <brk id="11" max="1048575" man="1"/>
      </colBreaks>
      <pageMargins left="0.70866141732283472" right="0.70866141732283472" top="0.74803149606299213" bottom="0.74803149606299213" header="0.31496062992125984" footer="0.31496062992125984"/>
      <pageSetup scale="72" orientation="landscape" verticalDpi="0" r:id="rId1"/>
    </customSheetView>
    <customSheetView guid="{79B4DA94-8F3B-455B-B3D6-7A15488FD419}" showGridLines="0" showRowCol="0">
      <selection activeCell="J4" sqref="J4"/>
      <pageMargins left="0.7" right="0.7" top="0.75" bottom="0.75" header="0.3" footer="0.3"/>
    </customSheetView>
    <customSheetView guid="{4EA0FCF4-4E92-4FEF-BBB1-FFCF2D2846A6}" showGridLines="0" showRowCol="0">
      <selection activeCell="J4" sqref="J4"/>
      <pageMargins left="0.7" right="0.7" top="0.75" bottom="0.75" header="0.3" footer="0.3"/>
    </customSheetView>
  </customSheetViews>
  <mergeCells count="2">
    <mergeCell ref="B25:G25"/>
    <mergeCell ref="A6:F6"/>
  </mergeCells>
  <hyperlinks>
    <hyperlink ref="J2" location="PPrincipal!A1" display="* Pagina Principal"/>
    <hyperlink ref="J3" location="GApure!A1" display="Graficos de Apure"/>
    <hyperlink ref="J4" location="'GDelta Amacuro'!A1" display="Graficos de Delta Amacuro"/>
    <hyperlink ref="J5" location="GGuarico!A1" display="Graficos de Guarico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45"/>
  <sheetViews>
    <sheetView showGridLines="0" showRowColHeaders="0" workbookViewId="0">
      <selection activeCell="Y3" sqref="Y3"/>
    </sheetView>
  </sheetViews>
  <sheetFormatPr baseColWidth="10" defaultRowHeight="15" customHeight="1"/>
  <cols>
    <col min="1" max="1" width="1.5703125" style="78" customWidth="1"/>
    <col min="2" max="2" width="7.140625" style="78" customWidth="1"/>
    <col min="3" max="13" width="5.5703125" style="78" customWidth="1"/>
    <col min="14" max="14" width="5.5703125" style="79" customWidth="1"/>
    <col min="15" max="22" width="5.5703125" style="78" customWidth="1"/>
    <col min="23" max="23" width="1.5703125" style="78" customWidth="1"/>
    <col min="24" max="27" width="12.140625" style="78" customWidth="1"/>
    <col min="28" max="43" width="5" style="78" customWidth="1"/>
    <col min="44" max="44" width="3.140625" style="78" customWidth="1"/>
    <col min="45" max="47" width="11.28515625" style="78" customWidth="1"/>
    <col min="48" max="16384" width="11.42578125" style="78"/>
  </cols>
  <sheetData>
    <row r="1" spans="1:35" ht="31.5" customHeight="1">
      <c r="B1" s="176" t="s">
        <v>40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</row>
    <row r="2" spans="1:35" ht="15" customHeight="1">
      <c r="C2" s="107"/>
      <c r="G2" s="110"/>
      <c r="Y2" s="98" t="s">
        <v>39</v>
      </c>
      <c r="Z2" s="107"/>
      <c r="AA2" s="108"/>
    </row>
    <row r="3" spans="1:35" ht="15" customHeight="1">
      <c r="C3" s="107"/>
      <c r="G3" s="110"/>
      <c r="Y3" s="98" t="s">
        <v>58</v>
      </c>
      <c r="Z3" s="107"/>
      <c r="AA3" s="108"/>
    </row>
    <row r="4" spans="1:35" ht="15" customHeight="1">
      <c r="C4" s="107"/>
      <c r="G4" s="110"/>
      <c r="Y4" s="98" t="s">
        <v>43</v>
      </c>
      <c r="Z4" s="107"/>
      <c r="AA4" s="108"/>
    </row>
    <row r="5" spans="1:35" ht="15" customHeight="1">
      <c r="C5" s="107"/>
      <c r="G5" s="110"/>
      <c r="Y5" s="98" t="s">
        <v>59</v>
      </c>
      <c r="Z5" s="107"/>
      <c r="AA5" s="108"/>
    </row>
    <row r="6" spans="1:35" s="1" customFormat="1" ht="15" customHeight="1" thickBot="1">
      <c r="A6" s="67"/>
      <c r="B6" s="74"/>
      <c r="C6" s="74"/>
      <c r="D6" s="74"/>
      <c r="E6" s="74"/>
      <c r="F6" s="74"/>
      <c r="G6" s="74"/>
      <c r="H6" s="74"/>
      <c r="I6" s="74"/>
      <c r="J6" s="74"/>
      <c r="K6" s="74"/>
      <c r="L6" s="78"/>
      <c r="M6" s="78"/>
      <c r="N6" s="79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</row>
    <row r="7" spans="1:35" s="75" customFormat="1" ht="15" customHeight="1" thickBot="1">
      <c r="A7" s="68"/>
      <c r="B7" s="111" t="s">
        <v>0</v>
      </c>
      <c r="C7" s="99">
        <v>0.3125</v>
      </c>
      <c r="D7" s="100">
        <v>0.33333333333333298</v>
      </c>
      <c r="E7" s="100">
        <v>0.35416666666666702</v>
      </c>
      <c r="F7" s="100">
        <v>0.375</v>
      </c>
      <c r="G7" s="100">
        <v>0.39583333333333298</v>
      </c>
      <c r="H7" s="100">
        <v>0.41666666666666702</v>
      </c>
      <c r="I7" s="100">
        <v>0.4375</v>
      </c>
      <c r="J7" s="100">
        <v>0.45833333333333298</v>
      </c>
      <c r="K7" s="100">
        <v>0.47916666666666702</v>
      </c>
      <c r="L7" s="100">
        <v>0.5</v>
      </c>
      <c r="M7" s="100">
        <v>0.52083333333333304</v>
      </c>
      <c r="N7" s="100">
        <v>4.1666666666666664E-2</v>
      </c>
      <c r="O7" s="100">
        <v>6.25E-2</v>
      </c>
      <c r="P7" s="100">
        <v>8.3333333333333329E-2</v>
      </c>
      <c r="Q7" s="100">
        <v>0.104166666666667</v>
      </c>
      <c r="R7" s="100">
        <v>0.125</v>
      </c>
      <c r="S7" s="100">
        <v>0.14583333333333301</v>
      </c>
      <c r="T7" s="100">
        <v>0.16666666666666599</v>
      </c>
      <c r="U7" s="100">
        <v>0.187499999999999</v>
      </c>
      <c r="V7" s="101">
        <v>0.20833333333333201</v>
      </c>
      <c r="W7" s="78"/>
      <c r="X7" s="183" t="s">
        <v>36</v>
      </c>
      <c r="Y7" s="177" t="s">
        <v>6</v>
      </c>
      <c r="Z7" s="179" t="s">
        <v>7</v>
      </c>
      <c r="AA7" s="177" t="s">
        <v>8</v>
      </c>
      <c r="AB7" s="181" t="s">
        <v>9</v>
      </c>
    </row>
    <row r="8" spans="1:35" ht="15" customHeight="1" thickBot="1">
      <c r="B8" s="157" t="s">
        <v>2</v>
      </c>
      <c r="C8" s="112">
        <v>1</v>
      </c>
      <c r="D8" s="113">
        <v>2</v>
      </c>
      <c r="E8" s="113">
        <v>3</v>
      </c>
      <c r="F8" s="113">
        <v>4</v>
      </c>
      <c r="G8" s="113">
        <v>5</v>
      </c>
      <c r="H8" s="113">
        <v>6</v>
      </c>
      <c r="I8" s="113">
        <v>7</v>
      </c>
      <c r="J8" s="113">
        <v>8</v>
      </c>
      <c r="K8" s="113">
        <v>9</v>
      </c>
      <c r="L8" s="113">
        <v>10</v>
      </c>
      <c r="M8" s="113">
        <v>11</v>
      </c>
      <c r="N8" s="113">
        <v>12</v>
      </c>
      <c r="O8" s="113">
        <v>13</v>
      </c>
      <c r="P8" s="113">
        <v>14</v>
      </c>
      <c r="Q8" s="113">
        <v>15</v>
      </c>
      <c r="R8" s="113">
        <v>16</v>
      </c>
      <c r="S8" s="113">
        <v>17</v>
      </c>
      <c r="T8" s="113">
        <v>18</v>
      </c>
      <c r="U8" s="113">
        <v>19</v>
      </c>
      <c r="V8" s="117">
        <v>20</v>
      </c>
      <c r="X8" s="184"/>
      <c r="Y8" s="178"/>
      <c r="Z8" s="180"/>
      <c r="AA8" s="178"/>
      <c r="AB8" s="182"/>
      <c r="AD8" s="79"/>
      <c r="AE8" s="79"/>
      <c r="AF8" s="79"/>
      <c r="AG8" s="79"/>
      <c r="AH8" s="79"/>
      <c r="AI8" s="79"/>
    </row>
    <row r="9" spans="1:35" ht="15" customHeight="1">
      <c r="B9" s="116">
        <v>12</v>
      </c>
      <c r="C9" s="86">
        <f t="shared" ref="C9:L18" si="0">SUMIFS(SumaBo,CentroBO,$B9,TurnoBo,C$8)</f>
        <v>2</v>
      </c>
      <c r="D9" s="86">
        <f t="shared" si="0"/>
        <v>1</v>
      </c>
      <c r="E9" s="86">
        <f t="shared" si="0"/>
        <v>1</v>
      </c>
      <c r="F9" s="86">
        <f t="shared" si="0"/>
        <v>1</v>
      </c>
      <c r="G9" s="86">
        <f t="shared" si="0"/>
        <v>0</v>
      </c>
      <c r="H9" s="86">
        <f t="shared" si="0"/>
        <v>0</v>
      </c>
      <c r="I9" s="86">
        <f t="shared" si="0"/>
        <v>0</v>
      </c>
      <c r="J9" s="86">
        <f t="shared" si="0"/>
        <v>1</v>
      </c>
      <c r="K9" s="86">
        <f t="shared" si="0"/>
        <v>1</v>
      </c>
      <c r="L9" s="86">
        <f t="shared" si="0"/>
        <v>1</v>
      </c>
      <c r="M9" s="86">
        <f t="shared" ref="M9:V18" si="1">SUMIFS(SumaBo,CentroBO,$B9,TurnoBo,M$8)</f>
        <v>1</v>
      </c>
      <c r="N9" s="86">
        <f t="shared" si="1"/>
        <v>1</v>
      </c>
      <c r="O9" s="86">
        <f t="shared" si="1"/>
        <v>1</v>
      </c>
      <c r="P9" s="86">
        <f t="shared" si="1"/>
        <v>1</v>
      </c>
      <c r="Q9" s="86">
        <f t="shared" si="1"/>
        <v>0</v>
      </c>
      <c r="R9" s="86">
        <f t="shared" si="1"/>
        <v>1</v>
      </c>
      <c r="S9" s="86">
        <f t="shared" si="1"/>
        <v>0</v>
      </c>
      <c r="T9" s="86">
        <f t="shared" si="1"/>
        <v>0</v>
      </c>
      <c r="U9" s="86">
        <f t="shared" si="1"/>
        <v>0</v>
      </c>
      <c r="V9" s="86">
        <f t="shared" si="1"/>
        <v>0</v>
      </c>
      <c r="X9" s="122" t="s">
        <v>65</v>
      </c>
      <c r="Y9" s="128">
        <f t="shared" ref="Y9:Y40" si="2">SUMIF(CentroBO,$B9,Francisco_Rangel_Gomez)</f>
        <v>76</v>
      </c>
      <c r="Z9" s="128">
        <f t="shared" ref="Z9:Z40" si="3">SUMIF(CentroBO,$B9,Andres_Velasquez)</f>
        <v>44</v>
      </c>
      <c r="AA9" s="128">
        <f t="shared" ref="AA9:AA40" si="4">SUMIF(CentroBO,$B9,Antonio_Rojas_Suarez)</f>
        <v>12</v>
      </c>
      <c r="AB9" s="128">
        <f t="shared" ref="AB9:AB40" si="5">SUMIF(CentroBO,$B9,OtroBo)</f>
        <v>3</v>
      </c>
    </row>
    <row r="10" spans="1:35" ht="15" customHeight="1">
      <c r="B10" s="87">
        <v>13</v>
      </c>
      <c r="C10" s="86">
        <f t="shared" si="0"/>
        <v>1</v>
      </c>
      <c r="D10" s="86">
        <f t="shared" si="0"/>
        <v>3</v>
      </c>
      <c r="E10" s="86">
        <f t="shared" si="0"/>
        <v>1</v>
      </c>
      <c r="F10" s="86">
        <f t="shared" si="0"/>
        <v>3</v>
      </c>
      <c r="G10" s="86">
        <f t="shared" si="0"/>
        <v>1</v>
      </c>
      <c r="H10" s="86">
        <f t="shared" si="0"/>
        <v>2</v>
      </c>
      <c r="I10" s="86">
        <f t="shared" si="0"/>
        <v>2</v>
      </c>
      <c r="J10" s="86">
        <f t="shared" si="0"/>
        <v>1</v>
      </c>
      <c r="K10" s="86">
        <f t="shared" si="0"/>
        <v>1</v>
      </c>
      <c r="L10" s="86">
        <f t="shared" si="0"/>
        <v>1</v>
      </c>
      <c r="M10" s="86">
        <f t="shared" si="1"/>
        <v>1</v>
      </c>
      <c r="N10" s="86">
        <f t="shared" si="1"/>
        <v>1</v>
      </c>
      <c r="O10" s="86">
        <f t="shared" si="1"/>
        <v>1</v>
      </c>
      <c r="P10" s="86">
        <f t="shared" si="1"/>
        <v>1</v>
      </c>
      <c r="Q10" s="86">
        <f t="shared" si="1"/>
        <v>1</v>
      </c>
      <c r="R10" s="86">
        <f t="shared" si="1"/>
        <v>0</v>
      </c>
      <c r="S10" s="86">
        <f t="shared" si="1"/>
        <v>0</v>
      </c>
      <c r="T10" s="86">
        <f t="shared" si="1"/>
        <v>0</v>
      </c>
      <c r="U10" s="86">
        <f t="shared" si="1"/>
        <v>0</v>
      </c>
      <c r="V10" s="86">
        <f t="shared" si="1"/>
        <v>0</v>
      </c>
      <c r="X10" s="123" t="s">
        <v>65</v>
      </c>
      <c r="Y10" s="128">
        <f t="shared" si="2"/>
        <v>118</v>
      </c>
      <c r="Z10" s="128">
        <f t="shared" si="3"/>
        <v>96</v>
      </c>
      <c r="AA10" s="128">
        <f t="shared" si="4"/>
        <v>73</v>
      </c>
      <c r="AB10" s="128">
        <f t="shared" si="5"/>
        <v>46</v>
      </c>
    </row>
    <row r="11" spans="1:35" ht="15" customHeight="1">
      <c r="B11" s="87">
        <v>14</v>
      </c>
      <c r="C11" s="86">
        <f t="shared" si="0"/>
        <v>0</v>
      </c>
      <c r="D11" s="86">
        <f t="shared" si="0"/>
        <v>0</v>
      </c>
      <c r="E11" s="86">
        <f t="shared" si="0"/>
        <v>1</v>
      </c>
      <c r="F11" s="86">
        <f t="shared" si="0"/>
        <v>0</v>
      </c>
      <c r="G11" s="86">
        <f t="shared" si="0"/>
        <v>0</v>
      </c>
      <c r="H11" s="86">
        <f t="shared" si="0"/>
        <v>2</v>
      </c>
      <c r="I11" s="86">
        <f t="shared" si="0"/>
        <v>2</v>
      </c>
      <c r="J11" s="86">
        <f t="shared" si="0"/>
        <v>2</v>
      </c>
      <c r="K11" s="86">
        <f t="shared" si="0"/>
        <v>2</v>
      </c>
      <c r="L11" s="86">
        <f t="shared" si="0"/>
        <v>2</v>
      </c>
      <c r="M11" s="86">
        <f t="shared" si="1"/>
        <v>2</v>
      </c>
      <c r="N11" s="86">
        <f t="shared" si="1"/>
        <v>2</v>
      </c>
      <c r="O11" s="86">
        <f t="shared" si="1"/>
        <v>1</v>
      </c>
      <c r="P11" s="86">
        <f t="shared" si="1"/>
        <v>1</v>
      </c>
      <c r="Q11" s="86">
        <f t="shared" si="1"/>
        <v>1</v>
      </c>
      <c r="R11" s="86">
        <f t="shared" si="1"/>
        <v>0</v>
      </c>
      <c r="S11" s="86">
        <f t="shared" si="1"/>
        <v>0</v>
      </c>
      <c r="T11" s="86">
        <f t="shared" si="1"/>
        <v>0</v>
      </c>
      <c r="U11" s="86">
        <f t="shared" si="1"/>
        <v>0</v>
      </c>
      <c r="V11" s="86">
        <f t="shared" si="1"/>
        <v>0</v>
      </c>
      <c r="X11" s="123" t="s">
        <v>65</v>
      </c>
      <c r="Y11" s="128">
        <f t="shared" si="2"/>
        <v>215</v>
      </c>
      <c r="Z11" s="128">
        <f t="shared" si="3"/>
        <v>18</v>
      </c>
      <c r="AA11" s="128">
        <f t="shared" si="4"/>
        <v>91</v>
      </c>
      <c r="AB11" s="128">
        <f t="shared" si="5"/>
        <v>18</v>
      </c>
    </row>
    <row r="12" spans="1:35" ht="15" customHeight="1">
      <c r="B12" s="87">
        <v>15</v>
      </c>
      <c r="C12" s="86">
        <f t="shared" si="0"/>
        <v>0</v>
      </c>
      <c r="D12" s="86">
        <f t="shared" si="0"/>
        <v>1</v>
      </c>
      <c r="E12" s="86">
        <f t="shared" si="0"/>
        <v>1</v>
      </c>
      <c r="F12" s="86">
        <f t="shared" si="0"/>
        <v>1</v>
      </c>
      <c r="G12" s="86">
        <f t="shared" si="0"/>
        <v>1</v>
      </c>
      <c r="H12" s="86">
        <f t="shared" si="0"/>
        <v>1</v>
      </c>
      <c r="I12" s="86">
        <f t="shared" si="0"/>
        <v>1</v>
      </c>
      <c r="J12" s="86">
        <f t="shared" si="0"/>
        <v>1</v>
      </c>
      <c r="K12" s="86">
        <f t="shared" si="0"/>
        <v>1</v>
      </c>
      <c r="L12" s="86">
        <f t="shared" si="0"/>
        <v>1</v>
      </c>
      <c r="M12" s="86">
        <f t="shared" si="1"/>
        <v>1</v>
      </c>
      <c r="N12" s="86">
        <f t="shared" si="1"/>
        <v>1</v>
      </c>
      <c r="O12" s="86">
        <f t="shared" si="1"/>
        <v>1</v>
      </c>
      <c r="P12" s="86">
        <f t="shared" si="1"/>
        <v>1</v>
      </c>
      <c r="Q12" s="86">
        <f t="shared" si="1"/>
        <v>1</v>
      </c>
      <c r="R12" s="86">
        <f t="shared" si="1"/>
        <v>1</v>
      </c>
      <c r="S12" s="86">
        <f t="shared" si="1"/>
        <v>0</v>
      </c>
      <c r="T12" s="86">
        <f t="shared" si="1"/>
        <v>0</v>
      </c>
      <c r="U12" s="86">
        <f t="shared" si="1"/>
        <v>0</v>
      </c>
      <c r="V12" s="86">
        <f t="shared" si="1"/>
        <v>0</v>
      </c>
      <c r="X12" s="123" t="s">
        <v>65</v>
      </c>
      <c r="Y12" s="128">
        <f t="shared" si="2"/>
        <v>54</v>
      </c>
      <c r="Z12" s="128">
        <f t="shared" si="3"/>
        <v>30</v>
      </c>
      <c r="AA12" s="128">
        <f t="shared" si="4"/>
        <v>37</v>
      </c>
      <c r="AB12" s="128">
        <f t="shared" si="5"/>
        <v>46</v>
      </c>
    </row>
    <row r="13" spans="1:35" ht="15" customHeight="1">
      <c r="B13" s="87">
        <v>16</v>
      </c>
      <c r="C13" s="86">
        <f t="shared" si="0"/>
        <v>0</v>
      </c>
      <c r="D13" s="86">
        <f t="shared" si="0"/>
        <v>0</v>
      </c>
      <c r="E13" s="86">
        <f t="shared" si="0"/>
        <v>0</v>
      </c>
      <c r="F13" s="86">
        <f t="shared" si="0"/>
        <v>0</v>
      </c>
      <c r="G13" s="86">
        <f t="shared" si="0"/>
        <v>1</v>
      </c>
      <c r="H13" s="86">
        <f t="shared" si="0"/>
        <v>1</v>
      </c>
      <c r="I13" s="86">
        <f t="shared" si="0"/>
        <v>1</v>
      </c>
      <c r="J13" s="86">
        <f t="shared" si="0"/>
        <v>1</v>
      </c>
      <c r="K13" s="86">
        <f t="shared" si="0"/>
        <v>1</v>
      </c>
      <c r="L13" s="86">
        <f t="shared" si="0"/>
        <v>1</v>
      </c>
      <c r="M13" s="86">
        <f t="shared" si="1"/>
        <v>1</v>
      </c>
      <c r="N13" s="86">
        <f t="shared" si="1"/>
        <v>1</v>
      </c>
      <c r="O13" s="86">
        <f t="shared" si="1"/>
        <v>1</v>
      </c>
      <c r="P13" s="86">
        <f t="shared" si="1"/>
        <v>1</v>
      </c>
      <c r="Q13" s="86">
        <f t="shared" si="1"/>
        <v>1</v>
      </c>
      <c r="R13" s="86">
        <f t="shared" si="1"/>
        <v>0</v>
      </c>
      <c r="S13" s="86">
        <f t="shared" si="1"/>
        <v>0</v>
      </c>
      <c r="T13" s="86">
        <f t="shared" si="1"/>
        <v>0</v>
      </c>
      <c r="U13" s="86">
        <f t="shared" si="1"/>
        <v>0</v>
      </c>
      <c r="V13" s="86">
        <f t="shared" si="1"/>
        <v>0</v>
      </c>
      <c r="X13" s="123" t="s">
        <v>65</v>
      </c>
      <c r="Y13" s="128">
        <f t="shared" si="2"/>
        <v>128</v>
      </c>
      <c r="Z13" s="128">
        <f t="shared" si="3"/>
        <v>24</v>
      </c>
      <c r="AA13" s="128">
        <f t="shared" si="4"/>
        <v>47</v>
      </c>
      <c r="AB13" s="128">
        <f t="shared" si="5"/>
        <v>8</v>
      </c>
    </row>
    <row r="14" spans="1:35" ht="15" customHeight="1">
      <c r="B14" s="87">
        <v>17</v>
      </c>
      <c r="C14" s="86">
        <f t="shared" si="0"/>
        <v>0</v>
      </c>
      <c r="D14" s="86">
        <f t="shared" si="0"/>
        <v>0</v>
      </c>
      <c r="E14" s="86">
        <f t="shared" si="0"/>
        <v>1</v>
      </c>
      <c r="F14" s="86">
        <f t="shared" si="0"/>
        <v>1</v>
      </c>
      <c r="G14" s="86">
        <f t="shared" si="0"/>
        <v>0</v>
      </c>
      <c r="H14" s="86">
        <f t="shared" si="0"/>
        <v>0</v>
      </c>
      <c r="I14" s="86">
        <f t="shared" si="0"/>
        <v>0</v>
      </c>
      <c r="J14" s="86">
        <f t="shared" si="0"/>
        <v>2</v>
      </c>
      <c r="K14" s="86">
        <f t="shared" si="0"/>
        <v>1</v>
      </c>
      <c r="L14" s="86">
        <f t="shared" si="0"/>
        <v>1</v>
      </c>
      <c r="M14" s="86">
        <f t="shared" si="1"/>
        <v>1</v>
      </c>
      <c r="N14" s="86">
        <f t="shared" si="1"/>
        <v>1</v>
      </c>
      <c r="O14" s="86">
        <f t="shared" si="1"/>
        <v>1</v>
      </c>
      <c r="P14" s="86">
        <f t="shared" si="1"/>
        <v>1</v>
      </c>
      <c r="Q14" s="86">
        <f t="shared" si="1"/>
        <v>1</v>
      </c>
      <c r="R14" s="86">
        <f t="shared" si="1"/>
        <v>1</v>
      </c>
      <c r="S14" s="86">
        <f t="shared" si="1"/>
        <v>0</v>
      </c>
      <c r="T14" s="86">
        <f t="shared" si="1"/>
        <v>0</v>
      </c>
      <c r="U14" s="86">
        <f t="shared" si="1"/>
        <v>0</v>
      </c>
      <c r="V14" s="86">
        <f t="shared" si="1"/>
        <v>0</v>
      </c>
      <c r="X14" s="123" t="s">
        <v>65</v>
      </c>
      <c r="Y14" s="128">
        <f t="shared" si="2"/>
        <v>170</v>
      </c>
      <c r="Z14" s="128">
        <f t="shared" si="3"/>
        <v>29</v>
      </c>
      <c r="AA14" s="128">
        <f t="shared" si="4"/>
        <v>85</v>
      </c>
      <c r="AB14" s="128">
        <f t="shared" si="5"/>
        <v>13</v>
      </c>
    </row>
    <row r="15" spans="1:35" ht="15" customHeight="1">
      <c r="B15" s="87">
        <v>18</v>
      </c>
      <c r="C15" s="86">
        <f t="shared" si="0"/>
        <v>1</v>
      </c>
      <c r="D15" s="86">
        <f t="shared" si="0"/>
        <v>0</v>
      </c>
      <c r="E15" s="86">
        <f t="shared" si="0"/>
        <v>1</v>
      </c>
      <c r="F15" s="86">
        <f t="shared" si="0"/>
        <v>1</v>
      </c>
      <c r="G15" s="86">
        <f t="shared" si="0"/>
        <v>1</v>
      </c>
      <c r="H15" s="86">
        <f t="shared" si="0"/>
        <v>1</v>
      </c>
      <c r="I15" s="86">
        <f t="shared" si="0"/>
        <v>1</v>
      </c>
      <c r="J15" s="86">
        <f t="shared" si="0"/>
        <v>1</v>
      </c>
      <c r="K15" s="86">
        <f t="shared" si="0"/>
        <v>1</v>
      </c>
      <c r="L15" s="86">
        <f t="shared" si="0"/>
        <v>0</v>
      </c>
      <c r="M15" s="86">
        <f t="shared" si="1"/>
        <v>0</v>
      </c>
      <c r="N15" s="86">
        <f t="shared" si="1"/>
        <v>1</v>
      </c>
      <c r="O15" s="86">
        <f t="shared" si="1"/>
        <v>1</v>
      </c>
      <c r="P15" s="86">
        <f t="shared" si="1"/>
        <v>1</v>
      </c>
      <c r="Q15" s="86">
        <f t="shared" si="1"/>
        <v>1</v>
      </c>
      <c r="R15" s="86">
        <f t="shared" si="1"/>
        <v>0</v>
      </c>
      <c r="S15" s="86">
        <f t="shared" si="1"/>
        <v>0</v>
      </c>
      <c r="T15" s="86">
        <f t="shared" si="1"/>
        <v>0</v>
      </c>
      <c r="U15" s="86">
        <f t="shared" si="1"/>
        <v>0</v>
      </c>
      <c r="V15" s="86">
        <f t="shared" si="1"/>
        <v>0</v>
      </c>
      <c r="X15" s="123" t="s">
        <v>65</v>
      </c>
      <c r="Y15" s="128">
        <f t="shared" si="2"/>
        <v>143</v>
      </c>
      <c r="Z15" s="128">
        <f t="shared" si="3"/>
        <v>19</v>
      </c>
      <c r="AA15" s="128">
        <f t="shared" si="4"/>
        <v>58</v>
      </c>
      <c r="AB15" s="128">
        <f t="shared" si="5"/>
        <v>23</v>
      </c>
    </row>
    <row r="16" spans="1:35" ht="15" customHeight="1">
      <c r="B16" s="87">
        <v>19</v>
      </c>
      <c r="C16" s="86">
        <f t="shared" si="0"/>
        <v>1</v>
      </c>
      <c r="D16" s="86">
        <f t="shared" si="0"/>
        <v>0</v>
      </c>
      <c r="E16" s="86">
        <f t="shared" si="0"/>
        <v>1</v>
      </c>
      <c r="F16" s="86">
        <f t="shared" si="0"/>
        <v>1</v>
      </c>
      <c r="G16" s="86">
        <f t="shared" si="0"/>
        <v>1</v>
      </c>
      <c r="H16" s="86">
        <f t="shared" si="0"/>
        <v>1</v>
      </c>
      <c r="I16" s="86">
        <f t="shared" si="0"/>
        <v>0</v>
      </c>
      <c r="J16" s="86">
        <f t="shared" si="0"/>
        <v>0</v>
      </c>
      <c r="K16" s="86">
        <f t="shared" si="0"/>
        <v>0</v>
      </c>
      <c r="L16" s="86">
        <f t="shared" si="0"/>
        <v>1</v>
      </c>
      <c r="M16" s="86">
        <f t="shared" si="1"/>
        <v>1</v>
      </c>
      <c r="N16" s="86">
        <f t="shared" si="1"/>
        <v>1</v>
      </c>
      <c r="O16" s="86">
        <f t="shared" si="1"/>
        <v>1</v>
      </c>
      <c r="P16" s="86">
        <f t="shared" si="1"/>
        <v>2</v>
      </c>
      <c r="Q16" s="86">
        <f t="shared" si="1"/>
        <v>1</v>
      </c>
      <c r="R16" s="86">
        <f t="shared" si="1"/>
        <v>1</v>
      </c>
      <c r="S16" s="86">
        <f t="shared" si="1"/>
        <v>0</v>
      </c>
      <c r="T16" s="86">
        <f t="shared" si="1"/>
        <v>0</v>
      </c>
      <c r="U16" s="86">
        <f t="shared" si="1"/>
        <v>0</v>
      </c>
      <c r="V16" s="86">
        <f t="shared" si="1"/>
        <v>0</v>
      </c>
      <c r="X16" s="123" t="s">
        <v>65</v>
      </c>
      <c r="Y16" s="128">
        <f t="shared" si="2"/>
        <v>150</v>
      </c>
      <c r="Z16" s="128">
        <f t="shared" si="3"/>
        <v>47</v>
      </c>
      <c r="AA16" s="128">
        <f t="shared" si="4"/>
        <v>61</v>
      </c>
      <c r="AB16" s="128">
        <f t="shared" si="5"/>
        <v>7</v>
      </c>
    </row>
    <row r="17" spans="2:28" ht="15" customHeight="1">
      <c r="B17" s="87">
        <v>20</v>
      </c>
      <c r="C17" s="86">
        <f t="shared" si="0"/>
        <v>1</v>
      </c>
      <c r="D17" s="86">
        <f t="shared" si="0"/>
        <v>1</v>
      </c>
      <c r="E17" s="86">
        <f t="shared" si="0"/>
        <v>1</v>
      </c>
      <c r="F17" s="86">
        <f t="shared" si="0"/>
        <v>2</v>
      </c>
      <c r="G17" s="86">
        <f t="shared" si="0"/>
        <v>1</v>
      </c>
      <c r="H17" s="86">
        <f t="shared" si="0"/>
        <v>0</v>
      </c>
      <c r="I17" s="86">
        <f t="shared" si="0"/>
        <v>0</v>
      </c>
      <c r="J17" s="86">
        <f t="shared" si="0"/>
        <v>1</v>
      </c>
      <c r="K17" s="86">
        <f t="shared" si="0"/>
        <v>0</v>
      </c>
      <c r="L17" s="86">
        <f t="shared" si="0"/>
        <v>1</v>
      </c>
      <c r="M17" s="86">
        <f t="shared" si="1"/>
        <v>0</v>
      </c>
      <c r="N17" s="86">
        <f t="shared" si="1"/>
        <v>0</v>
      </c>
      <c r="O17" s="86">
        <f t="shared" si="1"/>
        <v>0</v>
      </c>
      <c r="P17" s="86">
        <f t="shared" si="1"/>
        <v>0</v>
      </c>
      <c r="Q17" s="86">
        <f t="shared" si="1"/>
        <v>0</v>
      </c>
      <c r="R17" s="86">
        <f t="shared" si="1"/>
        <v>0</v>
      </c>
      <c r="S17" s="86">
        <f t="shared" si="1"/>
        <v>0</v>
      </c>
      <c r="T17" s="86">
        <f t="shared" si="1"/>
        <v>0</v>
      </c>
      <c r="U17" s="86">
        <f t="shared" si="1"/>
        <v>0</v>
      </c>
      <c r="V17" s="86">
        <f t="shared" si="1"/>
        <v>0</v>
      </c>
      <c r="X17" s="123" t="s">
        <v>65</v>
      </c>
      <c r="Y17" s="128">
        <f t="shared" si="2"/>
        <v>43</v>
      </c>
      <c r="Z17" s="128">
        <f t="shared" si="3"/>
        <v>11</v>
      </c>
      <c r="AA17" s="128">
        <f t="shared" si="4"/>
        <v>30</v>
      </c>
      <c r="AB17" s="128">
        <f t="shared" si="5"/>
        <v>3</v>
      </c>
    </row>
    <row r="18" spans="2:28" ht="15" customHeight="1">
      <c r="B18" s="87">
        <v>21</v>
      </c>
      <c r="C18" s="86">
        <f t="shared" si="0"/>
        <v>1</v>
      </c>
      <c r="D18" s="86">
        <f t="shared" si="0"/>
        <v>1</v>
      </c>
      <c r="E18" s="86">
        <f t="shared" si="0"/>
        <v>0</v>
      </c>
      <c r="F18" s="86">
        <f t="shared" si="0"/>
        <v>0</v>
      </c>
      <c r="G18" s="86">
        <f t="shared" si="0"/>
        <v>1</v>
      </c>
      <c r="H18" s="86">
        <f t="shared" si="0"/>
        <v>1</v>
      </c>
      <c r="I18" s="86">
        <f t="shared" si="0"/>
        <v>0</v>
      </c>
      <c r="J18" s="86">
        <f t="shared" si="0"/>
        <v>0</v>
      </c>
      <c r="K18" s="86">
        <f t="shared" si="0"/>
        <v>1</v>
      </c>
      <c r="L18" s="86">
        <f t="shared" si="0"/>
        <v>1</v>
      </c>
      <c r="M18" s="86">
        <f t="shared" si="1"/>
        <v>1</v>
      </c>
      <c r="N18" s="86">
        <f t="shared" si="1"/>
        <v>1</v>
      </c>
      <c r="O18" s="86">
        <f t="shared" si="1"/>
        <v>1</v>
      </c>
      <c r="P18" s="86">
        <f t="shared" si="1"/>
        <v>0</v>
      </c>
      <c r="Q18" s="86">
        <f t="shared" si="1"/>
        <v>0</v>
      </c>
      <c r="R18" s="86">
        <f t="shared" si="1"/>
        <v>0</v>
      </c>
      <c r="S18" s="86">
        <f t="shared" si="1"/>
        <v>0</v>
      </c>
      <c r="T18" s="86">
        <f t="shared" si="1"/>
        <v>0</v>
      </c>
      <c r="U18" s="86">
        <f t="shared" si="1"/>
        <v>0</v>
      </c>
      <c r="V18" s="86">
        <f t="shared" si="1"/>
        <v>0</v>
      </c>
      <c r="X18" s="123" t="s">
        <v>65</v>
      </c>
      <c r="Y18" s="128">
        <f t="shared" si="2"/>
        <v>104</v>
      </c>
      <c r="Z18" s="128">
        <f t="shared" si="3"/>
        <v>72</v>
      </c>
      <c r="AA18" s="128">
        <f t="shared" si="4"/>
        <v>47</v>
      </c>
      <c r="AB18" s="128">
        <f t="shared" si="5"/>
        <v>4</v>
      </c>
    </row>
    <row r="19" spans="2:28" ht="15" customHeight="1">
      <c r="B19" s="87">
        <v>22</v>
      </c>
      <c r="C19" s="86">
        <f t="shared" ref="C19:L28" si="6">SUMIFS(SumaBo,CentroBO,$B19,TurnoBo,C$8)</f>
        <v>1</v>
      </c>
      <c r="D19" s="86">
        <f t="shared" si="6"/>
        <v>0</v>
      </c>
      <c r="E19" s="86">
        <f t="shared" si="6"/>
        <v>0</v>
      </c>
      <c r="F19" s="86">
        <f t="shared" si="6"/>
        <v>1</v>
      </c>
      <c r="G19" s="86">
        <f t="shared" si="6"/>
        <v>0</v>
      </c>
      <c r="H19" s="86">
        <f t="shared" si="6"/>
        <v>1</v>
      </c>
      <c r="I19" s="86">
        <f t="shared" si="6"/>
        <v>1</v>
      </c>
      <c r="J19" s="86">
        <f t="shared" si="6"/>
        <v>1</v>
      </c>
      <c r="K19" s="86">
        <f t="shared" si="6"/>
        <v>1</v>
      </c>
      <c r="L19" s="86">
        <f t="shared" si="6"/>
        <v>1</v>
      </c>
      <c r="M19" s="86">
        <f t="shared" ref="M19:V28" si="7">SUMIFS(SumaBo,CentroBO,$B19,TurnoBo,M$8)</f>
        <v>1</v>
      </c>
      <c r="N19" s="86">
        <f t="shared" si="7"/>
        <v>1</v>
      </c>
      <c r="O19" s="86">
        <f t="shared" si="7"/>
        <v>1</v>
      </c>
      <c r="P19" s="86">
        <f t="shared" si="7"/>
        <v>0</v>
      </c>
      <c r="Q19" s="86">
        <f t="shared" si="7"/>
        <v>0</v>
      </c>
      <c r="R19" s="86">
        <f t="shared" si="7"/>
        <v>0</v>
      </c>
      <c r="S19" s="86">
        <f t="shared" si="7"/>
        <v>0</v>
      </c>
      <c r="T19" s="86">
        <f t="shared" si="7"/>
        <v>0</v>
      </c>
      <c r="U19" s="86">
        <f t="shared" si="7"/>
        <v>0</v>
      </c>
      <c r="V19" s="86">
        <f t="shared" si="7"/>
        <v>0</v>
      </c>
      <c r="X19" s="123" t="s">
        <v>65</v>
      </c>
      <c r="Y19" s="128">
        <f t="shared" si="2"/>
        <v>36</v>
      </c>
      <c r="Z19" s="128">
        <f t="shared" si="3"/>
        <v>19</v>
      </c>
      <c r="AA19" s="128">
        <f t="shared" si="4"/>
        <v>27</v>
      </c>
      <c r="AB19" s="128">
        <f t="shared" si="5"/>
        <v>22</v>
      </c>
    </row>
    <row r="20" spans="2:28" ht="15" customHeight="1">
      <c r="B20" s="87">
        <v>23</v>
      </c>
      <c r="C20" s="86">
        <f t="shared" si="6"/>
        <v>0</v>
      </c>
      <c r="D20" s="86">
        <f t="shared" si="6"/>
        <v>0</v>
      </c>
      <c r="E20" s="86">
        <f t="shared" si="6"/>
        <v>0</v>
      </c>
      <c r="F20" s="86">
        <f t="shared" si="6"/>
        <v>1</v>
      </c>
      <c r="G20" s="86">
        <f t="shared" si="6"/>
        <v>1</v>
      </c>
      <c r="H20" s="86">
        <f t="shared" si="6"/>
        <v>2</v>
      </c>
      <c r="I20" s="86">
        <f t="shared" si="6"/>
        <v>1</v>
      </c>
      <c r="J20" s="86">
        <f t="shared" si="6"/>
        <v>1</v>
      </c>
      <c r="K20" s="86">
        <f t="shared" si="6"/>
        <v>1</v>
      </c>
      <c r="L20" s="86">
        <f t="shared" si="6"/>
        <v>1</v>
      </c>
      <c r="M20" s="86">
        <f t="shared" si="7"/>
        <v>1</v>
      </c>
      <c r="N20" s="86">
        <f t="shared" si="7"/>
        <v>1</v>
      </c>
      <c r="O20" s="86">
        <f t="shared" si="7"/>
        <v>1</v>
      </c>
      <c r="P20" s="86">
        <f t="shared" si="7"/>
        <v>1</v>
      </c>
      <c r="Q20" s="86">
        <f t="shared" si="7"/>
        <v>1</v>
      </c>
      <c r="R20" s="86">
        <f t="shared" si="7"/>
        <v>0</v>
      </c>
      <c r="S20" s="86">
        <f t="shared" si="7"/>
        <v>0</v>
      </c>
      <c r="T20" s="86">
        <f t="shared" si="7"/>
        <v>0</v>
      </c>
      <c r="U20" s="86">
        <f t="shared" si="7"/>
        <v>0</v>
      </c>
      <c r="V20" s="86">
        <f t="shared" si="7"/>
        <v>0</v>
      </c>
      <c r="X20" s="123" t="s">
        <v>65</v>
      </c>
      <c r="Y20" s="128">
        <f t="shared" si="2"/>
        <v>135</v>
      </c>
      <c r="Z20" s="128">
        <f t="shared" si="3"/>
        <v>73</v>
      </c>
      <c r="AA20" s="128">
        <f t="shared" si="4"/>
        <v>26</v>
      </c>
      <c r="AB20" s="128">
        <f t="shared" si="5"/>
        <v>58</v>
      </c>
    </row>
    <row r="21" spans="2:28" ht="15" customHeight="1">
      <c r="B21" s="87">
        <v>24</v>
      </c>
      <c r="C21" s="86">
        <f t="shared" si="6"/>
        <v>0</v>
      </c>
      <c r="D21" s="86">
        <f t="shared" si="6"/>
        <v>0</v>
      </c>
      <c r="E21" s="86">
        <f t="shared" si="6"/>
        <v>1</v>
      </c>
      <c r="F21" s="86">
        <f t="shared" si="6"/>
        <v>1</v>
      </c>
      <c r="G21" s="86">
        <f t="shared" si="6"/>
        <v>1</v>
      </c>
      <c r="H21" s="86">
        <f t="shared" si="6"/>
        <v>1</v>
      </c>
      <c r="I21" s="86">
        <f t="shared" si="6"/>
        <v>1</v>
      </c>
      <c r="J21" s="86">
        <f t="shared" si="6"/>
        <v>1</v>
      </c>
      <c r="K21" s="86">
        <f t="shared" si="6"/>
        <v>1</v>
      </c>
      <c r="L21" s="86">
        <f t="shared" si="6"/>
        <v>1</v>
      </c>
      <c r="M21" s="86">
        <f t="shared" si="7"/>
        <v>1</v>
      </c>
      <c r="N21" s="86">
        <f t="shared" si="7"/>
        <v>1</v>
      </c>
      <c r="O21" s="86">
        <f t="shared" si="7"/>
        <v>1</v>
      </c>
      <c r="P21" s="86">
        <f t="shared" si="7"/>
        <v>1</v>
      </c>
      <c r="Q21" s="86">
        <f t="shared" si="7"/>
        <v>0</v>
      </c>
      <c r="R21" s="86">
        <f t="shared" si="7"/>
        <v>0</v>
      </c>
      <c r="S21" s="86">
        <f t="shared" si="7"/>
        <v>0</v>
      </c>
      <c r="T21" s="86">
        <f t="shared" si="7"/>
        <v>0</v>
      </c>
      <c r="U21" s="86">
        <f t="shared" si="7"/>
        <v>0</v>
      </c>
      <c r="V21" s="86">
        <f t="shared" si="7"/>
        <v>0</v>
      </c>
      <c r="X21" s="123" t="s">
        <v>65</v>
      </c>
      <c r="Y21" s="128">
        <f t="shared" si="2"/>
        <v>216</v>
      </c>
      <c r="Z21" s="128">
        <f t="shared" si="3"/>
        <v>32</v>
      </c>
      <c r="AA21" s="128">
        <f t="shared" si="4"/>
        <v>56</v>
      </c>
      <c r="AB21" s="128">
        <f t="shared" si="5"/>
        <v>10</v>
      </c>
    </row>
    <row r="22" spans="2:28" ht="15" customHeight="1">
      <c r="B22" s="87">
        <v>25</v>
      </c>
      <c r="C22" s="86">
        <f t="shared" si="6"/>
        <v>2</v>
      </c>
      <c r="D22" s="86">
        <f t="shared" si="6"/>
        <v>2</v>
      </c>
      <c r="E22" s="86">
        <f t="shared" si="6"/>
        <v>1</v>
      </c>
      <c r="F22" s="86">
        <f t="shared" si="6"/>
        <v>3</v>
      </c>
      <c r="G22" s="86">
        <f t="shared" si="6"/>
        <v>2</v>
      </c>
      <c r="H22" s="86">
        <f t="shared" si="6"/>
        <v>2</v>
      </c>
      <c r="I22" s="86">
        <f t="shared" si="6"/>
        <v>2</v>
      </c>
      <c r="J22" s="86">
        <f t="shared" si="6"/>
        <v>2</v>
      </c>
      <c r="K22" s="86">
        <f t="shared" si="6"/>
        <v>2</v>
      </c>
      <c r="L22" s="86">
        <f t="shared" si="6"/>
        <v>1</v>
      </c>
      <c r="M22" s="86">
        <f t="shared" si="7"/>
        <v>1</v>
      </c>
      <c r="N22" s="86">
        <f t="shared" si="7"/>
        <v>0</v>
      </c>
      <c r="O22" s="86">
        <f t="shared" si="7"/>
        <v>1</v>
      </c>
      <c r="P22" s="86">
        <f t="shared" si="7"/>
        <v>1</v>
      </c>
      <c r="Q22" s="86">
        <f t="shared" si="7"/>
        <v>1</v>
      </c>
      <c r="R22" s="86">
        <f t="shared" si="7"/>
        <v>1</v>
      </c>
      <c r="S22" s="86">
        <f t="shared" si="7"/>
        <v>0</v>
      </c>
      <c r="T22" s="86">
        <f t="shared" si="7"/>
        <v>0</v>
      </c>
      <c r="U22" s="86">
        <f t="shared" si="7"/>
        <v>0</v>
      </c>
      <c r="V22" s="86">
        <f t="shared" si="7"/>
        <v>0</v>
      </c>
      <c r="X22" s="123" t="s">
        <v>65</v>
      </c>
      <c r="Y22" s="128">
        <f t="shared" si="2"/>
        <v>198</v>
      </c>
      <c r="Z22" s="128">
        <f t="shared" si="3"/>
        <v>125</v>
      </c>
      <c r="AA22" s="128">
        <f t="shared" si="4"/>
        <v>52</v>
      </c>
      <c r="AB22" s="128">
        <f t="shared" si="5"/>
        <v>25</v>
      </c>
    </row>
    <row r="23" spans="2:28" ht="15" customHeight="1">
      <c r="B23" s="87">
        <v>26</v>
      </c>
      <c r="C23" s="86">
        <f t="shared" si="6"/>
        <v>1</v>
      </c>
      <c r="D23" s="86">
        <f t="shared" si="6"/>
        <v>0</v>
      </c>
      <c r="E23" s="86">
        <f t="shared" si="6"/>
        <v>0</v>
      </c>
      <c r="F23" s="86">
        <f t="shared" si="6"/>
        <v>1</v>
      </c>
      <c r="G23" s="86">
        <f t="shared" si="6"/>
        <v>0</v>
      </c>
      <c r="H23" s="86">
        <f t="shared" si="6"/>
        <v>0</v>
      </c>
      <c r="I23" s="86">
        <f t="shared" si="6"/>
        <v>0</v>
      </c>
      <c r="J23" s="86">
        <f t="shared" si="6"/>
        <v>1</v>
      </c>
      <c r="K23" s="86">
        <f t="shared" si="6"/>
        <v>1</v>
      </c>
      <c r="L23" s="86">
        <f t="shared" si="6"/>
        <v>1</v>
      </c>
      <c r="M23" s="86">
        <f t="shared" si="7"/>
        <v>1</v>
      </c>
      <c r="N23" s="86">
        <f t="shared" si="7"/>
        <v>1</v>
      </c>
      <c r="O23" s="86">
        <f t="shared" si="7"/>
        <v>1</v>
      </c>
      <c r="P23" s="86">
        <f t="shared" si="7"/>
        <v>1</v>
      </c>
      <c r="Q23" s="86">
        <f t="shared" si="7"/>
        <v>1</v>
      </c>
      <c r="R23" s="86">
        <f t="shared" si="7"/>
        <v>0</v>
      </c>
      <c r="S23" s="86">
        <f t="shared" si="7"/>
        <v>0</v>
      </c>
      <c r="T23" s="86">
        <f t="shared" si="7"/>
        <v>0</v>
      </c>
      <c r="U23" s="86">
        <f t="shared" si="7"/>
        <v>0</v>
      </c>
      <c r="V23" s="86">
        <f t="shared" si="7"/>
        <v>0</v>
      </c>
      <c r="X23" s="123" t="s">
        <v>65</v>
      </c>
      <c r="Y23" s="128">
        <f t="shared" si="2"/>
        <v>101</v>
      </c>
      <c r="Z23" s="128">
        <f t="shared" si="3"/>
        <v>31</v>
      </c>
      <c r="AA23" s="128">
        <f t="shared" si="4"/>
        <v>19</v>
      </c>
      <c r="AB23" s="128">
        <f t="shared" si="5"/>
        <v>18</v>
      </c>
    </row>
    <row r="24" spans="2:28" ht="15" customHeight="1">
      <c r="B24" s="87">
        <v>27</v>
      </c>
      <c r="C24" s="86">
        <f t="shared" si="6"/>
        <v>0</v>
      </c>
      <c r="D24" s="86">
        <f t="shared" si="6"/>
        <v>0</v>
      </c>
      <c r="E24" s="86">
        <f t="shared" si="6"/>
        <v>0</v>
      </c>
      <c r="F24" s="86">
        <f t="shared" si="6"/>
        <v>0</v>
      </c>
      <c r="G24" s="86">
        <f t="shared" si="6"/>
        <v>0</v>
      </c>
      <c r="H24" s="86">
        <f t="shared" si="6"/>
        <v>0</v>
      </c>
      <c r="I24" s="86">
        <f t="shared" si="6"/>
        <v>2</v>
      </c>
      <c r="J24" s="86">
        <f t="shared" si="6"/>
        <v>1</v>
      </c>
      <c r="K24" s="86">
        <f t="shared" si="6"/>
        <v>1</v>
      </c>
      <c r="L24" s="86">
        <f t="shared" si="6"/>
        <v>1</v>
      </c>
      <c r="M24" s="86">
        <f t="shared" si="7"/>
        <v>1</v>
      </c>
      <c r="N24" s="86">
        <f t="shared" si="7"/>
        <v>1</v>
      </c>
      <c r="O24" s="86">
        <f t="shared" si="7"/>
        <v>1</v>
      </c>
      <c r="P24" s="86">
        <f t="shared" si="7"/>
        <v>1</v>
      </c>
      <c r="Q24" s="86">
        <f t="shared" si="7"/>
        <v>1</v>
      </c>
      <c r="R24" s="86">
        <f t="shared" si="7"/>
        <v>1</v>
      </c>
      <c r="S24" s="86">
        <f t="shared" si="7"/>
        <v>1</v>
      </c>
      <c r="T24" s="86">
        <f t="shared" si="7"/>
        <v>1</v>
      </c>
      <c r="U24" s="86">
        <f t="shared" si="7"/>
        <v>0</v>
      </c>
      <c r="V24" s="86">
        <f t="shared" si="7"/>
        <v>0</v>
      </c>
      <c r="X24" s="123" t="s">
        <v>65</v>
      </c>
      <c r="Y24" s="128">
        <f t="shared" si="2"/>
        <v>27</v>
      </c>
      <c r="Z24" s="128">
        <f t="shared" si="3"/>
        <v>136</v>
      </c>
      <c r="AA24" s="128">
        <f t="shared" si="4"/>
        <v>19</v>
      </c>
      <c r="AB24" s="128">
        <f t="shared" si="5"/>
        <v>8</v>
      </c>
    </row>
    <row r="25" spans="2:28" ht="15" customHeight="1">
      <c r="B25" s="87">
        <v>28</v>
      </c>
      <c r="C25" s="86">
        <f t="shared" si="6"/>
        <v>1</v>
      </c>
      <c r="D25" s="86">
        <f t="shared" si="6"/>
        <v>1</v>
      </c>
      <c r="E25" s="86">
        <f t="shared" si="6"/>
        <v>1</v>
      </c>
      <c r="F25" s="86">
        <f t="shared" si="6"/>
        <v>1</v>
      </c>
      <c r="G25" s="86">
        <f t="shared" si="6"/>
        <v>1</v>
      </c>
      <c r="H25" s="86">
        <f t="shared" si="6"/>
        <v>1</v>
      </c>
      <c r="I25" s="86">
        <f t="shared" si="6"/>
        <v>1</v>
      </c>
      <c r="J25" s="86">
        <f t="shared" si="6"/>
        <v>1</v>
      </c>
      <c r="K25" s="86">
        <f t="shared" si="6"/>
        <v>1</v>
      </c>
      <c r="L25" s="86">
        <f t="shared" si="6"/>
        <v>1</v>
      </c>
      <c r="M25" s="86">
        <f t="shared" si="7"/>
        <v>1</v>
      </c>
      <c r="N25" s="86">
        <f t="shared" si="7"/>
        <v>1</v>
      </c>
      <c r="O25" s="86">
        <f t="shared" si="7"/>
        <v>1</v>
      </c>
      <c r="P25" s="86">
        <f t="shared" si="7"/>
        <v>1</v>
      </c>
      <c r="Q25" s="86">
        <f t="shared" si="7"/>
        <v>1</v>
      </c>
      <c r="R25" s="86">
        <f t="shared" si="7"/>
        <v>1</v>
      </c>
      <c r="S25" s="86">
        <f t="shared" si="7"/>
        <v>1</v>
      </c>
      <c r="T25" s="86">
        <f t="shared" si="7"/>
        <v>0</v>
      </c>
      <c r="U25" s="86">
        <f t="shared" si="7"/>
        <v>0</v>
      </c>
      <c r="V25" s="86">
        <f t="shared" si="7"/>
        <v>0</v>
      </c>
      <c r="X25" s="123" t="s">
        <v>65</v>
      </c>
      <c r="Y25" s="128">
        <f t="shared" si="2"/>
        <v>51</v>
      </c>
      <c r="Z25" s="128">
        <f t="shared" si="3"/>
        <v>58</v>
      </c>
      <c r="AA25" s="128">
        <f t="shared" si="4"/>
        <v>43</v>
      </c>
      <c r="AB25" s="128">
        <f t="shared" si="5"/>
        <v>23</v>
      </c>
    </row>
    <row r="26" spans="2:28" ht="15" customHeight="1">
      <c r="B26" s="87">
        <v>29</v>
      </c>
      <c r="C26" s="86">
        <f t="shared" si="6"/>
        <v>0</v>
      </c>
      <c r="D26" s="86">
        <f t="shared" si="6"/>
        <v>0</v>
      </c>
      <c r="E26" s="86">
        <f t="shared" si="6"/>
        <v>0</v>
      </c>
      <c r="F26" s="86">
        <f t="shared" si="6"/>
        <v>0</v>
      </c>
      <c r="G26" s="86">
        <f t="shared" si="6"/>
        <v>0</v>
      </c>
      <c r="H26" s="86">
        <f t="shared" si="6"/>
        <v>0</v>
      </c>
      <c r="I26" s="86">
        <f t="shared" si="6"/>
        <v>0</v>
      </c>
      <c r="J26" s="86">
        <f t="shared" si="6"/>
        <v>0</v>
      </c>
      <c r="K26" s="86">
        <f t="shared" si="6"/>
        <v>0</v>
      </c>
      <c r="L26" s="86">
        <f t="shared" si="6"/>
        <v>0</v>
      </c>
      <c r="M26" s="86">
        <f t="shared" si="7"/>
        <v>0</v>
      </c>
      <c r="N26" s="86">
        <f t="shared" si="7"/>
        <v>0</v>
      </c>
      <c r="O26" s="86">
        <f t="shared" si="7"/>
        <v>0</v>
      </c>
      <c r="P26" s="86">
        <f t="shared" si="7"/>
        <v>0</v>
      </c>
      <c r="Q26" s="86">
        <f t="shared" si="7"/>
        <v>0</v>
      </c>
      <c r="R26" s="86">
        <f t="shared" si="7"/>
        <v>0</v>
      </c>
      <c r="S26" s="86">
        <f t="shared" si="7"/>
        <v>0</v>
      </c>
      <c r="T26" s="86">
        <f t="shared" si="7"/>
        <v>0</v>
      </c>
      <c r="U26" s="86">
        <f t="shared" si="7"/>
        <v>0</v>
      </c>
      <c r="V26" s="86">
        <f t="shared" si="7"/>
        <v>0</v>
      </c>
      <c r="X26" s="123" t="s">
        <v>65</v>
      </c>
      <c r="Y26" s="128">
        <f t="shared" si="2"/>
        <v>0</v>
      </c>
      <c r="Z26" s="128">
        <f t="shared" si="3"/>
        <v>0</v>
      </c>
      <c r="AA26" s="128">
        <f t="shared" si="4"/>
        <v>0</v>
      </c>
      <c r="AB26" s="128">
        <f t="shared" si="5"/>
        <v>0</v>
      </c>
    </row>
    <row r="27" spans="2:28" ht="15" customHeight="1">
      <c r="B27" s="87">
        <v>30</v>
      </c>
      <c r="C27" s="86">
        <f t="shared" si="6"/>
        <v>1</v>
      </c>
      <c r="D27" s="86">
        <f t="shared" si="6"/>
        <v>0</v>
      </c>
      <c r="E27" s="86">
        <f t="shared" si="6"/>
        <v>1</v>
      </c>
      <c r="F27" s="86">
        <f t="shared" si="6"/>
        <v>1</v>
      </c>
      <c r="G27" s="86">
        <f t="shared" si="6"/>
        <v>0</v>
      </c>
      <c r="H27" s="86">
        <f t="shared" si="6"/>
        <v>1</v>
      </c>
      <c r="I27" s="86">
        <f t="shared" si="6"/>
        <v>1</v>
      </c>
      <c r="J27" s="86">
        <f t="shared" si="6"/>
        <v>1</v>
      </c>
      <c r="K27" s="86">
        <f t="shared" si="6"/>
        <v>2</v>
      </c>
      <c r="L27" s="86">
        <f t="shared" si="6"/>
        <v>1</v>
      </c>
      <c r="M27" s="86">
        <f t="shared" si="7"/>
        <v>0</v>
      </c>
      <c r="N27" s="86">
        <f t="shared" si="7"/>
        <v>0</v>
      </c>
      <c r="O27" s="86">
        <f t="shared" si="7"/>
        <v>0</v>
      </c>
      <c r="P27" s="86">
        <f t="shared" si="7"/>
        <v>0</v>
      </c>
      <c r="Q27" s="86">
        <f t="shared" si="7"/>
        <v>0</v>
      </c>
      <c r="R27" s="86">
        <f t="shared" si="7"/>
        <v>0</v>
      </c>
      <c r="S27" s="86">
        <f t="shared" si="7"/>
        <v>0</v>
      </c>
      <c r="T27" s="86">
        <f t="shared" si="7"/>
        <v>0</v>
      </c>
      <c r="U27" s="86">
        <f t="shared" si="7"/>
        <v>0</v>
      </c>
      <c r="V27" s="86">
        <f t="shared" si="7"/>
        <v>0</v>
      </c>
      <c r="X27" s="123" t="s">
        <v>65</v>
      </c>
      <c r="Y27" s="128">
        <f t="shared" si="2"/>
        <v>125</v>
      </c>
      <c r="Z27" s="128">
        <f t="shared" si="3"/>
        <v>11</v>
      </c>
      <c r="AA27" s="128">
        <f t="shared" si="4"/>
        <v>21</v>
      </c>
      <c r="AB27" s="128">
        <f t="shared" si="5"/>
        <v>13</v>
      </c>
    </row>
    <row r="28" spans="2:28" ht="15" customHeight="1">
      <c r="B28" s="87">
        <v>31</v>
      </c>
      <c r="C28" s="86">
        <f t="shared" si="6"/>
        <v>0</v>
      </c>
      <c r="D28" s="86">
        <f t="shared" si="6"/>
        <v>0</v>
      </c>
      <c r="E28" s="86">
        <f t="shared" si="6"/>
        <v>0</v>
      </c>
      <c r="F28" s="86">
        <f t="shared" si="6"/>
        <v>0</v>
      </c>
      <c r="G28" s="86">
        <f t="shared" si="6"/>
        <v>0</v>
      </c>
      <c r="H28" s="86">
        <f t="shared" si="6"/>
        <v>1</v>
      </c>
      <c r="I28" s="86">
        <f t="shared" si="6"/>
        <v>1</v>
      </c>
      <c r="J28" s="86">
        <f t="shared" si="6"/>
        <v>1</v>
      </c>
      <c r="K28" s="86">
        <f t="shared" si="6"/>
        <v>1</v>
      </c>
      <c r="L28" s="86">
        <f t="shared" si="6"/>
        <v>1</v>
      </c>
      <c r="M28" s="86">
        <f t="shared" si="7"/>
        <v>1</v>
      </c>
      <c r="N28" s="86">
        <f t="shared" si="7"/>
        <v>1</v>
      </c>
      <c r="O28" s="86">
        <f t="shared" si="7"/>
        <v>1</v>
      </c>
      <c r="P28" s="86">
        <f t="shared" si="7"/>
        <v>1</v>
      </c>
      <c r="Q28" s="86">
        <f t="shared" si="7"/>
        <v>0</v>
      </c>
      <c r="R28" s="86">
        <f t="shared" si="7"/>
        <v>0</v>
      </c>
      <c r="S28" s="86">
        <f t="shared" si="7"/>
        <v>0</v>
      </c>
      <c r="T28" s="86">
        <f t="shared" si="7"/>
        <v>0</v>
      </c>
      <c r="U28" s="86">
        <f t="shared" si="7"/>
        <v>0</v>
      </c>
      <c r="V28" s="86">
        <f t="shared" si="7"/>
        <v>0</v>
      </c>
      <c r="X28" s="123" t="s">
        <v>66</v>
      </c>
      <c r="Y28" s="128">
        <f t="shared" si="2"/>
        <v>38</v>
      </c>
      <c r="Z28" s="128">
        <f t="shared" si="3"/>
        <v>28</v>
      </c>
      <c r="AA28" s="128">
        <f t="shared" si="4"/>
        <v>16</v>
      </c>
      <c r="AB28" s="128">
        <f t="shared" si="5"/>
        <v>36</v>
      </c>
    </row>
    <row r="29" spans="2:28" ht="15" customHeight="1">
      <c r="B29" s="87">
        <v>32</v>
      </c>
      <c r="C29" s="86">
        <f t="shared" ref="C29:L39" si="8">SUMIFS(SumaBo,CentroBO,$B29,TurnoBo,C$8)</f>
        <v>0</v>
      </c>
      <c r="D29" s="86">
        <f t="shared" si="8"/>
        <v>0</v>
      </c>
      <c r="E29" s="86">
        <f t="shared" si="8"/>
        <v>1</v>
      </c>
      <c r="F29" s="86">
        <f t="shared" si="8"/>
        <v>0</v>
      </c>
      <c r="G29" s="86">
        <f t="shared" si="8"/>
        <v>1</v>
      </c>
      <c r="H29" s="86">
        <f t="shared" si="8"/>
        <v>1</v>
      </c>
      <c r="I29" s="86">
        <f t="shared" si="8"/>
        <v>1</v>
      </c>
      <c r="J29" s="86">
        <f t="shared" si="8"/>
        <v>1</v>
      </c>
      <c r="K29" s="86">
        <f t="shared" si="8"/>
        <v>1</v>
      </c>
      <c r="L29" s="86">
        <f t="shared" si="8"/>
        <v>1</v>
      </c>
      <c r="M29" s="86">
        <f t="shared" ref="M29:V39" si="9">SUMIFS(SumaBo,CentroBO,$B29,TurnoBo,M$8)</f>
        <v>1</v>
      </c>
      <c r="N29" s="86">
        <f t="shared" si="9"/>
        <v>1</v>
      </c>
      <c r="O29" s="86">
        <f t="shared" si="9"/>
        <v>0</v>
      </c>
      <c r="P29" s="86">
        <f t="shared" si="9"/>
        <v>0</v>
      </c>
      <c r="Q29" s="86">
        <f t="shared" si="9"/>
        <v>0</v>
      </c>
      <c r="R29" s="86">
        <f t="shared" si="9"/>
        <v>0</v>
      </c>
      <c r="S29" s="86">
        <f t="shared" si="9"/>
        <v>0</v>
      </c>
      <c r="T29" s="86">
        <f t="shared" si="9"/>
        <v>0</v>
      </c>
      <c r="U29" s="86">
        <f t="shared" si="9"/>
        <v>0</v>
      </c>
      <c r="V29" s="86">
        <f t="shared" si="9"/>
        <v>0</v>
      </c>
      <c r="X29" s="123" t="s">
        <v>67</v>
      </c>
      <c r="Y29" s="128">
        <f t="shared" si="2"/>
        <v>87</v>
      </c>
      <c r="Z29" s="128">
        <f t="shared" si="3"/>
        <v>93</v>
      </c>
      <c r="AA29" s="128">
        <f t="shared" si="4"/>
        <v>1</v>
      </c>
      <c r="AB29" s="128">
        <f t="shared" si="5"/>
        <v>32</v>
      </c>
    </row>
    <row r="30" spans="2:28" ht="15" customHeight="1">
      <c r="B30" s="87">
        <v>33</v>
      </c>
      <c r="C30" s="86">
        <f t="shared" si="8"/>
        <v>0</v>
      </c>
      <c r="D30" s="86">
        <f t="shared" si="8"/>
        <v>0</v>
      </c>
      <c r="E30" s="86">
        <f t="shared" si="8"/>
        <v>0</v>
      </c>
      <c r="F30" s="86">
        <f t="shared" si="8"/>
        <v>1</v>
      </c>
      <c r="G30" s="86">
        <f t="shared" si="8"/>
        <v>0</v>
      </c>
      <c r="H30" s="86">
        <f t="shared" si="8"/>
        <v>1</v>
      </c>
      <c r="I30" s="86">
        <f t="shared" si="8"/>
        <v>1</v>
      </c>
      <c r="J30" s="86">
        <f t="shared" si="8"/>
        <v>1</v>
      </c>
      <c r="K30" s="86">
        <f t="shared" si="8"/>
        <v>1</v>
      </c>
      <c r="L30" s="86">
        <f t="shared" si="8"/>
        <v>1</v>
      </c>
      <c r="M30" s="86">
        <f t="shared" si="9"/>
        <v>0</v>
      </c>
      <c r="N30" s="86">
        <f t="shared" si="9"/>
        <v>1</v>
      </c>
      <c r="O30" s="86">
        <f t="shared" si="9"/>
        <v>1</v>
      </c>
      <c r="P30" s="86">
        <f t="shared" si="9"/>
        <v>1</v>
      </c>
      <c r="Q30" s="86">
        <f t="shared" si="9"/>
        <v>0</v>
      </c>
      <c r="R30" s="86">
        <f t="shared" si="9"/>
        <v>0</v>
      </c>
      <c r="S30" s="86">
        <f t="shared" si="9"/>
        <v>0</v>
      </c>
      <c r="T30" s="86">
        <f t="shared" si="9"/>
        <v>0</v>
      </c>
      <c r="U30" s="86">
        <f t="shared" si="9"/>
        <v>0</v>
      </c>
      <c r="V30" s="86">
        <f t="shared" si="9"/>
        <v>0</v>
      </c>
      <c r="X30" s="123" t="s">
        <v>67</v>
      </c>
      <c r="Y30" s="128">
        <f t="shared" si="2"/>
        <v>39</v>
      </c>
      <c r="Z30" s="128">
        <f t="shared" si="3"/>
        <v>34</v>
      </c>
      <c r="AA30" s="128">
        <f t="shared" si="4"/>
        <v>3</v>
      </c>
      <c r="AB30" s="128">
        <f t="shared" si="5"/>
        <v>2</v>
      </c>
    </row>
    <row r="31" spans="2:28" ht="15" customHeight="1">
      <c r="B31" s="87">
        <v>34</v>
      </c>
      <c r="C31" s="86">
        <f t="shared" si="8"/>
        <v>1</v>
      </c>
      <c r="D31" s="86">
        <f t="shared" si="8"/>
        <v>0</v>
      </c>
      <c r="E31" s="86">
        <f t="shared" si="8"/>
        <v>1</v>
      </c>
      <c r="F31" s="86">
        <f t="shared" si="8"/>
        <v>1</v>
      </c>
      <c r="G31" s="86">
        <f t="shared" si="8"/>
        <v>1</v>
      </c>
      <c r="H31" s="86">
        <f t="shared" si="8"/>
        <v>1</v>
      </c>
      <c r="I31" s="86">
        <f t="shared" si="8"/>
        <v>1</v>
      </c>
      <c r="J31" s="86">
        <f t="shared" si="8"/>
        <v>1</v>
      </c>
      <c r="K31" s="86">
        <f t="shared" si="8"/>
        <v>1</v>
      </c>
      <c r="L31" s="86">
        <f t="shared" si="8"/>
        <v>1</v>
      </c>
      <c r="M31" s="86">
        <f t="shared" si="9"/>
        <v>1</v>
      </c>
      <c r="N31" s="86">
        <f t="shared" si="9"/>
        <v>1</v>
      </c>
      <c r="O31" s="86">
        <f t="shared" si="9"/>
        <v>1</v>
      </c>
      <c r="P31" s="86">
        <f t="shared" si="9"/>
        <v>1</v>
      </c>
      <c r="Q31" s="86">
        <f t="shared" si="9"/>
        <v>1</v>
      </c>
      <c r="R31" s="86">
        <f t="shared" si="9"/>
        <v>0</v>
      </c>
      <c r="S31" s="86">
        <f t="shared" si="9"/>
        <v>0</v>
      </c>
      <c r="T31" s="86">
        <f t="shared" si="9"/>
        <v>0</v>
      </c>
      <c r="U31" s="86">
        <f t="shared" si="9"/>
        <v>0</v>
      </c>
      <c r="V31" s="86">
        <f t="shared" si="9"/>
        <v>0</v>
      </c>
      <c r="X31" s="123" t="s">
        <v>67</v>
      </c>
      <c r="Y31" s="128">
        <f t="shared" si="2"/>
        <v>119</v>
      </c>
      <c r="Z31" s="128">
        <f t="shared" si="3"/>
        <v>82</v>
      </c>
      <c r="AA31" s="128">
        <f t="shared" si="4"/>
        <v>4</v>
      </c>
      <c r="AB31" s="128">
        <f t="shared" si="5"/>
        <v>13</v>
      </c>
    </row>
    <row r="32" spans="2:28" ht="15" customHeight="1">
      <c r="B32" s="87">
        <v>35</v>
      </c>
      <c r="C32" s="86">
        <f t="shared" si="8"/>
        <v>1</v>
      </c>
      <c r="D32" s="86">
        <f t="shared" si="8"/>
        <v>1</v>
      </c>
      <c r="E32" s="86">
        <f t="shared" si="8"/>
        <v>1</v>
      </c>
      <c r="F32" s="86">
        <f t="shared" si="8"/>
        <v>2</v>
      </c>
      <c r="G32" s="86">
        <f t="shared" si="8"/>
        <v>1</v>
      </c>
      <c r="H32" s="86">
        <f t="shared" si="8"/>
        <v>1</v>
      </c>
      <c r="I32" s="86">
        <f t="shared" si="8"/>
        <v>1</v>
      </c>
      <c r="J32" s="86">
        <f t="shared" si="8"/>
        <v>1</v>
      </c>
      <c r="K32" s="86">
        <f t="shared" si="8"/>
        <v>1</v>
      </c>
      <c r="L32" s="86">
        <f t="shared" si="8"/>
        <v>0</v>
      </c>
      <c r="M32" s="86">
        <f t="shared" si="9"/>
        <v>0</v>
      </c>
      <c r="N32" s="86">
        <f t="shared" si="9"/>
        <v>1</v>
      </c>
      <c r="O32" s="86">
        <f t="shared" si="9"/>
        <v>1</v>
      </c>
      <c r="P32" s="86">
        <f t="shared" si="9"/>
        <v>1</v>
      </c>
      <c r="Q32" s="86">
        <f t="shared" si="9"/>
        <v>1</v>
      </c>
      <c r="R32" s="86">
        <f t="shared" si="9"/>
        <v>1</v>
      </c>
      <c r="S32" s="86">
        <f t="shared" si="9"/>
        <v>0</v>
      </c>
      <c r="T32" s="86">
        <f t="shared" si="9"/>
        <v>0</v>
      </c>
      <c r="U32" s="86">
        <f t="shared" si="9"/>
        <v>0</v>
      </c>
      <c r="V32" s="86">
        <f t="shared" si="9"/>
        <v>0</v>
      </c>
      <c r="X32" s="123" t="s">
        <v>67</v>
      </c>
      <c r="Y32" s="128">
        <f t="shared" si="2"/>
        <v>80</v>
      </c>
      <c r="Z32" s="128">
        <f t="shared" si="3"/>
        <v>78</v>
      </c>
      <c r="AA32" s="128">
        <f t="shared" si="4"/>
        <v>8</v>
      </c>
      <c r="AB32" s="128">
        <f t="shared" si="5"/>
        <v>16</v>
      </c>
    </row>
    <row r="33" spans="2:28" ht="15" customHeight="1">
      <c r="B33" s="87">
        <v>36</v>
      </c>
      <c r="C33" s="86">
        <f t="shared" si="8"/>
        <v>0</v>
      </c>
      <c r="D33" s="86">
        <f t="shared" si="8"/>
        <v>0</v>
      </c>
      <c r="E33" s="86">
        <f t="shared" si="8"/>
        <v>1</v>
      </c>
      <c r="F33" s="86">
        <f t="shared" si="8"/>
        <v>0</v>
      </c>
      <c r="G33" s="86">
        <f t="shared" si="8"/>
        <v>1</v>
      </c>
      <c r="H33" s="86">
        <f t="shared" si="8"/>
        <v>1</v>
      </c>
      <c r="I33" s="86">
        <f t="shared" si="8"/>
        <v>0</v>
      </c>
      <c r="J33" s="86">
        <f t="shared" si="8"/>
        <v>0</v>
      </c>
      <c r="K33" s="86">
        <f t="shared" si="8"/>
        <v>1</v>
      </c>
      <c r="L33" s="86">
        <f t="shared" si="8"/>
        <v>1</v>
      </c>
      <c r="M33" s="86">
        <f t="shared" si="9"/>
        <v>1</v>
      </c>
      <c r="N33" s="86">
        <f t="shared" si="9"/>
        <v>1</v>
      </c>
      <c r="O33" s="86">
        <f t="shared" si="9"/>
        <v>1</v>
      </c>
      <c r="P33" s="86">
        <f t="shared" si="9"/>
        <v>1</v>
      </c>
      <c r="Q33" s="86">
        <f t="shared" si="9"/>
        <v>1</v>
      </c>
      <c r="R33" s="86">
        <f t="shared" si="9"/>
        <v>0</v>
      </c>
      <c r="S33" s="86">
        <f t="shared" si="9"/>
        <v>0</v>
      </c>
      <c r="T33" s="86">
        <f t="shared" si="9"/>
        <v>0</v>
      </c>
      <c r="U33" s="86">
        <f t="shared" si="9"/>
        <v>0</v>
      </c>
      <c r="V33" s="86">
        <f t="shared" si="9"/>
        <v>0</v>
      </c>
      <c r="X33" s="123" t="s">
        <v>67</v>
      </c>
      <c r="Y33" s="128">
        <f t="shared" si="2"/>
        <v>121</v>
      </c>
      <c r="Z33" s="128">
        <f t="shared" si="3"/>
        <v>86</v>
      </c>
      <c r="AA33" s="128">
        <f t="shared" si="4"/>
        <v>8</v>
      </c>
      <c r="AB33" s="128">
        <f t="shared" si="5"/>
        <v>19</v>
      </c>
    </row>
    <row r="34" spans="2:28" ht="15" customHeight="1">
      <c r="B34" s="87">
        <v>37</v>
      </c>
      <c r="C34" s="86">
        <f t="shared" si="8"/>
        <v>1</v>
      </c>
      <c r="D34" s="86">
        <f t="shared" si="8"/>
        <v>1</v>
      </c>
      <c r="E34" s="86">
        <f t="shared" si="8"/>
        <v>1</v>
      </c>
      <c r="F34" s="86">
        <f t="shared" si="8"/>
        <v>1</v>
      </c>
      <c r="G34" s="86">
        <f t="shared" si="8"/>
        <v>1</v>
      </c>
      <c r="H34" s="86">
        <f t="shared" si="8"/>
        <v>1</v>
      </c>
      <c r="I34" s="86">
        <f t="shared" si="8"/>
        <v>1</v>
      </c>
      <c r="J34" s="86">
        <f t="shared" si="8"/>
        <v>1</v>
      </c>
      <c r="K34" s="86">
        <f t="shared" si="8"/>
        <v>1</v>
      </c>
      <c r="L34" s="86">
        <f t="shared" si="8"/>
        <v>1</v>
      </c>
      <c r="M34" s="86">
        <f t="shared" si="9"/>
        <v>1</v>
      </c>
      <c r="N34" s="86">
        <f t="shared" si="9"/>
        <v>0</v>
      </c>
      <c r="O34" s="86">
        <f t="shared" si="9"/>
        <v>1</v>
      </c>
      <c r="P34" s="86">
        <f t="shared" si="9"/>
        <v>1</v>
      </c>
      <c r="Q34" s="86">
        <f t="shared" si="9"/>
        <v>0</v>
      </c>
      <c r="R34" s="86">
        <f t="shared" si="9"/>
        <v>0</v>
      </c>
      <c r="S34" s="86">
        <f t="shared" si="9"/>
        <v>0</v>
      </c>
      <c r="T34" s="86">
        <f t="shared" si="9"/>
        <v>0</v>
      </c>
      <c r="U34" s="86">
        <f t="shared" si="9"/>
        <v>0</v>
      </c>
      <c r="V34" s="86">
        <f t="shared" si="9"/>
        <v>0</v>
      </c>
      <c r="X34" s="123" t="s">
        <v>67</v>
      </c>
      <c r="Y34" s="128">
        <f t="shared" si="2"/>
        <v>18</v>
      </c>
      <c r="Z34" s="128">
        <f t="shared" si="3"/>
        <v>79</v>
      </c>
      <c r="AA34" s="128">
        <f t="shared" si="4"/>
        <v>1</v>
      </c>
      <c r="AB34" s="128">
        <f t="shared" si="5"/>
        <v>6</v>
      </c>
    </row>
    <row r="35" spans="2:28" ht="15" customHeight="1">
      <c r="B35" s="87">
        <v>38</v>
      </c>
      <c r="C35" s="86">
        <f t="shared" si="8"/>
        <v>1</v>
      </c>
      <c r="D35" s="86">
        <f t="shared" si="8"/>
        <v>0</v>
      </c>
      <c r="E35" s="86">
        <f t="shared" si="8"/>
        <v>0</v>
      </c>
      <c r="F35" s="86">
        <f t="shared" si="8"/>
        <v>0</v>
      </c>
      <c r="G35" s="86">
        <f t="shared" si="8"/>
        <v>1</v>
      </c>
      <c r="H35" s="86">
        <f t="shared" si="8"/>
        <v>1</v>
      </c>
      <c r="I35" s="86">
        <f t="shared" si="8"/>
        <v>1</v>
      </c>
      <c r="J35" s="86">
        <f t="shared" si="8"/>
        <v>1</v>
      </c>
      <c r="K35" s="86">
        <f t="shared" si="8"/>
        <v>1</v>
      </c>
      <c r="L35" s="86">
        <f t="shared" si="8"/>
        <v>2</v>
      </c>
      <c r="M35" s="86">
        <f t="shared" si="9"/>
        <v>2</v>
      </c>
      <c r="N35" s="86">
        <f t="shared" si="9"/>
        <v>1</v>
      </c>
      <c r="O35" s="86">
        <f t="shared" si="9"/>
        <v>2</v>
      </c>
      <c r="P35" s="86">
        <f t="shared" si="9"/>
        <v>1</v>
      </c>
      <c r="Q35" s="86">
        <f t="shared" si="9"/>
        <v>1</v>
      </c>
      <c r="R35" s="86">
        <f t="shared" si="9"/>
        <v>0</v>
      </c>
      <c r="S35" s="86">
        <f t="shared" si="9"/>
        <v>0</v>
      </c>
      <c r="T35" s="86">
        <f t="shared" si="9"/>
        <v>0</v>
      </c>
      <c r="U35" s="86">
        <f t="shared" si="9"/>
        <v>0</v>
      </c>
      <c r="V35" s="86">
        <f t="shared" si="9"/>
        <v>0</v>
      </c>
      <c r="X35" s="123" t="s">
        <v>67</v>
      </c>
      <c r="Y35" s="128">
        <f t="shared" si="2"/>
        <v>80</v>
      </c>
      <c r="Z35" s="128">
        <f t="shared" si="3"/>
        <v>96</v>
      </c>
      <c r="AA35" s="128">
        <f t="shared" si="4"/>
        <v>1</v>
      </c>
      <c r="AB35" s="128">
        <f t="shared" si="5"/>
        <v>27</v>
      </c>
    </row>
    <row r="36" spans="2:28" ht="15" customHeight="1">
      <c r="B36" s="87">
        <v>39</v>
      </c>
      <c r="C36" s="86">
        <f t="shared" si="8"/>
        <v>0</v>
      </c>
      <c r="D36" s="86">
        <f t="shared" si="8"/>
        <v>0</v>
      </c>
      <c r="E36" s="86">
        <f t="shared" si="8"/>
        <v>1</v>
      </c>
      <c r="F36" s="86">
        <f t="shared" si="8"/>
        <v>0</v>
      </c>
      <c r="G36" s="86">
        <f t="shared" si="8"/>
        <v>0</v>
      </c>
      <c r="H36" s="86">
        <f t="shared" si="8"/>
        <v>1</v>
      </c>
      <c r="I36" s="86">
        <f t="shared" si="8"/>
        <v>1</v>
      </c>
      <c r="J36" s="86">
        <f t="shared" si="8"/>
        <v>1</v>
      </c>
      <c r="K36" s="86">
        <f t="shared" si="8"/>
        <v>0</v>
      </c>
      <c r="L36" s="86">
        <f t="shared" si="8"/>
        <v>0</v>
      </c>
      <c r="M36" s="86">
        <f t="shared" si="9"/>
        <v>1</v>
      </c>
      <c r="N36" s="86">
        <f t="shared" si="9"/>
        <v>1</v>
      </c>
      <c r="O36" s="86">
        <f t="shared" si="9"/>
        <v>1</v>
      </c>
      <c r="P36" s="86">
        <f t="shared" si="9"/>
        <v>0</v>
      </c>
      <c r="Q36" s="86">
        <f t="shared" si="9"/>
        <v>0</v>
      </c>
      <c r="R36" s="86">
        <f t="shared" si="9"/>
        <v>1</v>
      </c>
      <c r="S36" s="86">
        <f t="shared" si="9"/>
        <v>1</v>
      </c>
      <c r="T36" s="86">
        <f t="shared" si="9"/>
        <v>0</v>
      </c>
      <c r="U36" s="86">
        <f t="shared" si="9"/>
        <v>0</v>
      </c>
      <c r="V36" s="86">
        <f t="shared" si="9"/>
        <v>0</v>
      </c>
      <c r="X36" s="123" t="s">
        <v>67</v>
      </c>
      <c r="Y36" s="128">
        <f t="shared" si="2"/>
        <v>26</v>
      </c>
      <c r="Z36" s="128">
        <f t="shared" si="3"/>
        <v>93</v>
      </c>
      <c r="AA36" s="128">
        <f t="shared" si="4"/>
        <v>7</v>
      </c>
      <c r="AB36" s="128">
        <f t="shared" si="5"/>
        <v>12</v>
      </c>
    </row>
    <row r="37" spans="2:28" ht="15" customHeight="1">
      <c r="B37" s="87">
        <v>40</v>
      </c>
      <c r="C37" s="86">
        <f t="shared" si="8"/>
        <v>0</v>
      </c>
      <c r="D37" s="86">
        <f t="shared" si="8"/>
        <v>1</v>
      </c>
      <c r="E37" s="86">
        <f t="shared" si="8"/>
        <v>0</v>
      </c>
      <c r="F37" s="86">
        <f t="shared" si="8"/>
        <v>0</v>
      </c>
      <c r="G37" s="86">
        <f t="shared" si="8"/>
        <v>0</v>
      </c>
      <c r="H37" s="86">
        <f t="shared" si="8"/>
        <v>0</v>
      </c>
      <c r="I37" s="86">
        <f t="shared" si="8"/>
        <v>0</v>
      </c>
      <c r="J37" s="86">
        <f t="shared" si="8"/>
        <v>1</v>
      </c>
      <c r="K37" s="86">
        <f t="shared" si="8"/>
        <v>1</v>
      </c>
      <c r="L37" s="86">
        <f t="shared" si="8"/>
        <v>1</v>
      </c>
      <c r="M37" s="86">
        <f t="shared" si="9"/>
        <v>1</v>
      </c>
      <c r="N37" s="86">
        <f t="shared" si="9"/>
        <v>1</v>
      </c>
      <c r="O37" s="86">
        <f t="shared" si="9"/>
        <v>1</v>
      </c>
      <c r="P37" s="86">
        <f t="shared" si="9"/>
        <v>1</v>
      </c>
      <c r="Q37" s="86">
        <f t="shared" si="9"/>
        <v>1</v>
      </c>
      <c r="R37" s="86">
        <f t="shared" si="9"/>
        <v>1</v>
      </c>
      <c r="S37" s="86">
        <f t="shared" si="9"/>
        <v>0</v>
      </c>
      <c r="T37" s="86">
        <f t="shared" si="9"/>
        <v>0</v>
      </c>
      <c r="U37" s="86">
        <f t="shared" si="9"/>
        <v>0</v>
      </c>
      <c r="V37" s="86">
        <f t="shared" si="9"/>
        <v>0</v>
      </c>
      <c r="X37" s="123" t="s">
        <v>67</v>
      </c>
      <c r="Y37" s="128">
        <f t="shared" si="2"/>
        <v>81</v>
      </c>
      <c r="Z37" s="128">
        <f t="shared" si="3"/>
        <v>77</v>
      </c>
      <c r="AA37" s="128">
        <f t="shared" si="4"/>
        <v>4</v>
      </c>
      <c r="AB37" s="128">
        <f t="shared" si="5"/>
        <v>17</v>
      </c>
    </row>
    <row r="38" spans="2:28" ht="15" customHeight="1">
      <c r="B38" s="87">
        <v>41</v>
      </c>
      <c r="C38" s="86">
        <f t="shared" si="8"/>
        <v>0</v>
      </c>
      <c r="D38" s="86">
        <f t="shared" si="8"/>
        <v>1</v>
      </c>
      <c r="E38" s="86">
        <f t="shared" si="8"/>
        <v>0</v>
      </c>
      <c r="F38" s="86">
        <f t="shared" si="8"/>
        <v>0</v>
      </c>
      <c r="G38" s="86">
        <f t="shared" si="8"/>
        <v>1</v>
      </c>
      <c r="H38" s="86">
        <f t="shared" si="8"/>
        <v>1</v>
      </c>
      <c r="I38" s="86">
        <f t="shared" si="8"/>
        <v>0</v>
      </c>
      <c r="J38" s="86">
        <f t="shared" si="8"/>
        <v>0</v>
      </c>
      <c r="K38" s="86">
        <f t="shared" si="8"/>
        <v>1</v>
      </c>
      <c r="L38" s="86">
        <f t="shared" si="8"/>
        <v>1</v>
      </c>
      <c r="M38" s="86">
        <f t="shared" si="9"/>
        <v>1</v>
      </c>
      <c r="N38" s="86">
        <f t="shared" si="9"/>
        <v>1</v>
      </c>
      <c r="O38" s="86">
        <f t="shared" si="9"/>
        <v>1</v>
      </c>
      <c r="P38" s="86">
        <f t="shared" si="9"/>
        <v>1</v>
      </c>
      <c r="Q38" s="86">
        <f t="shared" si="9"/>
        <v>1</v>
      </c>
      <c r="R38" s="86">
        <f t="shared" si="9"/>
        <v>1</v>
      </c>
      <c r="S38" s="86">
        <f t="shared" si="9"/>
        <v>1</v>
      </c>
      <c r="T38" s="86">
        <f t="shared" si="9"/>
        <v>0</v>
      </c>
      <c r="U38" s="86">
        <f t="shared" si="9"/>
        <v>0</v>
      </c>
      <c r="V38" s="86">
        <f t="shared" si="9"/>
        <v>0</v>
      </c>
      <c r="X38" s="123" t="s">
        <v>68</v>
      </c>
      <c r="Y38" s="128">
        <f t="shared" si="2"/>
        <v>132</v>
      </c>
      <c r="Z38" s="128">
        <f t="shared" si="3"/>
        <v>114</v>
      </c>
      <c r="AA38" s="128">
        <f t="shared" si="4"/>
        <v>39</v>
      </c>
      <c r="AB38" s="128">
        <f t="shared" si="5"/>
        <v>18</v>
      </c>
    </row>
    <row r="39" spans="2:28" ht="15" customHeight="1">
      <c r="B39" s="87">
        <v>42</v>
      </c>
      <c r="C39" s="86">
        <f t="shared" si="8"/>
        <v>1</v>
      </c>
      <c r="D39" s="86">
        <f t="shared" si="8"/>
        <v>1</v>
      </c>
      <c r="E39" s="86">
        <f t="shared" si="8"/>
        <v>0</v>
      </c>
      <c r="F39" s="86">
        <f t="shared" si="8"/>
        <v>0</v>
      </c>
      <c r="G39" s="86">
        <f t="shared" si="8"/>
        <v>0</v>
      </c>
      <c r="H39" s="86">
        <f t="shared" si="8"/>
        <v>1</v>
      </c>
      <c r="I39" s="86">
        <f t="shared" si="8"/>
        <v>2</v>
      </c>
      <c r="J39" s="86">
        <f t="shared" si="8"/>
        <v>2</v>
      </c>
      <c r="K39" s="86">
        <f t="shared" si="8"/>
        <v>1</v>
      </c>
      <c r="L39" s="86">
        <f t="shared" si="8"/>
        <v>1</v>
      </c>
      <c r="M39" s="86">
        <f t="shared" si="9"/>
        <v>1</v>
      </c>
      <c r="N39" s="86">
        <f t="shared" si="9"/>
        <v>0</v>
      </c>
      <c r="O39" s="86">
        <f t="shared" si="9"/>
        <v>0</v>
      </c>
      <c r="P39" s="86">
        <f t="shared" si="9"/>
        <v>1</v>
      </c>
      <c r="Q39" s="86">
        <f t="shared" si="9"/>
        <v>1</v>
      </c>
      <c r="R39" s="86">
        <f t="shared" si="9"/>
        <v>1</v>
      </c>
      <c r="S39" s="86">
        <f t="shared" si="9"/>
        <v>1</v>
      </c>
      <c r="T39" s="86">
        <f t="shared" si="9"/>
        <v>0</v>
      </c>
      <c r="U39" s="86">
        <f t="shared" si="9"/>
        <v>0</v>
      </c>
      <c r="V39" s="86">
        <f t="shared" si="9"/>
        <v>0</v>
      </c>
      <c r="X39" s="123" t="s">
        <v>68</v>
      </c>
      <c r="Y39" s="128">
        <f t="shared" si="2"/>
        <v>67</v>
      </c>
      <c r="Z39" s="128">
        <f t="shared" si="3"/>
        <v>92</v>
      </c>
      <c r="AA39" s="128">
        <f t="shared" si="4"/>
        <v>70</v>
      </c>
      <c r="AB39" s="128">
        <f t="shared" si="5"/>
        <v>50</v>
      </c>
    </row>
    <row r="40" spans="2:28" ht="15" customHeight="1" thickBot="1">
      <c r="B40" s="88">
        <v>43</v>
      </c>
      <c r="C40" s="86">
        <f t="shared" ref="C40:V40" si="10">SUMIFS(SumaAp,CentroAp,$B40,TurnoAp,C$8)</f>
        <v>0</v>
      </c>
      <c r="D40" s="86">
        <f t="shared" si="10"/>
        <v>0</v>
      </c>
      <c r="E40" s="86">
        <f t="shared" si="10"/>
        <v>0</v>
      </c>
      <c r="F40" s="86">
        <f t="shared" si="10"/>
        <v>0</v>
      </c>
      <c r="G40" s="86">
        <f t="shared" si="10"/>
        <v>0</v>
      </c>
      <c r="H40" s="86">
        <f t="shared" si="10"/>
        <v>0</v>
      </c>
      <c r="I40" s="86">
        <f t="shared" si="10"/>
        <v>0</v>
      </c>
      <c r="J40" s="86">
        <f t="shared" si="10"/>
        <v>0</v>
      </c>
      <c r="K40" s="86">
        <f t="shared" si="10"/>
        <v>0</v>
      </c>
      <c r="L40" s="86">
        <f t="shared" si="10"/>
        <v>0</v>
      </c>
      <c r="M40" s="86">
        <f t="shared" si="10"/>
        <v>0</v>
      </c>
      <c r="N40" s="86">
        <f t="shared" si="10"/>
        <v>0</v>
      </c>
      <c r="O40" s="86">
        <f t="shared" si="10"/>
        <v>0</v>
      </c>
      <c r="P40" s="86">
        <f t="shared" si="10"/>
        <v>0</v>
      </c>
      <c r="Q40" s="86">
        <f t="shared" si="10"/>
        <v>0</v>
      </c>
      <c r="R40" s="86">
        <f t="shared" si="10"/>
        <v>0</v>
      </c>
      <c r="S40" s="86">
        <f t="shared" si="10"/>
        <v>0</v>
      </c>
      <c r="T40" s="86">
        <f t="shared" si="10"/>
        <v>0</v>
      </c>
      <c r="U40" s="86">
        <f t="shared" si="10"/>
        <v>0</v>
      </c>
      <c r="V40" s="86">
        <f t="shared" si="10"/>
        <v>0</v>
      </c>
      <c r="X40" s="124" t="s">
        <v>68</v>
      </c>
      <c r="Y40" s="132">
        <f t="shared" si="2"/>
        <v>122</v>
      </c>
      <c r="Z40" s="132">
        <f t="shared" si="3"/>
        <v>82</v>
      </c>
      <c r="AA40" s="132">
        <f t="shared" si="4"/>
        <v>40</v>
      </c>
      <c r="AB40" s="132">
        <f t="shared" si="5"/>
        <v>14</v>
      </c>
    </row>
    <row r="41" spans="2:28" ht="15" customHeight="1" thickBot="1"/>
    <row r="42" spans="2:28" ht="15" customHeight="1">
      <c r="X42" s="150" t="s">
        <v>65</v>
      </c>
      <c r="Y42" s="144">
        <f t="shared" ref="Y42:AB45" si="11">SUMIF(MunicipiosBo,$X42,Y$9:Y$40)</f>
        <v>2090</v>
      </c>
      <c r="Z42" s="144">
        <f t="shared" si="11"/>
        <v>875</v>
      </c>
      <c r="AA42" s="144">
        <f t="shared" si="11"/>
        <v>804</v>
      </c>
      <c r="AB42" s="145">
        <f t="shared" si="11"/>
        <v>348</v>
      </c>
    </row>
    <row r="43" spans="2:28" ht="15" customHeight="1">
      <c r="X43" s="151" t="s">
        <v>66</v>
      </c>
      <c r="Y43" s="80">
        <f t="shared" si="11"/>
        <v>38</v>
      </c>
      <c r="Z43" s="80">
        <f t="shared" si="11"/>
        <v>28</v>
      </c>
      <c r="AA43" s="80">
        <f t="shared" si="11"/>
        <v>16</v>
      </c>
      <c r="AB43" s="102">
        <f t="shared" si="11"/>
        <v>36</v>
      </c>
    </row>
    <row r="44" spans="2:28" ht="15" customHeight="1">
      <c r="X44" s="151" t="s">
        <v>67</v>
      </c>
      <c r="Y44" s="80">
        <f t="shared" si="11"/>
        <v>651</v>
      </c>
      <c r="Z44" s="80">
        <f t="shared" si="11"/>
        <v>718</v>
      </c>
      <c r="AA44" s="80">
        <f t="shared" si="11"/>
        <v>37</v>
      </c>
      <c r="AB44" s="102">
        <f t="shared" si="11"/>
        <v>144</v>
      </c>
    </row>
    <row r="45" spans="2:28" ht="15" customHeight="1" thickBot="1">
      <c r="X45" s="152" t="s">
        <v>68</v>
      </c>
      <c r="Y45" s="114">
        <f t="shared" si="11"/>
        <v>321</v>
      </c>
      <c r="Z45" s="114">
        <f t="shared" si="11"/>
        <v>288</v>
      </c>
      <c r="AA45" s="114">
        <f t="shared" si="11"/>
        <v>149</v>
      </c>
      <c r="AB45" s="115">
        <f t="shared" si="11"/>
        <v>82</v>
      </c>
    </row>
  </sheetData>
  <customSheetViews>
    <customSheetView guid="{F92CD80A-2F20-447E-84B4-C32E1E2FE9A3}" showGridLines="0" showRowCol="0">
      <selection activeCell="Y3" sqref="Y3"/>
      <pageMargins left="0.7" right="0.7" top="0.75" bottom="0.75" header="0.3" footer="0.3"/>
    </customSheetView>
    <customSheetView guid="{56AFE396-18B0-4AF5-AE05-5CBE92BF4893}" showGridLines="0" showRowCol="0">
      <selection activeCell="Y5" sqref="Y5"/>
      <pageMargins left="0.7" right="0.7" top="0.75" bottom="0.75" header="0.3" footer="0.3"/>
    </customSheetView>
    <customSheetView guid="{79B4DA94-8F3B-455B-B3D6-7A15488FD419}" showGridLines="0" showRowCol="0">
      <selection activeCell="Y3" sqref="Y3"/>
      <pageMargins left="0.7" right="0.7" top="0.75" bottom="0.75" header="0.3" footer="0.3"/>
    </customSheetView>
    <customSheetView guid="{4EA0FCF4-4E92-4FEF-BBB1-FFCF2D2846A6}" showGridLines="0" showRowCol="0">
      <selection activeCell="Y2" sqref="Y2"/>
      <pageMargins left="0.7" right="0.7" top="0.75" bottom="0.75" header="0.3" footer="0.3"/>
    </customSheetView>
  </customSheetViews>
  <mergeCells count="6">
    <mergeCell ref="B1:V1"/>
    <mergeCell ref="Y7:Y8"/>
    <mergeCell ref="Z7:Z8"/>
    <mergeCell ref="AA7:AA8"/>
    <mergeCell ref="AB7:AB8"/>
    <mergeCell ref="X7:X8"/>
  </mergeCells>
  <conditionalFormatting sqref="C8:V8 B6:K6">
    <cfRule type="cellIs" dxfId="17" priority="7" stopIfTrue="1" operator="equal">
      <formula>"F"</formula>
    </cfRule>
    <cfRule type="cellIs" dxfId="16" priority="8" stopIfTrue="1" operator="equal">
      <formula>"C"</formula>
    </cfRule>
    <cfRule type="cellIs" dxfId="15" priority="9" stopIfTrue="1" operator="equal">
      <formula>"C"</formula>
    </cfRule>
  </conditionalFormatting>
  <conditionalFormatting sqref="C9:V40">
    <cfRule type="cellIs" dxfId="14" priority="1" stopIfTrue="1" operator="equal">
      <formula>0</formula>
    </cfRule>
    <cfRule type="cellIs" dxfId="13" priority="2" stopIfTrue="1" operator="equal">
      <formula>1</formula>
    </cfRule>
    <cfRule type="cellIs" dxfId="12" priority="3" stopIfTrue="1" operator="greaterThan">
      <formula>1</formula>
    </cfRule>
  </conditionalFormatting>
  <hyperlinks>
    <hyperlink ref="Y2" location="PPrincipal!A1" display="* Pagina Principal"/>
    <hyperlink ref="Y3" location="CApure!A1" display="Sapure"/>
    <hyperlink ref="Y4" location="'CDelta Amacuro'!A1" display="Supervisor de Delta Amacuro"/>
    <hyperlink ref="Y5" location="CGuarico!A1" display="Supervisor de Guarico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X91"/>
  <sheetViews>
    <sheetView showGridLines="0" showRowColHeaders="0" workbookViewId="0">
      <pane ySplit="8" topLeftCell="A33" activePane="bottomLeft" state="frozen"/>
      <selection pane="bottomLeft" activeCell="I5" sqref="I5"/>
    </sheetView>
  </sheetViews>
  <sheetFormatPr baseColWidth="10" defaultRowHeight="12.75"/>
  <cols>
    <col min="1" max="1" width="42.7109375" customWidth="1"/>
    <col min="2" max="11" width="13.7109375" customWidth="1"/>
    <col min="12" max="13" width="13.7109375" style="23" customWidth="1"/>
    <col min="14" max="25" width="13.7109375" customWidth="1"/>
  </cols>
  <sheetData>
    <row r="1" spans="2:24" s="14" customFormat="1">
      <c r="J1" s="45"/>
      <c r="L1" s="28"/>
      <c r="M1" s="28"/>
    </row>
    <row r="2" spans="2:24" s="14" customFormat="1">
      <c r="I2" s="158" t="s">
        <v>39</v>
      </c>
      <c r="K2" s="96"/>
      <c r="L2" s="28"/>
      <c r="M2" s="28"/>
      <c r="P2" s="71" t="s">
        <v>10</v>
      </c>
      <c r="Q2" s="134">
        <f>R9</f>
        <v>0.67952840300107176</v>
      </c>
      <c r="R2" s="69"/>
    </row>
    <row r="3" spans="2:24" s="14" customFormat="1">
      <c r="I3" s="159" t="s">
        <v>23</v>
      </c>
      <c r="K3" s="96"/>
      <c r="L3" s="28"/>
      <c r="M3" s="28"/>
      <c r="P3" s="71" t="s">
        <v>11</v>
      </c>
      <c r="Q3" s="134">
        <f>U9</f>
        <v>0.27224008574490888</v>
      </c>
      <c r="R3" s="69"/>
    </row>
    <row r="4" spans="2:24" s="14" customFormat="1">
      <c r="I4" s="159" t="s">
        <v>4</v>
      </c>
      <c r="K4" s="96"/>
      <c r="L4" s="28"/>
      <c r="M4" s="28"/>
      <c r="P4" s="71" t="s">
        <v>9</v>
      </c>
      <c r="Q4" s="134">
        <f>X9</f>
        <v>4.8231511254019289E-2</v>
      </c>
      <c r="R4" s="69"/>
    </row>
    <row r="5" spans="2:24" s="14" customFormat="1">
      <c r="I5" s="158" t="s">
        <v>13</v>
      </c>
      <c r="K5" s="96"/>
      <c r="L5" s="28"/>
      <c r="M5" s="28"/>
      <c r="P5" s="135"/>
      <c r="Q5" s="135"/>
    </row>
    <row r="6" spans="2:24" s="14" customFormat="1" ht="33">
      <c r="B6" s="19">
        <v>23</v>
      </c>
      <c r="C6" s="19" t="s">
        <v>15</v>
      </c>
      <c r="D6" s="19"/>
      <c r="E6" s="19"/>
      <c r="F6" s="19"/>
      <c r="G6" s="19"/>
      <c r="H6" s="15"/>
      <c r="I6" s="15"/>
      <c r="J6" s="45"/>
      <c r="L6" s="28"/>
      <c r="M6" s="28"/>
    </row>
    <row r="7" spans="2:24" ht="13.5" thickBot="1"/>
    <row r="8" spans="2:24" ht="30.75" thickBot="1">
      <c r="B8" s="25" t="s">
        <v>1</v>
      </c>
      <c r="C8" s="26" t="s">
        <v>2</v>
      </c>
      <c r="D8" s="27" t="s">
        <v>0</v>
      </c>
      <c r="E8" s="13" t="s">
        <v>10</v>
      </c>
      <c r="F8" s="13" t="s">
        <v>11</v>
      </c>
      <c r="G8" s="13" t="s">
        <v>9</v>
      </c>
      <c r="M8" s="65" t="s">
        <v>54</v>
      </c>
      <c r="P8" s="172" t="s">
        <v>10</v>
      </c>
      <c r="Q8" s="173"/>
      <c r="R8" s="174"/>
      <c r="S8" s="172" t="s">
        <v>11</v>
      </c>
      <c r="T8" s="173"/>
      <c r="U8" s="174"/>
      <c r="V8" s="172" t="s">
        <v>9</v>
      </c>
      <c r="W8" s="173"/>
      <c r="X8" s="174"/>
    </row>
    <row r="9" spans="2:24" ht="18">
      <c r="B9" s="47">
        <v>23</v>
      </c>
      <c r="C9" s="47">
        <v>44</v>
      </c>
      <c r="D9" s="47">
        <v>1</v>
      </c>
      <c r="E9" s="47">
        <v>1</v>
      </c>
      <c r="F9" s="47">
        <v>1</v>
      </c>
      <c r="G9" s="52">
        <v>1</v>
      </c>
      <c r="M9" s="23">
        <v>1</v>
      </c>
      <c r="N9" s="170" t="s">
        <v>0</v>
      </c>
      <c r="O9" s="170"/>
      <c r="P9" s="36">
        <f>SUM(Lizeta_Hernandez)</f>
        <v>634</v>
      </c>
      <c r="Q9" s="37">
        <f>P9</f>
        <v>634</v>
      </c>
      <c r="R9" s="38">
        <f>P9/($P$9+$S$9+$V$9)</f>
        <v>0.67952840300107176</v>
      </c>
      <c r="S9" s="36">
        <f>SUM(Victor_Cedeño)</f>
        <v>254</v>
      </c>
      <c r="T9" s="37">
        <f>S9</f>
        <v>254</v>
      </c>
      <c r="U9" s="38">
        <f>S9/($P$9+$S$9+$V$9)</f>
        <v>0.27224008574490888</v>
      </c>
      <c r="V9" s="36">
        <f>SUM(OtroDA)</f>
        <v>45</v>
      </c>
      <c r="W9" s="37">
        <f>V9</f>
        <v>45</v>
      </c>
      <c r="X9" s="39">
        <f>V9/($P$9+$S$9+$V$9)</f>
        <v>4.8231511254019289E-2</v>
      </c>
    </row>
    <row r="10" spans="2:24" ht="18">
      <c r="B10" s="48">
        <v>23</v>
      </c>
      <c r="C10" s="48">
        <v>45</v>
      </c>
      <c r="D10" s="48">
        <v>4</v>
      </c>
      <c r="E10" s="48">
        <v>10</v>
      </c>
      <c r="F10" s="48">
        <v>8</v>
      </c>
      <c r="G10" s="53">
        <v>0</v>
      </c>
      <c r="M10" s="23">
        <v>1</v>
      </c>
      <c r="N10" s="6">
        <v>0.3125</v>
      </c>
      <c r="O10" s="2">
        <v>1</v>
      </c>
      <c r="P10" s="4">
        <f t="shared" ref="P10:P29" si="0">SUMIF(TurnoDA,$O10,Lizeta_Hernandez)</f>
        <v>9</v>
      </c>
      <c r="Q10" s="5">
        <f>P10</f>
        <v>9</v>
      </c>
      <c r="R10" s="10">
        <f>IF(P10&lt;&gt;0,Q10/($Q10+$T10+$W10),LOOKUP(2121,$R$3:$R$6))</f>
        <v>0.47368421052631576</v>
      </c>
      <c r="S10" s="4">
        <f t="shared" ref="S10:S29" si="1">SUMIF(TurnoDA,$O10,Victor_Cedeño)</f>
        <v>6</v>
      </c>
      <c r="T10" s="5">
        <f>S10</f>
        <v>6</v>
      </c>
      <c r="U10" s="10">
        <f>IF(S10&lt;&gt;0,T10/($Q10+$T10+$W10),LOOKUP(2121,$R$3:$R$6))</f>
        <v>0.31578947368421051</v>
      </c>
      <c r="V10" s="4">
        <f t="shared" ref="V10:V29" si="2">SUMIF(TurnoDA,$O10,OtroDA)</f>
        <v>4</v>
      </c>
      <c r="W10" s="5">
        <f>V10</f>
        <v>4</v>
      </c>
      <c r="X10" s="3">
        <f>IF(V10&lt;&gt;0,W10/($Q10+$T10+$W10),LOOKUP(2121,$R$3:$R$6))</f>
        <v>0.21052631578947367</v>
      </c>
    </row>
    <row r="11" spans="2:24" ht="18">
      <c r="B11" s="48">
        <v>23</v>
      </c>
      <c r="C11" s="48">
        <v>47</v>
      </c>
      <c r="D11" s="48">
        <v>1</v>
      </c>
      <c r="E11" s="48">
        <v>8</v>
      </c>
      <c r="F11" s="48">
        <v>5</v>
      </c>
      <c r="G11" s="53">
        <v>3</v>
      </c>
      <c r="M11" s="23">
        <v>1</v>
      </c>
      <c r="N11" s="6">
        <v>0.33333333333333298</v>
      </c>
      <c r="O11" s="2">
        <v>2</v>
      </c>
      <c r="P11" s="4">
        <f t="shared" si="0"/>
        <v>15</v>
      </c>
      <c r="Q11" s="5">
        <f>Q10+P11</f>
        <v>24</v>
      </c>
      <c r="R11" s="10">
        <f t="shared" ref="R11:R29" si="3">IF(P11&lt;&gt;0,Q11/($Q11+$T11+$W11),LOOKUP(2121,$R$3:$R$6))</f>
        <v>0.54545454545454541</v>
      </c>
      <c r="S11" s="4">
        <f t="shared" si="1"/>
        <v>7</v>
      </c>
      <c r="T11" s="5">
        <f>T10+S11</f>
        <v>13</v>
      </c>
      <c r="U11" s="10">
        <f t="shared" ref="U11:U29" si="4">IF(S11&lt;&gt;0,T11/($Q11+$T11+$W11),LOOKUP(2121,$R$3:$R$6))</f>
        <v>0.29545454545454547</v>
      </c>
      <c r="V11" s="4">
        <f t="shared" si="2"/>
        <v>3</v>
      </c>
      <c r="W11" s="5">
        <f>W10+V11</f>
        <v>7</v>
      </c>
      <c r="X11" s="3">
        <f t="shared" ref="X11:X29" si="5">IF(V11&lt;&gt;0,W11/($Q11+$T11+$W11),LOOKUP(2121,$R$3:$R$6))</f>
        <v>0.15909090909090909</v>
      </c>
    </row>
    <row r="12" spans="2:24" ht="18">
      <c r="B12" s="48">
        <v>23</v>
      </c>
      <c r="C12" s="48">
        <v>47</v>
      </c>
      <c r="D12" s="48">
        <v>5</v>
      </c>
      <c r="E12" s="48">
        <v>16</v>
      </c>
      <c r="F12" s="48">
        <v>6</v>
      </c>
      <c r="G12" s="53">
        <v>0</v>
      </c>
      <c r="M12" s="23">
        <v>1</v>
      </c>
      <c r="N12" s="6">
        <v>0.35416666666666702</v>
      </c>
      <c r="O12" s="2">
        <v>3</v>
      </c>
      <c r="P12" s="4">
        <f t="shared" si="0"/>
        <v>29</v>
      </c>
      <c r="Q12" s="5">
        <f t="shared" ref="Q12:Q29" si="6">Q11+P12</f>
        <v>53</v>
      </c>
      <c r="R12" s="10">
        <f t="shared" si="3"/>
        <v>0.5955056179775281</v>
      </c>
      <c r="S12" s="4">
        <f t="shared" si="1"/>
        <v>15</v>
      </c>
      <c r="T12" s="5">
        <f t="shared" ref="T12:T29" si="7">T11+S12</f>
        <v>28</v>
      </c>
      <c r="U12" s="10">
        <f t="shared" si="4"/>
        <v>0.3146067415730337</v>
      </c>
      <c r="V12" s="4">
        <f t="shared" si="2"/>
        <v>1</v>
      </c>
      <c r="W12" s="5">
        <f t="shared" ref="W12:W29" si="8">W11+V12</f>
        <v>8</v>
      </c>
      <c r="X12" s="3">
        <f t="shared" si="5"/>
        <v>8.98876404494382E-2</v>
      </c>
    </row>
    <row r="13" spans="2:24" ht="18">
      <c r="B13" s="48">
        <v>23</v>
      </c>
      <c r="C13" s="48">
        <v>47</v>
      </c>
      <c r="D13" s="48">
        <v>3</v>
      </c>
      <c r="E13" s="48">
        <v>8</v>
      </c>
      <c r="F13" s="48">
        <v>5</v>
      </c>
      <c r="G13" s="53">
        <v>0</v>
      </c>
      <c r="M13" s="23">
        <v>1</v>
      </c>
      <c r="N13" s="6">
        <v>0.375</v>
      </c>
      <c r="O13" s="2">
        <v>4</v>
      </c>
      <c r="P13" s="4">
        <f t="shared" si="0"/>
        <v>40</v>
      </c>
      <c r="Q13" s="5">
        <f t="shared" si="6"/>
        <v>93</v>
      </c>
      <c r="R13" s="10">
        <f t="shared" si="3"/>
        <v>0.6</v>
      </c>
      <c r="S13" s="4">
        <f t="shared" si="1"/>
        <v>26</v>
      </c>
      <c r="T13" s="5">
        <f t="shared" si="7"/>
        <v>54</v>
      </c>
      <c r="U13" s="10">
        <f t="shared" si="4"/>
        <v>0.34838709677419355</v>
      </c>
      <c r="V13" s="4">
        <f t="shared" si="2"/>
        <v>0</v>
      </c>
      <c r="W13" s="5">
        <f t="shared" si="8"/>
        <v>8</v>
      </c>
      <c r="X13" s="3" t="e">
        <f t="shared" si="5"/>
        <v>#N/A</v>
      </c>
    </row>
    <row r="14" spans="2:24" ht="18">
      <c r="B14" s="48">
        <v>23</v>
      </c>
      <c r="C14" s="48">
        <v>44</v>
      </c>
      <c r="D14" s="48">
        <v>2</v>
      </c>
      <c r="E14" s="48">
        <v>15</v>
      </c>
      <c r="F14" s="48">
        <v>7</v>
      </c>
      <c r="G14" s="53">
        <v>3</v>
      </c>
      <c r="M14" s="23">
        <v>1</v>
      </c>
      <c r="N14" s="6">
        <v>0.39583333333333298</v>
      </c>
      <c r="O14" s="2">
        <v>5</v>
      </c>
      <c r="P14" s="4">
        <f t="shared" si="0"/>
        <v>66</v>
      </c>
      <c r="Q14" s="5">
        <f t="shared" si="6"/>
        <v>159</v>
      </c>
      <c r="R14" s="10">
        <f t="shared" si="3"/>
        <v>0.62598425196850394</v>
      </c>
      <c r="S14" s="4">
        <f t="shared" si="1"/>
        <v>32</v>
      </c>
      <c r="T14" s="5">
        <f t="shared" si="7"/>
        <v>86</v>
      </c>
      <c r="U14" s="10">
        <f t="shared" si="4"/>
        <v>0.33858267716535434</v>
      </c>
      <c r="V14" s="4">
        <f t="shared" si="2"/>
        <v>1</v>
      </c>
      <c r="W14" s="5">
        <f t="shared" si="8"/>
        <v>9</v>
      </c>
      <c r="X14" s="3">
        <f t="shared" si="5"/>
        <v>3.5433070866141732E-2</v>
      </c>
    </row>
    <row r="15" spans="2:24" ht="18">
      <c r="B15" s="48">
        <v>23</v>
      </c>
      <c r="C15" s="48">
        <v>44</v>
      </c>
      <c r="D15" s="48">
        <v>3</v>
      </c>
      <c r="E15" s="48">
        <v>21</v>
      </c>
      <c r="F15" s="48">
        <v>10</v>
      </c>
      <c r="G15" s="53">
        <v>1</v>
      </c>
      <c r="M15" s="23">
        <v>1</v>
      </c>
      <c r="N15" s="6">
        <v>0.41666666666666702</v>
      </c>
      <c r="O15" s="2">
        <v>6</v>
      </c>
      <c r="P15" s="4">
        <f t="shared" si="0"/>
        <v>36</v>
      </c>
      <c r="Q15" s="5">
        <f t="shared" si="6"/>
        <v>195</v>
      </c>
      <c r="R15" s="10">
        <f t="shared" si="3"/>
        <v>0.64144736842105265</v>
      </c>
      <c r="S15" s="4">
        <f t="shared" si="1"/>
        <v>11</v>
      </c>
      <c r="T15" s="5">
        <f t="shared" si="7"/>
        <v>97</v>
      </c>
      <c r="U15" s="10">
        <f t="shared" si="4"/>
        <v>0.31907894736842107</v>
      </c>
      <c r="V15" s="4">
        <f t="shared" si="2"/>
        <v>3</v>
      </c>
      <c r="W15" s="5">
        <f t="shared" si="8"/>
        <v>12</v>
      </c>
      <c r="X15" s="3">
        <f t="shared" si="5"/>
        <v>3.9473684210526314E-2</v>
      </c>
    </row>
    <row r="16" spans="2:24" ht="18">
      <c r="B16" s="48">
        <v>23</v>
      </c>
      <c r="C16" s="48">
        <v>44</v>
      </c>
      <c r="D16" s="48">
        <v>5</v>
      </c>
      <c r="E16" s="48">
        <v>17</v>
      </c>
      <c r="F16" s="48">
        <v>10</v>
      </c>
      <c r="G16" s="53">
        <v>0</v>
      </c>
      <c r="M16" s="23">
        <v>1</v>
      </c>
      <c r="N16" s="6">
        <v>0.4375</v>
      </c>
      <c r="O16" s="2">
        <v>7</v>
      </c>
      <c r="P16" s="4">
        <f t="shared" si="0"/>
        <v>32</v>
      </c>
      <c r="Q16" s="5">
        <f t="shared" si="6"/>
        <v>227</v>
      </c>
      <c r="R16" s="10">
        <f t="shared" si="3"/>
        <v>0.65417867435158505</v>
      </c>
      <c r="S16" s="4">
        <f t="shared" si="1"/>
        <v>9</v>
      </c>
      <c r="T16" s="5">
        <f t="shared" si="7"/>
        <v>106</v>
      </c>
      <c r="U16" s="10">
        <f t="shared" si="4"/>
        <v>0.30547550432276654</v>
      </c>
      <c r="V16" s="4">
        <f t="shared" si="2"/>
        <v>2</v>
      </c>
      <c r="W16" s="5">
        <f t="shared" si="8"/>
        <v>14</v>
      </c>
      <c r="X16" s="3">
        <f t="shared" si="5"/>
        <v>4.0345821325648415E-2</v>
      </c>
    </row>
    <row r="17" spans="2:24" ht="18">
      <c r="B17" s="48">
        <v>23</v>
      </c>
      <c r="C17" s="48">
        <v>44</v>
      </c>
      <c r="D17" s="48">
        <v>4</v>
      </c>
      <c r="E17" s="48">
        <v>15</v>
      </c>
      <c r="F17" s="48">
        <v>9</v>
      </c>
      <c r="G17" s="53">
        <v>0</v>
      </c>
      <c r="M17" s="23">
        <v>1</v>
      </c>
      <c r="N17" s="6">
        <v>0.45833333333333298</v>
      </c>
      <c r="O17" s="2">
        <v>8</v>
      </c>
      <c r="P17" s="4">
        <f t="shared" si="0"/>
        <v>36</v>
      </c>
      <c r="Q17" s="5">
        <f t="shared" si="6"/>
        <v>263</v>
      </c>
      <c r="R17" s="10">
        <f t="shared" si="3"/>
        <v>0.65914786967418548</v>
      </c>
      <c r="S17" s="4">
        <f t="shared" si="1"/>
        <v>12</v>
      </c>
      <c r="T17" s="5">
        <f t="shared" si="7"/>
        <v>118</v>
      </c>
      <c r="U17" s="10">
        <f t="shared" si="4"/>
        <v>0.2957393483709273</v>
      </c>
      <c r="V17" s="4">
        <f t="shared" si="2"/>
        <v>4</v>
      </c>
      <c r="W17" s="5">
        <f t="shared" si="8"/>
        <v>18</v>
      </c>
      <c r="X17" s="3">
        <f t="shared" si="5"/>
        <v>4.5112781954887216E-2</v>
      </c>
    </row>
    <row r="18" spans="2:24" ht="18">
      <c r="B18" s="48">
        <v>23</v>
      </c>
      <c r="C18" s="48">
        <v>44</v>
      </c>
      <c r="D18" s="48">
        <v>4</v>
      </c>
      <c r="E18" s="48">
        <v>15</v>
      </c>
      <c r="F18" s="48">
        <v>9</v>
      </c>
      <c r="G18" s="53">
        <v>0</v>
      </c>
      <c r="M18" s="23">
        <v>1</v>
      </c>
      <c r="N18" s="6">
        <v>0.47916666666666702</v>
      </c>
      <c r="O18" s="2">
        <v>9</v>
      </c>
      <c r="P18" s="4">
        <f t="shared" si="0"/>
        <v>52</v>
      </c>
      <c r="Q18" s="5">
        <f t="shared" si="6"/>
        <v>315</v>
      </c>
      <c r="R18" s="10">
        <f t="shared" si="3"/>
        <v>0.66315789473684206</v>
      </c>
      <c r="S18" s="4">
        <f t="shared" si="1"/>
        <v>21</v>
      </c>
      <c r="T18" s="5">
        <f t="shared" si="7"/>
        <v>139</v>
      </c>
      <c r="U18" s="10">
        <f t="shared" si="4"/>
        <v>0.29263157894736841</v>
      </c>
      <c r="V18" s="4">
        <f t="shared" si="2"/>
        <v>3</v>
      </c>
      <c r="W18" s="5">
        <f t="shared" si="8"/>
        <v>21</v>
      </c>
      <c r="X18" s="3">
        <f t="shared" si="5"/>
        <v>4.4210526315789471E-2</v>
      </c>
    </row>
    <row r="19" spans="2:24" ht="18">
      <c r="B19" s="48">
        <v>23</v>
      </c>
      <c r="C19" s="48">
        <v>44</v>
      </c>
      <c r="D19" s="48">
        <v>5</v>
      </c>
      <c r="E19" s="48">
        <v>17</v>
      </c>
      <c r="F19" s="48">
        <v>10</v>
      </c>
      <c r="G19" s="53">
        <v>0</v>
      </c>
      <c r="M19" s="23">
        <v>1</v>
      </c>
      <c r="N19" s="6">
        <v>0.5</v>
      </c>
      <c r="O19" s="2">
        <v>10</v>
      </c>
      <c r="P19" s="4">
        <f t="shared" si="0"/>
        <v>56</v>
      </c>
      <c r="Q19" s="5">
        <f t="shared" si="6"/>
        <v>371</v>
      </c>
      <c r="R19" s="10">
        <f t="shared" si="3"/>
        <v>0.66846846846846841</v>
      </c>
      <c r="S19" s="4">
        <f t="shared" si="1"/>
        <v>20</v>
      </c>
      <c r="T19" s="5">
        <f t="shared" si="7"/>
        <v>159</v>
      </c>
      <c r="U19" s="10">
        <f t="shared" si="4"/>
        <v>0.2864864864864865</v>
      </c>
      <c r="V19" s="4">
        <f t="shared" si="2"/>
        <v>4</v>
      </c>
      <c r="W19" s="5">
        <f t="shared" si="8"/>
        <v>25</v>
      </c>
      <c r="X19" s="3">
        <f t="shared" si="5"/>
        <v>4.5045045045045043E-2</v>
      </c>
    </row>
    <row r="20" spans="2:24" ht="18">
      <c r="B20" s="48">
        <v>23</v>
      </c>
      <c r="C20" s="48">
        <v>47</v>
      </c>
      <c r="D20" s="48">
        <v>6</v>
      </c>
      <c r="E20" s="48">
        <v>19</v>
      </c>
      <c r="F20" s="48">
        <v>5</v>
      </c>
      <c r="G20" s="53">
        <v>1</v>
      </c>
      <c r="M20" s="23">
        <v>1</v>
      </c>
      <c r="N20" s="6">
        <v>0.52083333333333304</v>
      </c>
      <c r="O20" s="2">
        <v>11</v>
      </c>
      <c r="P20" s="4">
        <f t="shared" si="0"/>
        <v>55</v>
      </c>
      <c r="Q20" s="5">
        <f t="shared" si="6"/>
        <v>426</v>
      </c>
      <c r="R20" s="10">
        <f t="shared" si="3"/>
        <v>0.67192429022082023</v>
      </c>
      <c r="S20" s="4">
        <f t="shared" si="1"/>
        <v>22</v>
      </c>
      <c r="T20" s="5">
        <f t="shared" si="7"/>
        <v>181</v>
      </c>
      <c r="U20" s="10">
        <f t="shared" si="4"/>
        <v>0.28548895899053628</v>
      </c>
      <c r="V20" s="4">
        <f t="shared" si="2"/>
        <v>2</v>
      </c>
      <c r="W20" s="5">
        <f t="shared" si="8"/>
        <v>27</v>
      </c>
      <c r="X20" s="3">
        <f t="shared" si="5"/>
        <v>4.2586750788643532E-2</v>
      </c>
    </row>
    <row r="21" spans="2:24" ht="18">
      <c r="B21" s="48">
        <v>23</v>
      </c>
      <c r="C21" s="48">
        <v>47</v>
      </c>
      <c r="D21" s="48">
        <v>5</v>
      </c>
      <c r="E21" s="48">
        <v>16</v>
      </c>
      <c r="F21" s="48">
        <v>6</v>
      </c>
      <c r="G21" s="53">
        <v>1</v>
      </c>
      <c r="M21" s="23">
        <v>1</v>
      </c>
      <c r="N21" s="6">
        <v>4.1666666666666664E-2</v>
      </c>
      <c r="O21" s="2">
        <v>12</v>
      </c>
      <c r="P21" s="4">
        <f t="shared" si="0"/>
        <v>53</v>
      </c>
      <c r="Q21" s="5">
        <f t="shared" si="6"/>
        <v>479</v>
      </c>
      <c r="R21" s="10">
        <f t="shared" si="3"/>
        <v>0.672752808988764</v>
      </c>
      <c r="S21" s="4">
        <f t="shared" si="1"/>
        <v>19</v>
      </c>
      <c r="T21" s="5">
        <f t="shared" si="7"/>
        <v>200</v>
      </c>
      <c r="U21" s="10">
        <f t="shared" si="4"/>
        <v>0.2808988764044944</v>
      </c>
      <c r="V21" s="4">
        <f t="shared" si="2"/>
        <v>6</v>
      </c>
      <c r="W21" s="5">
        <f t="shared" si="8"/>
        <v>33</v>
      </c>
      <c r="X21" s="3">
        <f t="shared" si="5"/>
        <v>4.6348314606741575E-2</v>
      </c>
    </row>
    <row r="22" spans="2:24" ht="18">
      <c r="B22" s="48">
        <v>23</v>
      </c>
      <c r="C22" s="48">
        <v>47</v>
      </c>
      <c r="D22" s="48">
        <v>8</v>
      </c>
      <c r="E22" s="48">
        <v>18</v>
      </c>
      <c r="F22" s="48">
        <v>5</v>
      </c>
      <c r="G22" s="53">
        <v>2</v>
      </c>
      <c r="M22" s="23">
        <v>1</v>
      </c>
      <c r="N22" s="6">
        <v>6.25E-2</v>
      </c>
      <c r="O22" s="2">
        <v>13</v>
      </c>
      <c r="P22" s="4">
        <f t="shared" si="0"/>
        <v>61</v>
      </c>
      <c r="Q22" s="5">
        <f t="shared" si="6"/>
        <v>540</v>
      </c>
      <c r="R22" s="10">
        <f t="shared" si="3"/>
        <v>0.67924528301886788</v>
      </c>
      <c r="S22" s="4">
        <f t="shared" si="1"/>
        <v>19</v>
      </c>
      <c r="T22" s="5">
        <f t="shared" si="7"/>
        <v>219</v>
      </c>
      <c r="U22" s="10">
        <f t="shared" si="4"/>
        <v>0.27547169811320754</v>
      </c>
      <c r="V22" s="4">
        <f t="shared" si="2"/>
        <v>3</v>
      </c>
      <c r="W22" s="5">
        <f t="shared" si="8"/>
        <v>36</v>
      </c>
      <c r="X22" s="3">
        <f t="shared" si="5"/>
        <v>4.5283018867924525E-2</v>
      </c>
    </row>
    <row r="23" spans="2:24" ht="18">
      <c r="B23" s="48">
        <v>23</v>
      </c>
      <c r="C23" s="48">
        <v>47</v>
      </c>
      <c r="D23" s="48">
        <v>7</v>
      </c>
      <c r="E23" s="48">
        <v>20</v>
      </c>
      <c r="F23" s="48">
        <v>4</v>
      </c>
      <c r="G23" s="53">
        <v>1</v>
      </c>
      <c r="M23" s="23">
        <v>1</v>
      </c>
      <c r="N23" s="6">
        <v>8.3333333333333329E-2</v>
      </c>
      <c r="O23" s="2">
        <v>14</v>
      </c>
      <c r="P23" s="4">
        <f t="shared" si="0"/>
        <v>51</v>
      </c>
      <c r="Q23" s="5">
        <f t="shared" si="6"/>
        <v>591</v>
      </c>
      <c r="R23" s="10">
        <f t="shared" si="3"/>
        <v>0.67775229357798161</v>
      </c>
      <c r="S23" s="4">
        <f t="shared" si="1"/>
        <v>21</v>
      </c>
      <c r="T23" s="5">
        <f t="shared" si="7"/>
        <v>240</v>
      </c>
      <c r="U23" s="10">
        <f t="shared" si="4"/>
        <v>0.27522935779816515</v>
      </c>
      <c r="V23" s="4">
        <f t="shared" si="2"/>
        <v>5</v>
      </c>
      <c r="W23" s="5">
        <f t="shared" si="8"/>
        <v>41</v>
      </c>
      <c r="X23" s="3">
        <f t="shared" si="5"/>
        <v>4.7018348623853214E-2</v>
      </c>
    </row>
    <row r="24" spans="2:24" ht="18">
      <c r="B24" s="48">
        <v>23</v>
      </c>
      <c r="C24" s="48">
        <v>45</v>
      </c>
      <c r="D24" s="48">
        <v>6</v>
      </c>
      <c r="E24" s="48">
        <v>17</v>
      </c>
      <c r="F24" s="48">
        <v>6</v>
      </c>
      <c r="G24" s="53">
        <v>2</v>
      </c>
      <c r="M24" s="23">
        <v>1</v>
      </c>
      <c r="N24" s="6">
        <v>0.104166666666667</v>
      </c>
      <c r="O24" s="2">
        <v>15</v>
      </c>
      <c r="P24" s="4">
        <f t="shared" si="0"/>
        <v>43</v>
      </c>
      <c r="Q24" s="5">
        <f t="shared" si="6"/>
        <v>634</v>
      </c>
      <c r="R24" s="10">
        <f t="shared" si="3"/>
        <v>0.67952840300107176</v>
      </c>
      <c r="S24" s="4">
        <f t="shared" si="1"/>
        <v>14</v>
      </c>
      <c r="T24" s="5">
        <f t="shared" si="7"/>
        <v>254</v>
      </c>
      <c r="U24" s="10">
        <f t="shared" si="4"/>
        <v>0.27224008574490888</v>
      </c>
      <c r="V24" s="4">
        <f t="shared" si="2"/>
        <v>4</v>
      </c>
      <c r="W24" s="5">
        <f t="shared" si="8"/>
        <v>45</v>
      </c>
      <c r="X24" s="3">
        <f t="shared" si="5"/>
        <v>4.8231511254019289E-2</v>
      </c>
    </row>
    <row r="25" spans="2:24" ht="18">
      <c r="B25" s="48">
        <v>23</v>
      </c>
      <c r="C25" s="48">
        <v>45</v>
      </c>
      <c r="D25" s="48">
        <v>8</v>
      </c>
      <c r="E25" s="48">
        <v>18</v>
      </c>
      <c r="F25" s="48">
        <v>7</v>
      </c>
      <c r="G25" s="53">
        <v>2</v>
      </c>
      <c r="M25" s="23">
        <v>1</v>
      </c>
      <c r="N25" s="6">
        <v>0.125</v>
      </c>
      <c r="O25" s="2">
        <v>16</v>
      </c>
      <c r="P25" s="4">
        <f t="shared" si="0"/>
        <v>0</v>
      </c>
      <c r="Q25" s="5">
        <f t="shared" si="6"/>
        <v>634</v>
      </c>
      <c r="R25" s="10" t="e">
        <f t="shared" si="3"/>
        <v>#N/A</v>
      </c>
      <c r="S25" s="4">
        <f t="shared" si="1"/>
        <v>0</v>
      </c>
      <c r="T25" s="5">
        <f t="shared" si="7"/>
        <v>254</v>
      </c>
      <c r="U25" s="10" t="e">
        <f t="shared" si="4"/>
        <v>#N/A</v>
      </c>
      <c r="V25" s="4">
        <f t="shared" si="2"/>
        <v>0</v>
      </c>
      <c r="W25" s="5">
        <f t="shared" si="8"/>
        <v>45</v>
      </c>
      <c r="X25" s="3" t="e">
        <f t="shared" si="5"/>
        <v>#N/A</v>
      </c>
    </row>
    <row r="26" spans="2:24" ht="18">
      <c r="B26" s="48">
        <v>23</v>
      </c>
      <c r="C26" s="48">
        <v>45</v>
      </c>
      <c r="D26" s="48">
        <v>7</v>
      </c>
      <c r="E26" s="48">
        <v>12</v>
      </c>
      <c r="F26" s="48">
        <v>5</v>
      </c>
      <c r="G26" s="53">
        <v>1</v>
      </c>
      <c r="M26" s="23">
        <v>1</v>
      </c>
      <c r="N26" s="6">
        <v>0.14583333333333301</v>
      </c>
      <c r="O26" s="2">
        <v>17</v>
      </c>
      <c r="P26" s="4">
        <f t="shared" si="0"/>
        <v>0</v>
      </c>
      <c r="Q26" s="5">
        <f t="shared" si="6"/>
        <v>634</v>
      </c>
      <c r="R26" s="10" t="e">
        <f t="shared" si="3"/>
        <v>#N/A</v>
      </c>
      <c r="S26" s="4">
        <f t="shared" si="1"/>
        <v>0</v>
      </c>
      <c r="T26" s="5">
        <f t="shared" si="7"/>
        <v>254</v>
      </c>
      <c r="U26" s="10" t="e">
        <f t="shared" si="4"/>
        <v>#N/A</v>
      </c>
      <c r="V26" s="4">
        <f t="shared" si="2"/>
        <v>0</v>
      </c>
      <c r="W26" s="5">
        <f t="shared" si="8"/>
        <v>45</v>
      </c>
      <c r="X26" s="3" t="e">
        <f t="shared" si="5"/>
        <v>#N/A</v>
      </c>
    </row>
    <row r="27" spans="2:24" ht="18">
      <c r="B27" s="48">
        <v>23</v>
      </c>
      <c r="C27" s="48">
        <v>45</v>
      </c>
      <c r="D27" s="48">
        <v>11</v>
      </c>
      <c r="E27" s="48">
        <v>17</v>
      </c>
      <c r="F27" s="48">
        <v>7</v>
      </c>
      <c r="G27" s="53">
        <v>0</v>
      </c>
      <c r="M27" s="23">
        <v>1</v>
      </c>
      <c r="N27" s="6">
        <v>0.16666666666666599</v>
      </c>
      <c r="O27" s="2">
        <v>18</v>
      </c>
      <c r="P27" s="4">
        <f t="shared" si="0"/>
        <v>0</v>
      </c>
      <c r="Q27" s="5">
        <f t="shared" si="6"/>
        <v>634</v>
      </c>
      <c r="R27" s="10" t="e">
        <f t="shared" si="3"/>
        <v>#N/A</v>
      </c>
      <c r="S27" s="4">
        <f t="shared" si="1"/>
        <v>0</v>
      </c>
      <c r="T27" s="5">
        <f t="shared" si="7"/>
        <v>254</v>
      </c>
      <c r="U27" s="10" t="e">
        <f t="shared" si="4"/>
        <v>#N/A</v>
      </c>
      <c r="V27" s="4">
        <f t="shared" si="2"/>
        <v>0</v>
      </c>
      <c r="W27" s="5">
        <f t="shared" si="8"/>
        <v>45</v>
      </c>
      <c r="X27" s="3" t="e">
        <f t="shared" si="5"/>
        <v>#N/A</v>
      </c>
    </row>
    <row r="28" spans="2:24" ht="18">
      <c r="B28" s="48">
        <v>23</v>
      </c>
      <c r="C28" s="48">
        <v>45</v>
      </c>
      <c r="D28" s="48">
        <v>10</v>
      </c>
      <c r="E28" s="48">
        <v>19</v>
      </c>
      <c r="F28" s="48">
        <v>6</v>
      </c>
      <c r="G28" s="53">
        <v>1</v>
      </c>
      <c r="M28" s="23">
        <v>1</v>
      </c>
      <c r="N28" s="6">
        <v>0.187499999999999</v>
      </c>
      <c r="O28" s="2">
        <v>19</v>
      </c>
      <c r="P28" s="4">
        <f t="shared" si="0"/>
        <v>0</v>
      </c>
      <c r="Q28" s="5">
        <f t="shared" si="6"/>
        <v>634</v>
      </c>
      <c r="R28" s="10" t="e">
        <f t="shared" si="3"/>
        <v>#N/A</v>
      </c>
      <c r="S28" s="4">
        <f t="shared" si="1"/>
        <v>0</v>
      </c>
      <c r="T28" s="5">
        <f t="shared" si="7"/>
        <v>254</v>
      </c>
      <c r="U28" s="10" t="e">
        <f t="shared" si="4"/>
        <v>#N/A</v>
      </c>
      <c r="V28" s="4">
        <f t="shared" si="2"/>
        <v>0</v>
      </c>
      <c r="W28" s="5">
        <f t="shared" si="8"/>
        <v>45</v>
      </c>
      <c r="X28" s="3" t="e">
        <f t="shared" si="5"/>
        <v>#N/A</v>
      </c>
    </row>
    <row r="29" spans="2:24" ht="18.75" thickBot="1">
      <c r="B29" s="48">
        <v>23</v>
      </c>
      <c r="C29" s="48">
        <v>45</v>
      </c>
      <c r="D29" s="48">
        <v>9</v>
      </c>
      <c r="E29" s="48">
        <v>15</v>
      </c>
      <c r="F29" s="48">
        <v>10</v>
      </c>
      <c r="G29" s="53">
        <v>0</v>
      </c>
      <c r="M29" s="23">
        <v>1</v>
      </c>
      <c r="N29" s="6">
        <v>0.20833333333333201</v>
      </c>
      <c r="O29" s="2">
        <v>20</v>
      </c>
      <c r="P29" s="7">
        <f t="shared" si="0"/>
        <v>0</v>
      </c>
      <c r="Q29" s="8">
        <f t="shared" si="6"/>
        <v>634</v>
      </c>
      <c r="R29" s="11" t="e">
        <f t="shared" si="3"/>
        <v>#N/A</v>
      </c>
      <c r="S29" s="7">
        <f t="shared" si="1"/>
        <v>0</v>
      </c>
      <c r="T29" s="8">
        <f t="shared" si="7"/>
        <v>254</v>
      </c>
      <c r="U29" s="11" t="e">
        <f t="shared" si="4"/>
        <v>#N/A</v>
      </c>
      <c r="V29" s="7">
        <f t="shared" si="2"/>
        <v>0</v>
      </c>
      <c r="W29" s="8">
        <f t="shared" si="8"/>
        <v>45</v>
      </c>
      <c r="X29" s="9" t="e">
        <f t="shared" si="5"/>
        <v>#N/A</v>
      </c>
    </row>
    <row r="30" spans="2:24" ht="18">
      <c r="B30" s="48">
        <v>23</v>
      </c>
      <c r="C30" s="48">
        <v>47</v>
      </c>
      <c r="D30" s="48">
        <v>11</v>
      </c>
      <c r="E30" s="48">
        <v>20</v>
      </c>
      <c r="F30" s="48">
        <v>3</v>
      </c>
      <c r="G30" s="53">
        <v>2</v>
      </c>
      <c r="M30" s="23">
        <v>1</v>
      </c>
    </row>
    <row r="31" spans="2:24" ht="18">
      <c r="B31" s="48">
        <v>23</v>
      </c>
      <c r="C31" s="48">
        <v>47</v>
      </c>
      <c r="D31" s="48">
        <v>10</v>
      </c>
      <c r="E31" s="48">
        <v>21</v>
      </c>
      <c r="F31" s="48">
        <v>3</v>
      </c>
      <c r="G31" s="53">
        <v>1</v>
      </c>
      <c r="M31" s="23">
        <v>1</v>
      </c>
    </row>
    <row r="32" spans="2:24" ht="18">
      <c r="B32" s="48">
        <v>23</v>
      </c>
      <c r="C32" s="48">
        <v>47</v>
      </c>
      <c r="D32" s="48">
        <v>9</v>
      </c>
      <c r="E32" s="48">
        <v>19</v>
      </c>
      <c r="F32" s="48">
        <v>4</v>
      </c>
      <c r="G32" s="53">
        <v>2</v>
      </c>
      <c r="M32" s="23">
        <v>1</v>
      </c>
      <c r="O32" s="23">
        <v>44</v>
      </c>
    </row>
    <row r="33" spans="2:15" ht="18">
      <c r="B33" s="48">
        <v>23</v>
      </c>
      <c r="C33" s="48">
        <v>44</v>
      </c>
      <c r="D33" s="48">
        <v>9</v>
      </c>
      <c r="E33" s="48">
        <v>18</v>
      </c>
      <c r="F33" s="48">
        <v>7</v>
      </c>
      <c r="G33" s="53">
        <v>1</v>
      </c>
      <c r="M33" s="23">
        <v>1</v>
      </c>
      <c r="O33" s="23">
        <v>45</v>
      </c>
    </row>
    <row r="34" spans="2:15" ht="18">
      <c r="B34" s="48">
        <v>23</v>
      </c>
      <c r="C34" s="48">
        <v>44</v>
      </c>
      <c r="D34" s="48">
        <v>10</v>
      </c>
      <c r="E34" s="48">
        <v>16</v>
      </c>
      <c r="F34" s="48">
        <v>11</v>
      </c>
      <c r="G34" s="53">
        <v>2</v>
      </c>
      <c r="M34" s="23">
        <v>1</v>
      </c>
      <c r="O34" s="23">
        <v>46</v>
      </c>
    </row>
    <row r="35" spans="2:15" ht="18">
      <c r="B35" s="48">
        <v>23</v>
      </c>
      <c r="C35" s="48">
        <v>44</v>
      </c>
      <c r="D35" s="48">
        <v>11</v>
      </c>
      <c r="E35" s="48">
        <v>18</v>
      </c>
      <c r="F35" s="48">
        <v>12</v>
      </c>
      <c r="G35" s="53">
        <v>0</v>
      </c>
      <c r="M35" s="23">
        <v>1</v>
      </c>
      <c r="O35" s="23">
        <v>47</v>
      </c>
    </row>
    <row r="36" spans="2:15" ht="18">
      <c r="B36" s="48">
        <v>23</v>
      </c>
      <c r="C36" s="48">
        <v>44</v>
      </c>
      <c r="D36" s="48">
        <v>12</v>
      </c>
      <c r="E36" s="48">
        <v>16</v>
      </c>
      <c r="F36" s="48">
        <v>9</v>
      </c>
      <c r="G36" s="53">
        <v>2</v>
      </c>
      <c r="M36" s="23">
        <v>1</v>
      </c>
    </row>
    <row r="37" spans="2:15" ht="18">
      <c r="B37" s="48">
        <v>23</v>
      </c>
      <c r="C37" s="48">
        <v>44</v>
      </c>
      <c r="D37" s="48">
        <v>13</v>
      </c>
      <c r="E37" s="48">
        <v>22</v>
      </c>
      <c r="F37" s="48">
        <v>11</v>
      </c>
      <c r="G37" s="53">
        <v>0</v>
      </c>
      <c r="M37" s="23">
        <v>1</v>
      </c>
    </row>
    <row r="38" spans="2:15" ht="18">
      <c r="B38" s="48">
        <v>23</v>
      </c>
      <c r="C38" s="48">
        <v>47</v>
      </c>
      <c r="D38" s="48">
        <v>12</v>
      </c>
      <c r="E38" s="48">
        <v>22</v>
      </c>
      <c r="F38" s="48">
        <v>2</v>
      </c>
      <c r="G38" s="53">
        <v>1</v>
      </c>
      <c r="M38" s="23">
        <v>1</v>
      </c>
    </row>
    <row r="39" spans="2:15" ht="18">
      <c r="B39" s="48">
        <v>23</v>
      </c>
      <c r="C39" s="48">
        <v>47</v>
      </c>
      <c r="D39" s="48">
        <v>13</v>
      </c>
      <c r="E39" s="48">
        <v>21</v>
      </c>
      <c r="F39" s="48">
        <v>3</v>
      </c>
      <c r="G39" s="53">
        <v>1</v>
      </c>
      <c r="M39" s="23">
        <v>1</v>
      </c>
    </row>
    <row r="40" spans="2:15" ht="18">
      <c r="B40" s="48">
        <v>23</v>
      </c>
      <c r="C40" s="48">
        <v>47</v>
      </c>
      <c r="D40" s="48">
        <v>14</v>
      </c>
      <c r="E40" s="48">
        <v>20</v>
      </c>
      <c r="F40" s="48">
        <v>3</v>
      </c>
      <c r="G40" s="53">
        <v>2</v>
      </c>
      <c r="M40" s="23">
        <v>1</v>
      </c>
    </row>
    <row r="41" spans="2:15" ht="18">
      <c r="B41" s="48">
        <v>23</v>
      </c>
      <c r="C41" s="48">
        <v>47</v>
      </c>
      <c r="D41" s="48">
        <v>15</v>
      </c>
      <c r="E41" s="48">
        <v>22</v>
      </c>
      <c r="F41" s="48">
        <v>2</v>
      </c>
      <c r="G41" s="53">
        <v>1</v>
      </c>
      <c r="M41" s="23">
        <v>1</v>
      </c>
    </row>
    <row r="42" spans="2:15" ht="18">
      <c r="B42" s="48">
        <v>23</v>
      </c>
      <c r="C42" s="48">
        <v>45</v>
      </c>
      <c r="D42" s="48">
        <v>12</v>
      </c>
      <c r="E42" s="48">
        <v>15</v>
      </c>
      <c r="F42" s="48">
        <v>8</v>
      </c>
      <c r="G42" s="53">
        <v>3</v>
      </c>
      <c r="M42" s="23">
        <v>1</v>
      </c>
    </row>
    <row r="43" spans="2:15" ht="18">
      <c r="B43" s="48">
        <v>23</v>
      </c>
      <c r="C43" s="48">
        <v>45</v>
      </c>
      <c r="D43" s="48">
        <v>13</v>
      </c>
      <c r="E43" s="48">
        <v>18</v>
      </c>
      <c r="F43" s="48">
        <v>5</v>
      </c>
      <c r="G43" s="53">
        <v>2</v>
      </c>
      <c r="M43" s="23">
        <v>1</v>
      </c>
    </row>
    <row r="44" spans="2:15" ht="18">
      <c r="B44" s="48">
        <v>23</v>
      </c>
      <c r="C44" s="48">
        <v>45</v>
      </c>
      <c r="D44" s="48">
        <v>14</v>
      </c>
      <c r="E44" s="48">
        <v>12</v>
      </c>
      <c r="F44" s="48">
        <v>11</v>
      </c>
      <c r="G44" s="53">
        <v>2</v>
      </c>
      <c r="M44" s="23">
        <v>1</v>
      </c>
    </row>
    <row r="45" spans="2:15" ht="18">
      <c r="B45" s="48">
        <v>23</v>
      </c>
      <c r="C45" s="48">
        <v>44</v>
      </c>
      <c r="D45" s="48">
        <v>14</v>
      </c>
      <c r="E45" s="48">
        <v>19</v>
      </c>
      <c r="F45" s="48">
        <v>7</v>
      </c>
      <c r="G45" s="53">
        <v>1</v>
      </c>
      <c r="M45" s="23">
        <v>1</v>
      </c>
    </row>
    <row r="46" spans="2:15" ht="18">
      <c r="B46" s="48">
        <v>23</v>
      </c>
      <c r="C46" s="48">
        <v>44</v>
      </c>
      <c r="D46" s="48">
        <v>15</v>
      </c>
      <c r="E46" s="48">
        <v>21</v>
      </c>
      <c r="F46" s="48">
        <v>12</v>
      </c>
      <c r="G46" s="53">
        <v>3</v>
      </c>
      <c r="M46" s="23">
        <v>1</v>
      </c>
    </row>
    <row r="47" spans="2:15" ht="18">
      <c r="B47" s="48"/>
      <c r="C47" s="48"/>
      <c r="D47" s="48"/>
      <c r="E47" s="48"/>
      <c r="F47" s="48"/>
      <c r="G47" s="53"/>
      <c r="M47" s="23">
        <v>1</v>
      </c>
    </row>
    <row r="48" spans="2:15" ht="18">
      <c r="B48" s="48"/>
      <c r="C48" s="48"/>
      <c r="D48" s="48"/>
      <c r="E48" s="48"/>
      <c r="F48" s="48"/>
      <c r="G48" s="53"/>
      <c r="M48" s="23">
        <v>1</v>
      </c>
    </row>
    <row r="49" spans="2:13" ht="18">
      <c r="B49" s="48"/>
      <c r="C49" s="48"/>
      <c r="D49" s="48"/>
      <c r="E49" s="48"/>
      <c r="F49" s="48"/>
      <c r="G49" s="53"/>
      <c r="M49" s="23">
        <v>1</v>
      </c>
    </row>
    <row r="50" spans="2:13" ht="18">
      <c r="B50" s="48"/>
      <c r="C50" s="48"/>
      <c r="D50" s="48"/>
      <c r="E50" s="48"/>
      <c r="F50" s="48"/>
      <c r="G50" s="53"/>
      <c r="M50" s="23">
        <v>1</v>
      </c>
    </row>
    <row r="51" spans="2:13" ht="18">
      <c r="B51" s="48"/>
      <c r="C51" s="48"/>
      <c r="D51" s="48"/>
      <c r="E51" s="48"/>
      <c r="F51" s="48"/>
      <c r="G51" s="53"/>
      <c r="M51" s="23">
        <v>1</v>
      </c>
    </row>
    <row r="52" spans="2:13" ht="18">
      <c r="B52" s="48"/>
      <c r="C52" s="48"/>
      <c r="D52" s="48"/>
      <c r="E52" s="48"/>
      <c r="F52" s="48"/>
      <c r="G52" s="53"/>
      <c r="M52" s="23">
        <v>1</v>
      </c>
    </row>
    <row r="53" spans="2:13" ht="18">
      <c r="B53" s="48"/>
      <c r="C53" s="48"/>
      <c r="D53" s="48"/>
      <c r="E53" s="48"/>
      <c r="F53" s="48"/>
      <c r="G53" s="53"/>
      <c r="M53" s="23">
        <v>1</v>
      </c>
    </row>
    <row r="54" spans="2:13" ht="18">
      <c r="B54" s="48"/>
      <c r="C54" s="48"/>
      <c r="D54" s="48"/>
      <c r="E54" s="48"/>
      <c r="F54" s="48"/>
      <c r="G54" s="53"/>
      <c r="M54" s="23">
        <v>1</v>
      </c>
    </row>
    <row r="55" spans="2:13" ht="18">
      <c r="B55" s="48"/>
      <c r="C55" s="48"/>
      <c r="D55" s="48"/>
      <c r="E55" s="48"/>
      <c r="F55" s="48"/>
      <c r="G55" s="53"/>
      <c r="M55" s="23">
        <v>1</v>
      </c>
    </row>
    <row r="56" spans="2:13" ht="18">
      <c r="B56" s="48"/>
      <c r="C56" s="48"/>
      <c r="D56" s="48"/>
      <c r="E56" s="48"/>
      <c r="F56" s="48"/>
      <c r="G56" s="53"/>
      <c r="M56" s="23">
        <v>1</v>
      </c>
    </row>
    <row r="57" spans="2:13" ht="18">
      <c r="B57" s="48"/>
      <c r="C57" s="48"/>
      <c r="D57" s="48"/>
      <c r="E57" s="48"/>
      <c r="F57" s="48"/>
      <c r="G57" s="53"/>
      <c r="M57" s="23">
        <v>1</v>
      </c>
    </row>
    <row r="58" spans="2:13" ht="18">
      <c r="B58" s="48"/>
      <c r="C58" s="48"/>
      <c r="D58" s="48"/>
      <c r="E58" s="48"/>
      <c r="F58" s="48"/>
      <c r="G58" s="53"/>
      <c r="M58" s="23">
        <v>1</v>
      </c>
    </row>
    <row r="59" spans="2:13" ht="18">
      <c r="B59" s="48"/>
      <c r="C59" s="48"/>
      <c r="D59" s="48"/>
      <c r="E59" s="48"/>
      <c r="F59" s="48"/>
      <c r="G59" s="53"/>
      <c r="M59" s="23">
        <v>1</v>
      </c>
    </row>
    <row r="60" spans="2:13" ht="18">
      <c r="B60" s="48"/>
      <c r="C60" s="48"/>
      <c r="D60" s="48"/>
      <c r="E60" s="48"/>
      <c r="F60" s="48"/>
      <c r="G60" s="53"/>
      <c r="M60" s="23">
        <v>1</v>
      </c>
    </row>
    <row r="61" spans="2:13" ht="18">
      <c r="B61" s="48"/>
      <c r="C61" s="48"/>
      <c r="D61" s="48"/>
      <c r="E61" s="48"/>
      <c r="F61" s="48"/>
      <c r="G61" s="53"/>
      <c r="M61" s="23">
        <v>1</v>
      </c>
    </row>
    <row r="62" spans="2:13" ht="18">
      <c r="B62" s="48"/>
      <c r="C62" s="48"/>
      <c r="D62" s="48"/>
      <c r="E62" s="48"/>
      <c r="F62" s="48"/>
      <c r="G62" s="53"/>
      <c r="M62" s="23">
        <v>1</v>
      </c>
    </row>
    <row r="63" spans="2:13" ht="18">
      <c r="B63" s="48"/>
      <c r="C63" s="48"/>
      <c r="D63" s="48"/>
      <c r="E63" s="48"/>
      <c r="F63" s="48"/>
      <c r="G63" s="53"/>
      <c r="M63" s="23">
        <v>1</v>
      </c>
    </row>
    <row r="64" spans="2:13" ht="18">
      <c r="B64" s="48"/>
      <c r="C64" s="48"/>
      <c r="D64" s="48"/>
      <c r="E64" s="48"/>
      <c r="F64" s="48"/>
      <c r="G64" s="53"/>
      <c r="M64" s="23">
        <v>1</v>
      </c>
    </row>
    <row r="65" spans="2:13" ht="18">
      <c r="B65" s="48"/>
      <c r="C65" s="48"/>
      <c r="D65" s="48"/>
      <c r="E65" s="48"/>
      <c r="F65" s="48"/>
      <c r="G65" s="53"/>
      <c r="M65" s="23">
        <v>1</v>
      </c>
    </row>
    <row r="66" spans="2:13" ht="18">
      <c r="B66" s="48"/>
      <c r="C66" s="48"/>
      <c r="D66" s="48"/>
      <c r="E66" s="48"/>
      <c r="F66" s="48"/>
      <c r="G66" s="53"/>
      <c r="M66" s="23">
        <v>1</v>
      </c>
    </row>
    <row r="67" spans="2:13" ht="18">
      <c r="B67" s="48"/>
      <c r="C67" s="48"/>
      <c r="D67" s="48"/>
      <c r="E67" s="48"/>
      <c r="F67" s="48"/>
      <c r="G67" s="53"/>
      <c r="M67" s="23">
        <v>1</v>
      </c>
    </row>
    <row r="68" spans="2:13" ht="18">
      <c r="B68" s="48"/>
      <c r="C68" s="48"/>
      <c r="D68" s="48"/>
      <c r="E68" s="48"/>
      <c r="F68" s="48"/>
      <c r="G68" s="53"/>
      <c r="M68" s="23">
        <v>1</v>
      </c>
    </row>
    <row r="69" spans="2:13" ht="18">
      <c r="B69" s="48"/>
      <c r="C69" s="48"/>
      <c r="D69" s="48"/>
      <c r="E69" s="48"/>
      <c r="F69" s="48"/>
      <c r="G69" s="53"/>
      <c r="M69" s="23">
        <v>1</v>
      </c>
    </row>
    <row r="70" spans="2:13" ht="18">
      <c r="B70" s="48"/>
      <c r="C70" s="48"/>
      <c r="D70" s="48"/>
      <c r="E70" s="48"/>
      <c r="F70" s="48"/>
      <c r="G70" s="53"/>
      <c r="M70" s="23">
        <v>1</v>
      </c>
    </row>
    <row r="71" spans="2:13" ht="18">
      <c r="B71" s="48"/>
      <c r="C71" s="48"/>
      <c r="D71" s="48"/>
      <c r="E71" s="48"/>
      <c r="F71" s="48"/>
      <c r="G71" s="53"/>
      <c r="M71" s="23">
        <v>1</v>
      </c>
    </row>
    <row r="72" spans="2:13" ht="18">
      <c r="B72" s="48"/>
      <c r="C72" s="48"/>
      <c r="D72" s="48"/>
      <c r="E72" s="48"/>
      <c r="F72" s="48"/>
      <c r="G72" s="53"/>
      <c r="M72" s="23">
        <v>1</v>
      </c>
    </row>
    <row r="73" spans="2:13" ht="18">
      <c r="B73" s="48"/>
      <c r="C73" s="48"/>
      <c r="D73" s="48"/>
      <c r="E73" s="48"/>
      <c r="F73" s="48"/>
      <c r="G73" s="53"/>
      <c r="M73" s="23">
        <v>1</v>
      </c>
    </row>
    <row r="74" spans="2:13" ht="18">
      <c r="B74" s="48"/>
      <c r="C74" s="48"/>
      <c r="D74" s="48"/>
      <c r="E74" s="48"/>
      <c r="F74" s="48"/>
      <c r="G74" s="53"/>
      <c r="M74" s="23">
        <v>1</v>
      </c>
    </row>
    <row r="75" spans="2:13" ht="18">
      <c r="B75" s="48"/>
      <c r="C75" s="48"/>
      <c r="D75" s="48"/>
      <c r="E75" s="48"/>
      <c r="F75" s="48"/>
      <c r="G75" s="53"/>
      <c r="M75" s="23">
        <v>1</v>
      </c>
    </row>
    <row r="76" spans="2:13" ht="18">
      <c r="B76" s="48"/>
      <c r="C76" s="48"/>
      <c r="D76" s="48"/>
      <c r="E76" s="48"/>
      <c r="F76" s="48"/>
      <c r="G76" s="53"/>
      <c r="M76" s="23">
        <v>1</v>
      </c>
    </row>
    <row r="77" spans="2:13" ht="18">
      <c r="B77" s="48"/>
      <c r="C77" s="48"/>
      <c r="D77" s="48"/>
      <c r="E77" s="48"/>
      <c r="F77" s="48"/>
      <c r="G77" s="53"/>
      <c r="M77" s="23">
        <v>1</v>
      </c>
    </row>
    <row r="78" spans="2:13" ht="18">
      <c r="B78" s="48"/>
      <c r="C78" s="48"/>
      <c r="D78" s="48"/>
      <c r="E78" s="48"/>
      <c r="F78" s="48"/>
      <c r="G78" s="53"/>
      <c r="M78" s="23">
        <v>1</v>
      </c>
    </row>
    <row r="79" spans="2:13" ht="18">
      <c r="B79" s="48"/>
      <c r="C79" s="48"/>
      <c r="D79" s="48"/>
      <c r="E79" s="48"/>
      <c r="F79" s="48"/>
      <c r="G79" s="53"/>
      <c r="M79" s="23">
        <v>1</v>
      </c>
    </row>
    <row r="80" spans="2:13" ht="18">
      <c r="B80" s="48"/>
      <c r="C80" s="48"/>
      <c r="D80" s="48"/>
      <c r="E80" s="48"/>
      <c r="F80" s="48"/>
      <c r="G80" s="53"/>
      <c r="M80" s="23">
        <v>1</v>
      </c>
    </row>
    <row r="81" spans="2:13" ht="18">
      <c r="B81" s="48"/>
      <c r="C81" s="48"/>
      <c r="D81" s="48"/>
      <c r="E81" s="48"/>
      <c r="F81" s="48"/>
      <c r="G81" s="53"/>
      <c r="M81" s="23">
        <v>1</v>
      </c>
    </row>
    <row r="82" spans="2:13" ht="18">
      <c r="B82" s="48"/>
      <c r="C82" s="48"/>
      <c r="D82" s="48"/>
      <c r="E82" s="48"/>
      <c r="F82" s="48"/>
      <c r="G82" s="53"/>
      <c r="M82" s="23">
        <v>1</v>
      </c>
    </row>
    <row r="83" spans="2:13" ht="18">
      <c r="B83" s="48"/>
      <c r="C83" s="48"/>
      <c r="D83" s="48"/>
      <c r="E83" s="48"/>
      <c r="F83" s="48"/>
      <c r="G83" s="53"/>
      <c r="M83" s="23">
        <v>1</v>
      </c>
    </row>
    <row r="84" spans="2:13" ht="18">
      <c r="B84" s="48"/>
      <c r="C84" s="48"/>
      <c r="D84" s="48"/>
      <c r="E84" s="48"/>
      <c r="F84" s="48"/>
      <c r="G84" s="53"/>
      <c r="M84" s="23">
        <v>1</v>
      </c>
    </row>
    <row r="85" spans="2:13" ht="18">
      <c r="B85" s="48"/>
      <c r="C85" s="48"/>
      <c r="D85" s="48"/>
      <c r="E85" s="48"/>
      <c r="F85" s="48"/>
      <c r="G85" s="53"/>
      <c r="M85" s="23">
        <v>1</v>
      </c>
    </row>
    <row r="86" spans="2:13" ht="18">
      <c r="B86" s="48"/>
      <c r="C86" s="48"/>
      <c r="D86" s="48"/>
      <c r="E86" s="48"/>
      <c r="F86" s="48"/>
      <c r="G86" s="53"/>
      <c r="M86" s="23">
        <v>1</v>
      </c>
    </row>
    <row r="87" spans="2:13" ht="18">
      <c r="B87" s="48"/>
      <c r="C87" s="48"/>
      <c r="D87" s="48"/>
      <c r="E87" s="48"/>
      <c r="F87" s="48"/>
      <c r="G87" s="53"/>
      <c r="M87" s="23">
        <v>1</v>
      </c>
    </row>
    <row r="88" spans="2:13" ht="18">
      <c r="B88" s="48"/>
      <c r="C88" s="48"/>
      <c r="D88" s="48"/>
      <c r="E88" s="48"/>
      <c r="F88" s="48"/>
      <c r="G88" s="53"/>
      <c r="M88" s="23">
        <v>1</v>
      </c>
    </row>
    <row r="89" spans="2:13" ht="18">
      <c r="B89" s="48"/>
      <c r="C89" s="48"/>
      <c r="D89" s="48"/>
      <c r="E89" s="48"/>
      <c r="F89" s="48"/>
      <c r="G89" s="53"/>
      <c r="M89" s="23">
        <v>1</v>
      </c>
    </row>
    <row r="90" spans="2:13" ht="27.75" thickBot="1">
      <c r="B90" s="49" t="s">
        <v>3</v>
      </c>
      <c r="C90" s="49" t="s">
        <v>3</v>
      </c>
      <c r="D90" s="49" t="s">
        <v>3</v>
      </c>
      <c r="E90" s="50" t="s">
        <v>3</v>
      </c>
      <c r="F90" s="50" t="s">
        <v>3</v>
      </c>
      <c r="G90" s="51" t="s">
        <v>3</v>
      </c>
      <c r="M90" s="23" t="s">
        <v>3</v>
      </c>
    </row>
    <row r="91" spans="2:13" ht="13.5" thickTop="1"/>
  </sheetData>
  <sheetProtection sheet="1" objects="1" scenarios="1" selectLockedCells="1"/>
  <customSheetViews>
    <customSheetView guid="{F92CD80A-2F20-447E-84B4-C32E1E2FE9A3}" showGridLines="0" showRowCol="0">
      <pane ySplit="7" topLeftCell="A33" activePane="bottomLeft" state="frozen"/>
      <selection pane="bottomLeft" activeCell="I5" sqref="I5"/>
      <pageMargins left="0.7" right="0.7" top="0.75" bottom="0.75" header="0.3" footer="0.3"/>
    </customSheetView>
    <customSheetView guid="{56AFE396-18B0-4AF5-AE05-5CBE92BF4893}" showGridLines="0" showRowCol="0">
      <pane ySplit="8" topLeftCell="A9" activePane="bottomLeft" state="frozen"/>
      <selection pane="bottomLeft" activeCell="I5" sqref="I5"/>
      <pageMargins left="0.7" right="0.7" top="0.75" bottom="0.75" header="0.3" footer="0.3"/>
    </customSheetView>
    <customSheetView guid="{79B4DA94-8F3B-455B-B3D6-7A15488FD419}" showGridLines="0" showRowCol="0">
      <pane ySplit="8" topLeftCell="A33" activePane="bottomLeft" state="frozen"/>
      <selection pane="bottomLeft" activeCell="I5" sqref="I5"/>
      <pageMargins left="0.7" right="0.7" top="0.75" bottom="0.75" header="0.3" footer="0.3"/>
    </customSheetView>
    <customSheetView guid="{4EA0FCF4-4E92-4FEF-BBB1-FFCF2D2846A6}" showGridLines="0" showRowCol="0">
      <pane ySplit="8" topLeftCell="A12" activePane="bottomLeft" state="frozen"/>
      <selection pane="bottomLeft" activeCell="I3" sqref="I3"/>
      <pageMargins left="0.7" right="0.7" top="0.75" bottom="0.75" header="0.3" footer="0.3"/>
    </customSheetView>
  </customSheetViews>
  <mergeCells count="4">
    <mergeCell ref="N9:O9"/>
    <mergeCell ref="P8:R8"/>
    <mergeCell ref="S8:U8"/>
    <mergeCell ref="V8:X8"/>
  </mergeCells>
  <dataValidations count="4">
    <dataValidation type="list" allowBlank="1" showDropDown="1" showInputMessage="1" showErrorMessage="1" sqref="D9:D89">
      <formula1>$O$10:$O$29</formula1>
    </dataValidation>
    <dataValidation type="list" allowBlank="1" showDropDown="1" showInputMessage="1" showErrorMessage="1" sqref="C9:C89">
      <formula1>$O$32:$O$35</formula1>
    </dataValidation>
    <dataValidation type="list" allowBlank="1" showDropDown="1" showInputMessage="1" showErrorMessage="1" sqref="B9:B89">
      <formula1>$B$6</formula1>
    </dataValidation>
    <dataValidation allowBlank="1" showInputMessage="1" showErrorMessage="1" errorTitle="Dato no valido" error="El valor esta fuera de rango [0,30] o No es un numero" sqref="E9:G89"/>
  </dataValidations>
  <hyperlinks>
    <hyperlink ref="I3" location="Apure!A1" display="1 Apure"/>
    <hyperlink ref="I4" location="Bolivar!A1" display="2 Bolivar"/>
    <hyperlink ref="I2" location="PPrincipal!A1" display="* Pagina Principal"/>
    <hyperlink ref="I5" location="Guarico!A1" display="4 Guarico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44"/>
  <sheetViews>
    <sheetView showGridLines="0" showRowColHeaders="0" workbookViewId="0">
      <selection activeCell="J5" sqref="J5"/>
    </sheetView>
  </sheetViews>
  <sheetFormatPr baseColWidth="10" defaultColWidth="15.7109375" defaultRowHeight="22.5" customHeight="1"/>
  <cols>
    <col min="1" max="16384" width="15.7109375" style="63"/>
  </cols>
  <sheetData>
    <row r="1" spans="1:10" ht="15" customHeight="1">
      <c r="J1" s="109"/>
    </row>
    <row r="2" spans="1:10" ht="15" customHeight="1">
      <c r="J2" s="98" t="s">
        <v>39</v>
      </c>
    </row>
    <row r="3" spans="1:10" ht="15" customHeight="1">
      <c r="J3" s="119" t="s">
        <v>64</v>
      </c>
    </row>
    <row r="4" spans="1:10" ht="15" customHeight="1">
      <c r="J4" s="118" t="s">
        <v>61</v>
      </c>
    </row>
    <row r="5" spans="1:10" ht="15" customHeight="1">
      <c r="G5" s="66"/>
      <c r="J5" s="98" t="s">
        <v>63</v>
      </c>
    </row>
    <row r="6" spans="1:10" ht="15" customHeight="1">
      <c r="A6" s="175" t="s">
        <v>28</v>
      </c>
      <c r="B6" s="175"/>
      <c r="C6" s="175"/>
      <c r="D6" s="175"/>
      <c r="E6" s="175"/>
      <c r="F6" s="175"/>
      <c r="J6" s="143"/>
    </row>
    <row r="25" spans="2:7" ht="22.5" customHeight="1">
      <c r="B25" s="175"/>
      <c r="C25" s="175"/>
      <c r="D25" s="175"/>
      <c r="E25" s="175"/>
      <c r="F25" s="175"/>
      <c r="G25" s="175"/>
    </row>
    <row r="44" spans="7:7" ht="22.5" customHeight="1">
      <c r="G44" s="66"/>
    </row>
  </sheetData>
  <customSheetViews>
    <customSheetView guid="{F92CD80A-2F20-447E-84B4-C32E1E2FE9A3}" showGridLines="0" showRowCol="0">
      <selection activeCell="J5" sqref="J5"/>
      <pageMargins left="0.7" right="0.7" top="0.75" bottom="0.75" header="0.3" footer="0.3"/>
    </customSheetView>
    <customSheetView guid="{56AFE396-18B0-4AF5-AE05-5CBE92BF4893}" showPageBreaks="1" showGridLines="0" showRowCol="0">
      <selection activeCell="J5" sqref="J5"/>
      <pageMargins left="0.70866141732283472" right="0.70866141732283472" top="0.74803149606299213" bottom="0.74803149606299213" header="0.31496062992125984" footer="0.31496062992125984"/>
      <pageSetup scale="49" orientation="landscape" verticalDpi="0" r:id="rId1"/>
    </customSheetView>
    <customSheetView guid="{79B4DA94-8F3B-455B-B3D6-7A15488FD419}" showGridLines="0" showRowCol="0">
      <selection activeCell="J5" sqref="J5"/>
      <pageMargins left="0.7" right="0.7" top="0.75" bottom="0.75" header="0.3" footer="0.3"/>
    </customSheetView>
    <customSheetView guid="{4EA0FCF4-4E92-4FEF-BBB1-FFCF2D2846A6}" showGridLines="0" showRowCol="0">
      <selection activeCell="J5" sqref="J5"/>
      <pageMargins left="0.7" right="0.7" top="0.75" bottom="0.75" header="0.3" footer="0.3"/>
    </customSheetView>
  </customSheetViews>
  <mergeCells count="2">
    <mergeCell ref="A6:F6"/>
    <mergeCell ref="B25:G25"/>
  </mergeCells>
  <hyperlinks>
    <hyperlink ref="J2" location="PPrincipal!A1" display="* Pagina Principal"/>
    <hyperlink ref="J4" location="GBolivar!A1" display="Graficos de Bolivar"/>
    <hyperlink ref="J3" location="GApure!A1" display="Graficos de Apure"/>
    <hyperlink ref="J5" location="GGuarico!A1" display="Graficos de Guarico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17"/>
  <sheetViews>
    <sheetView showGridLines="0" showRowColHeaders="0" workbookViewId="0">
      <selection activeCell="Y4" sqref="Y4"/>
    </sheetView>
  </sheetViews>
  <sheetFormatPr baseColWidth="10" defaultColWidth="5.85546875" defaultRowHeight="15" customHeight="1"/>
  <cols>
    <col min="1" max="1" width="1.140625" style="78" customWidth="1"/>
    <col min="2" max="2" width="7.28515625" style="78" customWidth="1"/>
    <col min="3" max="13" width="5.5703125" style="78" customWidth="1"/>
    <col min="14" max="14" width="5.5703125" style="79" customWidth="1"/>
    <col min="15" max="22" width="5.5703125" style="78" customWidth="1"/>
    <col min="23" max="23" width="2.42578125" style="78" customWidth="1"/>
    <col min="24" max="24" width="10" style="78" customWidth="1"/>
    <col min="25" max="25" width="12.85546875" style="78" customWidth="1"/>
    <col min="26" max="26" width="12.7109375" style="78" customWidth="1"/>
    <col min="27" max="27" width="10.42578125" style="78" customWidth="1"/>
    <col min="28" max="16384" width="5.85546875" style="78"/>
  </cols>
  <sheetData>
    <row r="1" spans="1:27" ht="31.5" customHeight="1">
      <c r="B1" s="176" t="s">
        <v>56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</row>
    <row r="2" spans="1:27" ht="15" customHeight="1">
      <c r="C2" s="107"/>
      <c r="G2" s="108"/>
      <c r="H2" s="108"/>
      <c r="I2" s="97"/>
      <c r="J2" s="97"/>
      <c r="Y2" s="98" t="s">
        <v>39</v>
      </c>
      <c r="Z2" s="107"/>
      <c r="AA2" s="108"/>
    </row>
    <row r="3" spans="1:27" ht="15" customHeight="1">
      <c r="J3" s="97"/>
      <c r="Y3" s="98" t="s">
        <v>58</v>
      </c>
    </row>
    <row r="4" spans="1:27" ht="15" customHeight="1">
      <c r="C4" s="107"/>
      <c r="G4" s="108"/>
      <c r="H4" s="108"/>
      <c r="I4" s="97"/>
      <c r="J4" s="97"/>
      <c r="Y4" s="98" t="s">
        <v>47</v>
      </c>
      <c r="Z4" s="107"/>
      <c r="AA4" s="108"/>
    </row>
    <row r="5" spans="1:27" ht="15" customHeight="1">
      <c r="C5" s="107"/>
      <c r="G5" s="108"/>
      <c r="H5" s="108"/>
      <c r="I5" s="97"/>
      <c r="J5" s="97"/>
      <c r="Y5" s="98" t="s">
        <v>52</v>
      </c>
      <c r="Z5" s="107"/>
      <c r="AA5" s="108"/>
    </row>
    <row r="6" spans="1:27" s="1" customFormat="1" ht="30.75" customHeight="1" thickBot="1">
      <c r="A6" s="67"/>
      <c r="B6" s="74"/>
      <c r="C6" s="74"/>
      <c r="D6" s="74"/>
      <c r="E6" s="74"/>
      <c r="F6" s="74"/>
      <c r="G6" s="74"/>
      <c r="H6" s="74"/>
      <c r="I6" s="74"/>
      <c r="J6" s="74"/>
      <c r="K6" s="74"/>
      <c r="L6" s="78"/>
      <c r="M6" s="78"/>
      <c r="N6" s="79"/>
      <c r="O6" s="78"/>
      <c r="P6" s="78"/>
      <c r="Q6" s="78"/>
      <c r="R6" s="78"/>
      <c r="S6" s="78"/>
      <c r="T6" s="78"/>
      <c r="U6" s="78"/>
      <c r="V6" s="78"/>
    </row>
    <row r="7" spans="1:27" s="75" customFormat="1" ht="15" customHeight="1">
      <c r="A7" s="68"/>
      <c r="B7" s="89" t="s">
        <v>0</v>
      </c>
      <c r="C7" s="99">
        <v>0.3125</v>
      </c>
      <c r="D7" s="100">
        <v>0.33333333333333298</v>
      </c>
      <c r="E7" s="100">
        <v>0.35416666666666702</v>
      </c>
      <c r="F7" s="100">
        <v>0.375</v>
      </c>
      <c r="G7" s="100">
        <v>0.39583333333333298</v>
      </c>
      <c r="H7" s="100">
        <v>0.41666666666666702</v>
      </c>
      <c r="I7" s="100">
        <v>0.4375</v>
      </c>
      <c r="J7" s="100">
        <v>0.45833333333333298</v>
      </c>
      <c r="K7" s="100">
        <v>0.47916666666666702</v>
      </c>
      <c r="L7" s="100">
        <v>0.5</v>
      </c>
      <c r="M7" s="100">
        <v>0.52083333333333304</v>
      </c>
      <c r="N7" s="100">
        <v>4.1666666666666664E-2</v>
      </c>
      <c r="O7" s="100">
        <v>6.25E-2</v>
      </c>
      <c r="P7" s="100">
        <v>8.3333333333333329E-2</v>
      </c>
      <c r="Q7" s="100">
        <v>0.104166666666667</v>
      </c>
      <c r="R7" s="100">
        <v>0.125</v>
      </c>
      <c r="S7" s="100">
        <v>0.14583333333333301</v>
      </c>
      <c r="T7" s="100">
        <v>0.16666666666666599</v>
      </c>
      <c r="U7" s="100">
        <v>0.187499999999999</v>
      </c>
      <c r="V7" s="101">
        <v>0.20833333333333201</v>
      </c>
      <c r="X7" s="183" t="s">
        <v>36</v>
      </c>
      <c r="Y7" s="177" t="s">
        <v>10</v>
      </c>
      <c r="Z7" s="177" t="s">
        <v>11</v>
      </c>
      <c r="AA7" s="177" t="s">
        <v>9</v>
      </c>
    </row>
    <row r="8" spans="1:27" ht="15" customHeight="1" thickBot="1">
      <c r="A8" s="76"/>
      <c r="B8" s="88" t="s">
        <v>2</v>
      </c>
      <c r="C8" s="85">
        <v>1</v>
      </c>
      <c r="D8" s="81">
        <v>2</v>
      </c>
      <c r="E8" s="81">
        <v>3</v>
      </c>
      <c r="F8" s="81">
        <v>4</v>
      </c>
      <c r="G8" s="81">
        <v>5</v>
      </c>
      <c r="H8" s="81">
        <v>6</v>
      </c>
      <c r="I8" s="81">
        <v>7</v>
      </c>
      <c r="J8" s="81">
        <v>8</v>
      </c>
      <c r="K8" s="81">
        <v>9</v>
      </c>
      <c r="L8" s="81">
        <v>10</v>
      </c>
      <c r="M8" s="81">
        <v>11</v>
      </c>
      <c r="N8" s="81">
        <v>12</v>
      </c>
      <c r="O8" s="81">
        <v>13</v>
      </c>
      <c r="P8" s="81">
        <v>14</v>
      </c>
      <c r="Q8" s="81">
        <v>15</v>
      </c>
      <c r="R8" s="81">
        <v>16</v>
      </c>
      <c r="S8" s="81">
        <v>17</v>
      </c>
      <c r="T8" s="81">
        <v>18</v>
      </c>
      <c r="U8" s="81">
        <v>19</v>
      </c>
      <c r="V8" s="83">
        <v>20</v>
      </c>
      <c r="X8" s="184"/>
      <c r="Y8" s="178"/>
      <c r="Z8" s="178"/>
      <c r="AA8" s="178"/>
    </row>
    <row r="9" spans="1:27" ht="15" customHeight="1">
      <c r="A9" s="76"/>
      <c r="B9" s="156">
        <v>44</v>
      </c>
      <c r="C9" s="86">
        <f t="shared" ref="C9:L12" si="0">SUMIFS(SumaDA,CentroDA,$B9,TurnoDA,C$8)</f>
        <v>1</v>
      </c>
      <c r="D9" s="86">
        <f t="shared" si="0"/>
        <v>1</v>
      </c>
      <c r="E9" s="86">
        <f t="shared" si="0"/>
        <v>1</v>
      </c>
      <c r="F9" s="86">
        <f t="shared" si="0"/>
        <v>2</v>
      </c>
      <c r="G9" s="86">
        <f t="shared" si="0"/>
        <v>2</v>
      </c>
      <c r="H9" s="86">
        <f t="shared" si="0"/>
        <v>0</v>
      </c>
      <c r="I9" s="86">
        <f t="shared" si="0"/>
        <v>0</v>
      </c>
      <c r="J9" s="86">
        <f t="shared" si="0"/>
        <v>0</v>
      </c>
      <c r="K9" s="86">
        <f t="shared" si="0"/>
        <v>1</v>
      </c>
      <c r="L9" s="86">
        <f t="shared" si="0"/>
        <v>1</v>
      </c>
      <c r="M9" s="86">
        <f t="shared" ref="M9:V12" si="1">SUMIFS(SumaDA,CentroDA,$B9,TurnoDA,M$8)</f>
        <v>1</v>
      </c>
      <c r="N9" s="86">
        <f t="shared" si="1"/>
        <v>1</v>
      </c>
      <c r="O9" s="86">
        <f t="shared" si="1"/>
        <v>1</v>
      </c>
      <c r="P9" s="86">
        <f t="shared" si="1"/>
        <v>1</v>
      </c>
      <c r="Q9" s="86">
        <f t="shared" si="1"/>
        <v>1</v>
      </c>
      <c r="R9" s="86">
        <f t="shared" si="1"/>
        <v>0</v>
      </c>
      <c r="S9" s="86">
        <f t="shared" si="1"/>
        <v>0</v>
      </c>
      <c r="T9" s="86">
        <f t="shared" si="1"/>
        <v>0</v>
      </c>
      <c r="U9" s="86">
        <f t="shared" si="1"/>
        <v>0</v>
      </c>
      <c r="V9" s="86">
        <f t="shared" si="1"/>
        <v>0</v>
      </c>
      <c r="X9" s="122" t="s">
        <v>69</v>
      </c>
      <c r="Y9" s="128">
        <f>SUMIF(CentroDA,$B9,Lizeta_Hernandez)</f>
        <v>231</v>
      </c>
      <c r="Z9" s="128">
        <f>SUMIF(CentroDA,$B9,Victor_Cedeño)</f>
        <v>125</v>
      </c>
      <c r="AA9" s="128">
        <f>SUMIF(CentroDA,$B9,OtroDA)</f>
        <v>14</v>
      </c>
    </row>
    <row r="10" spans="1:27" ht="15" customHeight="1">
      <c r="A10" s="76"/>
      <c r="B10" s="82">
        <v>45</v>
      </c>
      <c r="C10" s="86">
        <f t="shared" si="0"/>
        <v>0</v>
      </c>
      <c r="D10" s="86">
        <f t="shared" si="0"/>
        <v>0</v>
      </c>
      <c r="E10" s="86">
        <f t="shared" si="0"/>
        <v>0</v>
      </c>
      <c r="F10" s="86">
        <f t="shared" si="0"/>
        <v>1</v>
      </c>
      <c r="G10" s="86">
        <f t="shared" si="0"/>
        <v>0</v>
      </c>
      <c r="H10" s="86">
        <f t="shared" si="0"/>
        <v>1</v>
      </c>
      <c r="I10" s="86">
        <f t="shared" si="0"/>
        <v>1</v>
      </c>
      <c r="J10" s="86">
        <f t="shared" si="0"/>
        <v>1</v>
      </c>
      <c r="K10" s="86">
        <f t="shared" si="0"/>
        <v>1</v>
      </c>
      <c r="L10" s="86">
        <f t="shared" si="0"/>
        <v>1</v>
      </c>
      <c r="M10" s="86">
        <f t="shared" si="1"/>
        <v>1</v>
      </c>
      <c r="N10" s="86">
        <f t="shared" si="1"/>
        <v>1</v>
      </c>
      <c r="O10" s="86">
        <f t="shared" si="1"/>
        <v>1</v>
      </c>
      <c r="P10" s="86">
        <f t="shared" si="1"/>
        <v>1</v>
      </c>
      <c r="Q10" s="86">
        <f t="shared" si="1"/>
        <v>0</v>
      </c>
      <c r="R10" s="86">
        <f t="shared" si="1"/>
        <v>0</v>
      </c>
      <c r="S10" s="86">
        <f t="shared" si="1"/>
        <v>0</v>
      </c>
      <c r="T10" s="86">
        <f t="shared" si="1"/>
        <v>0</v>
      </c>
      <c r="U10" s="86">
        <f t="shared" si="1"/>
        <v>0</v>
      </c>
      <c r="V10" s="86">
        <f t="shared" si="1"/>
        <v>0</v>
      </c>
      <c r="X10" s="123" t="s">
        <v>69</v>
      </c>
      <c r="Y10" s="128">
        <f>SUMIF(CentroDA,$B10,Lizeta_Hernandez)</f>
        <v>153</v>
      </c>
      <c r="Z10" s="128">
        <f>SUMIF(CentroDA,$B10,Victor_Cedeño)</f>
        <v>73</v>
      </c>
      <c r="AA10" s="128">
        <f>SUMIF(CentroDA,$B10,OtroDA)</f>
        <v>13</v>
      </c>
    </row>
    <row r="11" spans="1:27" ht="15" customHeight="1">
      <c r="A11" s="76"/>
      <c r="B11" s="82">
        <v>46</v>
      </c>
      <c r="C11" s="86">
        <f t="shared" si="0"/>
        <v>0</v>
      </c>
      <c r="D11" s="86">
        <f t="shared" si="0"/>
        <v>0</v>
      </c>
      <c r="E11" s="86">
        <f t="shared" si="0"/>
        <v>0</v>
      </c>
      <c r="F11" s="86">
        <f t="shared" si="0"/>
        <v>0</v>
      </c>
      <c r="G11" s="86">
        <f t="shared" si="0"/>
        <v>0</v>
      </c>
      <c r="H11" s="86">
        <f t="shared" si="0"/>
        <v>0</v>
      </c>
      <c r="I11" s="86">
        <f t="shared" si="0"/>
        <v>0</v>
      </c>
      <c r="J11" s="86">
        <f t="shared" si="0"/>
        <v>0</v>
      </c>
      <c r="K11" s="86">
        <f t="shared" si="0"/>
        <v>0</v>
      </c>
      <c r="L11" s="86">
        <f t="shared" si="0"/>
        <v>0</v>
      </c>
      <c r="M11" s="86">
        <f t="shared" si="1"/>
        <v>0</v>
      </c>
      <c r="N11" s="86">
        <f t="shared" si="1"/>
        <v>0</v>
      </c>
      <c r="O11" s="86">
        <f t="shared" si="1"/>
        <v>0</v>
      </c>
      <c r="P11" s="86">
        <f t="shared" si="1"/>
        <v>0</v>
      </c>
      <c r="Q11" s="86">
        <f t="shared" si="1"/>
        <v>0</v>
      </c>
      <c r="R11" s="86">
        <f t="shared" si="1"/>
        <v>0</v>
      </c>
      <c r="S11" s="86">
        <f t="shared" si="1"/>
        <v>0</v>
      </c>
      <c r="T11" s="86">
        <f t="shared" si="1"/>
        <v>0</v>
      </c>
      <c r="U11" s="86">
        <f t="shared" si="1"/>
        <v>0</v>
      </c>
      <c r="V11" s="86">
        <f t="shared" si="1"/>
        <v>0</v>
      </c>
      <c r="X11" s="123" t="s">
        <v>69</v>
      </c>
      <c r="Y11" s="128">
        <f>SUMIF(CentroDA,$B11,Lizeta_Hernandez)</f>
        <v>0</v>
      </c>
      <c r="Z11" s="128">
        <f>SUMIF(CentroDA,$B11,Victor_Cedeño)</f>
        <v>0</v>
      </c>
      <c r="AA11" s="128">
        <f>SUMIF(CentroDA,$B11,OtroDA)</f>
        <v>0</v>
      </c>
    </row>
    <row r="12" spans="1:27" ht="15" customHeight="1" thickBot="1">
      <c r="A12" s="76"/>
      <c r="B12" s="84">
        <v>47</v>
      </c>
      <c r="C12" s="86">
        <f t="shared" si="0"/>
        <v>1</v>
      </c>
      <c r="D12" s="86">
        <f t="shared" si="0"/>
        <v>0</v>
      </c>
      <c r="E12" s="86">
        <f t="shared" si="0"/>
        <v>1</v>
      </c>
      <c r="F12" s="86">
        <f t="shared" si="0"/>
        <v>0</v>
      </c>
      <c r="G12" s="86">
        <f t="shared" si="0"/>
        <v>2</v>
      </c>
      <c r="H12" s="86">
        <f t="shared" si="0"/>
        <v>1</v>
      </c>
      <c r="I12" s="86">
        <f t="shared" si="0"/>
        <v>1</v>
      </c>
      <c r="J12" s="86">
        <f t="shared" si="0"/>
        <v>1</v>
      </c>
      <c r="K12" s="86">
        <f t="shared" si="0"/>
        <v>1</v>
      </c>
      <c r="L12" s="86">
        <f t="shared" si="0"/>
        <v>1</v>
      </c>
      <c r="M12" s="86">
        <f t="shared" si="1"/>
        <v>1</v>
      </c>
      <c r="N12" s="86">
        <f t="shared" si="1"/>
        <v>1</v>
      </c>
      <c r="O12" s="86">
        <f t="shared" si="1"/>
        <v>1</v>
      </c>
      <c r="P12" s="86">
        <f t="shared" si="1"/>
        <v>1</v>
      </c>
      <c r="Q12" s="86">
        <f t="shared" si="1"/>
        <v>1</v>
      </c>
      <c r="R12" s="86">
        <f t="shared" si="1"/>
        <v>0</v>
      </c>
      <c r="S12" s="86">
        <f t="shared" si="1"/>
        <v>0</v>
      </c>
      <c r="T12" s="86">
        <f t="shared" si="1"/>
        <v>0</v>
      </c>
      <c r="U12" s="86">
        <f t="shared" si="1"/>
        <v>0</v>
      </c>
      <c r="V12" s="86">
        <f t="shared" si="1"/>
        <v>0</v>
      </c>
      <c r="X12" s="123" t="s">
        <v>69</v>
      </c>
      <c r="Y12" s="128">
        <f>SUMIF(CentroDA,$B12,Lizeta_Hernandez)</f>
        <v>250</v>
      </c>
      <c r="Z12" s="128">
        <f>SUMIF(CentroDA,$B12,Victor_Cedeño)</f>
        <v>56</v>
      </c>
      <c r="AA12" s="128">
        <f>SUMIF(CentroDA,$B12,OtroDA)</f>
        <v>18</v>
      </c>
    </row>
    <row r="13" spans="1:27" ht="15" customHeight="1" thickBot="1">
      <c r="A13" s="76"/>
    </row>
    <row r="14" spans="1:27" ht="15" customHeight="1" thickBot="1">
      <c r="X14" s="153" t="s">
        <v>69</v>
      </c>
      <c r="Y14" s="154">
        <f>SUMIF(MunicipiosDA,$X14,Y$9:Y$12)</f>
        <v>634</v>
      </c>
      <c r="Z14" s="154">
        <f>SUMIF(MunicipiosDA,$X14,Z$9:Z$12)</f>
        <v>254</v>
      </c>
      <c r="AA14" s="154">
        <f>SUMIF(MunicipiosDA,$X14,AA$9:AA$12)</f>
        <v>45</v>
      </c>
    </row>
    <row r="15" spans="1:27" ht="15" customHeight="1">
      <c r="W15" s="79"/>
    </row>
    <row r="16" spans="1:27" ht="15" customHeight="1">
      <c r="W16" s="79"/>
    </row>
    <row r="17" spans="23:23" ht="15" customHeight="1">
      <c r="W17" s="79"/>
    </row>
  </sheetData>
  <customSheetViews>
    <customSheetView guid="{F92CD80A-2F20-447E-84B4-C32E1E2FE9A3}" showGridLines="0" showRowCol="0">
      <selection activeCell="Y4" sqref="Y4"/>
      <pageMargins left="0.7" right="0.7" top="0.75" bottom="0.75" header="0.3" footer="0.3"/>
      <pageSetup paperSize="9" orientation="portrait" r:id="rId1"/>
    </customSheetView>
    <customSheetView guid="{56AFE396-18B0-4AF5-AE05-5CBE92BF4893}" showGridLines="0" showRowCol="0">
      <selection activeCell="Y3" sqref="Y3"/>
      <pageMargins left="0.7" right="0.7" top="0.75" bottom="0.75" header="0.3" footer="0.3"/>
      <pageSetup paperSize="9" orientation="portrait" r:id="rId2"/>
    </customSheetView>
    <customSheetView guid="{79B4DA94-8F3B-455B-B3D6-7A15488FD419}" showGridLines="0" showRowCol="0">
      <selection activeCell="Y4" sqref="Y4"/>
      <pageMargins left="0.7" right="0.7" top="0.75" bottom="0.75" header="0.3" footer="0.3"/>
      <pageSetup paperSize="9" orientation="portrait" r:id="rId3"/>
    </customSheetView>
    <customSheetView guid="{4EA0FCF4-4E92-4FEF-BBB1-FFCF2D2846A6}" showGridLines="0" showRowCol="0">
      <selection activeCell="Y5" sqref="Y5"/>
      <pageMargins left="0.7" right="0.7" top="0.75" bottom="0.75" header="0.3" footer="0.3"/>
      <pageSetup paperSize="9" orientation="portrait" r:id="rId4"/>
    </customSheetView>
  </customSheetViews>
  <mergeCells count="5">
    <mergeCell ref="AA7:AA8"/>
    <mergeCell ref="Y7:Y8"/>
    <mergeCell ref="Z7:Z8"/>
    <mergeCell ref="B1:V1"/>
    <mergeCell ref="X7:X8"/>
  </mergeCells>
  <conditionalFormatting sqref="C8:V8 B6:K6">
    <cfRule type="cellIs" dxfId="11" priority="4" stopIfTrue="1" operator="equal">
      <formula>"F"</formula>
    </cfRule>
    <cfRule type="cellIs" dxfId="10" priority="5" stopIfTrue="1" operator="equal">
      <formula>"C"</formula>
    </cfRule>
    <cfRule type="cellIs" dxfId="9" priority="6" stopIfTrue="1" operator="equal">
      <formula>"C"</formula>
    </cfRule>
  </conditionalFormatting>
  <conditionalFormatting sqref="C9:V12">
    <cfRule type="cellIs" dxfId="8" priority="1" stopIfTrue="1" operator="equal">
      <formula>0</formula>
    </cfRule>
    <cfRule type="cellIs" dxfId="7" priority="2" stopIfTrue="1" operator="equal">
      <formula>1</formula>
    </cfRule>
    <cfRule type="cellIs" dxfId="6" priority="3" stopIfTrue="1" operator="greaterThan">
      <formula>1</formula>
    </cfRule>
  </conditionalFormatting>
  <hyperlinks>
    <hyperlink ref="Y2" location="PPrincipal!A1" display="* Pagina Principal"/>
    <hyperlink ref="Y4" location="CBolivar!A1" display="Sbolivar"/>
    <hyperlink ref="Y3" location="CApure!A1" display="Supervisor de Apure"/>
    <hyperlink ref="Y5" location="CGuarico!A1" display="Supervisor de Guárico"/>
  </hyperlinks>
  <pageMargins left="0.7" right="0.7" top="0.75" bottom="0.75" header="0.3" footer="0.3"/>
  <pageSetup paperSize="9" orientation="portrait" r:id="rId5"/>
</worksheet>
</file>

<file path=xl/worksheets/sheet11.xml><?xml version="1.0" encoding="utf-8"?>
<worksheet xmlns="http://schemas.openxmlformats.org/spreadsheetml/2006/main" xmlns:r="http://schemas.openxmlformats.org/officeDocument/2006/relationships">
  <dimension ref="B1:AA350"/>
  <sheetViews>
    <sheetView showGridLines="0" showRowColHeaders="0" workbookViewId="0">
      <pane ySplit="8" topLeftCell="A187" activePane="bottomLeft" state="frozen"/>
      <selection pane="bottomLeft" activeCell="I2" sqref="I2"/>
    </sheetView>
  </sheetViews>
  <sheetFormatPr baseColWidth="10" defaultRowHeight="12.75"/>
  <cols>
    <col min="1" max="1" width="42.7109375" customWidth="1"/>
    <col min="2" max="12" width="13.7109375" customWidth="1"/>
    <col min="13" max="13" width="13.7109375" style="23" customWidth="1"/>
    <col min="14" max="34" width="13.7109375" customWidth="1"/>
  </cols>
  <sheetData>
    <row r="1" spans="2:27" s="14" customFormat="1">
      <c r="J1" s="46"/>
      <c r="M1" s="28"/>
      <c r="P1" s="70"/>
      <c r="Q1" s="70"/>
      <c r="R1" s="70"/>
    </row>
    <row r="2" spans="2:27" s="14" customFormat="1">
      <c r="I2" s="158" t="s">
        <v>39</v>
      </c>
      <c r="K2" s="96"/>
      <c r="M2" s="28"/>
      <c r="P2" s="71" t="s">
        <v>20</v>
      </c>
      <c r="Q2" s="134">
        <f>R9</f>
        <v>0.54215304798962383</v>
      </c>
      <c r="R2" s="69"/>
    </row>
    <row r="3" spans="2:27" s="14" customFormat="1">
      <c r="I3" s="159" t="s">
        <v>23</v>
      </c>
      <c r="K3" s="96"/>
      <c r="M3" s="28"/>
      <c r="P3" s="71" t="s">
        <v>21</v>
      </c>
      <c r="Q3" s="134">
        <f>U9</f>
        <v>0.15927367055771724</v>
      </c>
      <c r="R3" s="69"/>
    </row>
    <row r="4" spans="2:27" s="14" customFormat="1">
      <c r="I4" s="159" t="s">
        <v>4</v>
      </c>
      <c r="K4" s="96"/>
      <c r="M4" s="28"/>
      <c r="P4" s="71" t="s">
        <v>22</v>
      </c>
      <c r="Q4" s="134">
        <f>X9</f>
        <v>0.2869001297016861</v>
      </c>
      <c r="R4" s="69"/>
    </row>
    <row r="5" spans="2:27" s="14" customFormat="1">
      <c r="I5" s="160">
        <v>10</v>
      </c>
      <c r="K5" s="96"/>
      <c r="M5" s="28"/>
      <c r="P5" s="71" t="s">
        <v>9</v>
      </c>
      <c r="Q5" s="134">
        <f>AA9</f>
        <v>1.1673151750972763E-2</v>
      </c>
      <c r="R5" s="69"/>
    </row>
    <row r="6" spans="2:27" s="14" customFormat="1" ht="33">
      <c r="C6" s="17">
        <v>10</v>
      </c>
      <c r="D6" s="17" t="s">
        <v>17</v>
      </c>
      <c r="E6" s="15"/>
      <c r="F6" s="15"/>
      <c r="G6" s="15"/>
      <c r="H6" s="15"/>
      <c r="I6" s="15"/>
      <c r="J6" s="16"/>
      <c r="M6" s="28"/>
    </row>
    <row r="7" spans="2:27" ht="13.5" thickBot="1"/>
    <row r="8" spans="2:27" ht="30.75" thickBot="1">
      <c r="B8" s="25" t="s">
        <v>1</v>
      </c>
      <c r="C8" s="26" t="s">
        <v>2</v>
      </c>
      <c r="D8" s="27" t="s">
        <v>0</v>
      </c>
      <c r="E8" s="13" t="s">
        <v>20</v>
      </c>
      <c r="F8" s="13" t="s">
        <v>21</v>
      </c>
      <c r="G8" s="13" t="s">
        <v>22</v>
      </c>
      <c r="H8" s="13" t="s">
        <v>9</v>
      </c>
      <c r="M8" s="65" t="s">
        <v>55</v>
      </c>
      <c r="P8" s="172" t="s">
        <v>20</v>
      </c>
      <c r="Q8" s="173"/>
      <c r="R8" s="174"/>
      <c r="S8" s="172" t="s">
        <v>21</v>
      </c>
      <c r="T8" s="173"/>
      <c r="U8" s="174"/>
      <c r="V8" s="172" t="s">
        <v>22</v>
      </c>
      <c r="W8" s="173"/>
      <c r="X8" s="174"/>
      <c r="Y8" s="172" t="s">
        <v>9</v>
      </c>
      <c r="Z8" s="173"/>
      <c r="AA8" s="174"/>
    </row>
    <row r="9" spans="2:27" ht="18">
      <c r="B9" s="61">
        <v>10</v>
      </c>
      <c r="C9" s="61">
        <v>48</v>
      </c>
      <c r="D9" s="61">
        <v>1</v>
      </c>
      <c r="E9" s="61">
        <v>1</v>
      </c>
      <c r="F9" s="61">
        <v>1</v>
      </c>
      <c r="G9" s="61">
        <v>1</v>
      </c>
      <c r="H9" s="61">
        <v>1</v>
      </c>
      <c r="M9" s="23">
        <v>1</v>
      </c>
      <c r="N9" s="170" t="s">
        <v>0</v>
      </c>
      <c r="O9" s="170"/>
      <c r="P9" s="36">
        <f>SUM(Willian_Lara)</f>
        <v>2090</v>
      </c>
      <c r="Q9" s="37">
        <f>P9</f>
        <v>2090</v>
      </c>
      <c r="R9" s="38">
        <f>P9/($P$9+$S$9+$V$9+$Y$9)</f>
        <v>0.54215304798962383</v>
      </c>
      <c r="S9" s="36">
        <f>SUM(Reinaldo_Armas)</f>
        <v>614</v>
      </c>
      <c r="T9" s="37">
        <f>S9</f>
        <v>614</v>
      </c>
      <c r="U9" s="38">
        <f>S9/($P$9+$S$9+$V$9+$Y$9)</f>
        <v>0.15927367055771724</v>
      </c>
      <c r="V9" s="36">
        <f>SUM(Lenny_Manuit)</f>
        <v>1106</v>
      </c>
      <c r="W9" s="37">
        <f>V9</f>
        <v>1106</v>
      </c>
      <c r="X9" s="38">
        <f>V9/($P$9+$S$9+$V$9+$Y$9)</f>
        <v>0.2869001297016861</v>
      </c>
      <c r="Y9" s="36">
        <f>SUM(OtroGu)</f>
        <v>45</v>
      </c>
      <c r="Z9" s="37">
        <f>Y9</f>
        <v>45</v>
      </c>
      <c r="AA9" s="39">
        <f>Y9/($P$9+$S$9+$V$9+$Y$9)</f>
        <v>1.1673151750972763E-2</v>
      </c>
    </row>
    <row r="10" spans="2:27" ht="18">
      <c r="B10" s="62">
        <v>10</v>
      </c>
      <c r="C10" s="62">
        <v>57</v>
      </c>
      <c r="D10" s="62">
        <v>1</v>
      </c>
      <c r="E10" s="62">
        <v>3</v>
      </c>
      <c r="F10" s="62">
        <v>0</v>
      </c>
      <c r="G10" s="62">
        <v>2</v>
      </c>
      <c r="H10" s="62">
        <v>0</v>
      </c>
      <c r="M10" s="23">
        <v>1</v>
      </c>
      <c r="N10" s="6">
        <v>0.3125</v>
      </c>
      <c r="O10" s="2">
        <v>1</v>
      </c>
      <c r="P10" s="4">
        <f t="shared" ref="P10:P29" si="0">SUMIF(TurnoGu,$O10,Willian_Lara)</f>
        <v>80</v>
      </c>
      <c r="Q10" s="5">
        <f>P10</f>
        <v>80</v>
      </c>
      <c r="R10" s="10">
        <f>IF(P10&lt;&gt;0,Q10/($Q10+$T10+$W10+$Z10),LOOKUP(2121,$R$3:$R$6))</f>
        <v>0.63492063492063489</v>
      </c>
      <c r="S10" s="4">
        <f t="shared" ref="S10:S29" si="1">SUMIF(TurnoGu,$O10,Reinaldo_Armas)</f>
        <v>19</v>
      </c>
      <c r="T10" s="5">
        <f>S10</f>
        <v>19</v>
      </c>
      <c r="U10" s="10">
        <f>IF(S10&lt;&gt;0,T10/($Q10+$T10+$W10+$Z10),LOOKUP(2121,$R$3:$R$6))</f>
        <v>0.15079365079365079</v>
      </c>
      <c r="V10" s="4">
        <f t="shared" ref="V10:V29" si="2">SUMIF(TurnoGu,$O10,Lenny_Manuit)</f>
        <v>26</v>
      </c>
      <c r="W10" s="5">
        <f>V10</f>
        <v>26</v>
      </c>
      <c r="X10" s="10">
        <f>IF(V10&lt;&gt;0,W10/($Q10+$T10+$W10+$Z10),LOOKUP(2121,$R$3:$R$6))</f>
        <v>0.20634920634920634</v>
      </c>
      <c r="Y10" s="4">
        <f t="shared" ref="Y10:Y29" si="3">SUMIF(TurnoGu,$O10,OtroGu)</f>
        <v>1</v>
      </c>
      <c r="Z10" s="5">
        <f>Y10</f>
        <v>1</v>
      </c>
      <c r="AA10" s="3">
        <f>IF(Y10&lt;&gt;0,Z10/($Q10+$T10+$W10+$Z10),LOOKUP(2121,$R$3:$R$6))</f>
        <v>7.9365079365079361E-3</v>
      </c>
    </row>
    <row r="11" spans="2:27" ht="18">
      <c r="B11" s="62">
        <v>10</v>
      </c>
      <c r="C11" s="62">
        <v>56</v>
      </c>
      <c r="D11" s="62">
        <v>1</v>
      </c>
      <c r="E11" s="62">
        <v>23</v>
      </c>
      <c r="F11" s="62">
        <v>13</v>
      </c>
      <c r="G11" s="62">
        <v>8</v>
      </c>
      <c r="H11" s="62">
        <v>0</v>
      </c>
      <c r="J11" s="5"/>
      <c r="M11" s="23">
        <v>1</v>
      </c>
      <c r="N11" s="6">
        <v>0.33333333333333298</v>
      </c>
      <c r="O11" s="2">
        <v>2</v>
      </c>
      <c r="P11" s="4">
        <f t="shared" si="0"/>
        <v>84</v>
      </c>
      <c r="Q11" s="5">
        <f>Q10+P11</f>
        <v>164</v>
      </c>
      <c r="R11" s="10">
        <f t="shared" ref="R11:R29" si="4">IF(P11&lt;&gt;0,Q11/($Q11+$T11+$W11+$Z11),LOOKUP(2121,$R$3:$R$6))</f>
        <v>0.63813229571984431</v>
      </c>
      <c r="S11" s="4">
        <f t="shared" si="1"/>
        <v>27</v>
      </c>
      <c r="T11" s="5">
        <f>T10+S11</f>
        <v>46</v>
      </c>
      <c r="U11" s="10">
        <f t="shared" ref="U11:U29" si="5">IF(S11&lt;&gt;0,T11/($Q11+$T11+$W11+$Z11),LOOKUP(2121,$R$3:$R$6))</f>
        <v>0.17898832684824903</v>
      </c>
      <c r="V11" s="4">
        <f t="shared" si="2"/>
        <v>20</v>
      </c>
      <c r="W11" s="5">
        <f>W10+V11</f>
        <v>46</v>
      </c>
      <c r="X11" s="10">
        <f t="shared" ref="X11:X29" si="6">IF(V11&lt;&gt;0,W11/($Q11+$T11+$W11+$Z11),LOOKUP(2121,$R$3:$R$6))</f>
        <v>0.17898832684824903</v>
      </c>
      <c r="Y11" s="4">
        <f t="shared" si="3"/>
        <v>0</v>
      </c>
      <c r="Z11" s="5">
        <f>Z10+Y11</f>
        <v>1</v>
      </c>
      <c r="AA11" s="3" t="e">
        <f t="shared" ref="AA11:AA29" si="7">IF(Y11&lt;&gt;0,Z11/($Q11+$T11+$W11+$Z11),LOOKUP(2121,$R$3:$R$6))</f>
        <v>#N/A</v>
      </c>
    </row>
    <row r="12" spans="2:27" ht="18">
      <c r="B12" s="62">
        <v>10</v>
      </c>
      <c r="C12" s="62">
        <v>57</v>
      </c>
      <c r="D12" s="62">
        <v>2</v>
      </c>
      <c r="E12" s="62">
        <v>11</v>
      </c>
      <c r="F12" s="62">
        <v>6</v>
      </c>
      <c r="G12" s="62">
        <v>7</v>
      </c>
      <c r="H12" s="62">
        <v>0</v>
      </c>
      <c r="M12" s="23">
        <v>1</v>
      </c>
      <c r="N12" s="6">
        <v>0.35416666666666702</v>
      </c>
      <c r="O12" s="2">
        <v>3</v>
      </c>
      <c r="P12" s="4">
        <f t="shared" si="0"/>
        <v>45</v>
      </c>
      <c r="Q12" s="5">
        <f t="shared" ref="Q12:Q29" si="8">Q11+P12</f>
        <v>209</v>
      </c>
      <c r="R12" s="10">
        <f t="shared" si="4"/>
        <v>0.63914373088685017</v>
      </c>
      <c r="S12" s="4">
        <f t="shared" si="1"/>
        <v>4</v>
      </c>
      <c r="T12" s="5">
        <f t="shared" ref="T12:T29" si="9">T11+S12</f>
        <v>50</v>
      </c>
      <c r="U12" s="10">
        <f t="shared" si="5"/>
        <v>0.1529051987767584</v>
      </c>
      <c r="V12" s="4">
        <f t="shared" si="2"/>
        <v>21</v>
      </c>
      <c r="W12" s="5">
        <f t="shared" ref="W12:W29" si="10">W11+V12</f>
        <v>67</v>
      </c>
      <c r="X12" s="10">
        <f t="shared" si="6"/>
        <v>0.20489296636085627</v>
      </c>
      <c r="Y12" s="4">
        <f t="shared" si="3"/>
        <v>0</v>
      </c>
      <c r="Z12" s="5">
        <f t="shared" ref="Z12:Z29" si="11">Z11+Y12</f>
        <v>1</v>
      </c>
      <c r="AA12" s="3" t="e">
        <f t="shared" si="7"/>
        <v>#N/A</v>
      </c>
    </row>
    <row r="13" spans="2:27" ht="18">
      <c r="B13" s="62">
        <v>10</v>
      </c>
      <c r="C13" s="62">
        <v>61</v>
      </c>
      <c r="D13" s="62">
        <v>1</v>
      </c>
      <c r="E13" s="62">
        <v>5</v>
      </c>
      <c r="F13" s="62">
        <v>0</v>
      </c>
      <c r="G13" s="62">
        <v>2</v>
      </c>
      <c r="H13" s="62">
        <v>0</v>
      </c>
      <c r="M13" s="23">
        <v>1</v>
      </c>
      <c r="N13" s="6">
        <v>0.375</v>
      </c>
      <c r="O13" s="2">
        <v>4</v>
      </c>
      <c r="P13" s="4">
        <f t="shared" si="0"/>
        <v>106</v>
      </c>
      <c r="Q13" s="5">
        <f t="shared" si="8"/>
        <v>315</v>
      </c>
      <c r="R13" s="10">
        <f t="shared" si="4"/>
        <v>0.61046511627906974</v>
      </c>
      <c r="S13" s="4">
        <f t="shared" si="1"/>
        <v>34</v>
      </c>
      <c r="T13" s="5">
        <f t="shared" si="9"/>
        <v>84</v>
      </c>
      <c r="U13" s="10">
        <f t="shared" si="5"/>
        <v>0.16279069767441862</v>
      </c>
      <c r="V13" s="4">
        <f t="shared" si="2"/>
        <v>47</v>
      </c>
      <c r="W13" s="5">
        <f t="shared" si="10"/>
        <v>114</v>
      </c>
      <c r="X13" s="10">
        <f t="shared" si="6"/>
        <v>0.22093023255813954</v>
      </c>
      <c r="Y13" s="4">
        <f t="shared" si="3"/>
        <v>2</v>
      </c>
      <c r="Z13" s="5">
        <f t="shared" si="11"/>
        <v>3</v>
      </c>
      <c r="AA13" s="3">
        <f t="shared" si="7"/>
        <v>5.8139534883720929E-3</v>
      </c>
    </row>
    <row r="14" spans="2:27" ht="18">
      <c r="B14" s="62">
        <v>10</v>
      </c>
      <c r="C14" s="62">
        <v>64</v>
      </c>
      <c r="D14" s="62">
        <v>4</v>
      </c>
      <c r="E14" s="62">
        <v>2</v>
      </c>
      <c r="F14" s="62">
        <v>0</v>
      </c>
      <c r="G14" s="62">
        <v>0</v>
      </c>
      <c r="H14" s="62">
        <v>0</v>
      </c>
      <c r="M14" s="23">
        <v>1</v>
      </c>
      <c r="N14" s="6">
        <v>0.39583333333333298</v>
      </c>
      <c r="O14" s="2">
        <v>5</v>
      </c>
      <c r="P14" s="4">
        <f t="shared" si="0"/>
        <v>171</v>
      </c>
      <c r="Q14" s="5">
        <f t="shared" si="8"/>
        <v>486</v>
      </c>
      <c r="R14" s="10">
        <f t="shared" si="4"/>
        <v>0.59340659340659341</v>
      </c>
      <c r="S14" s="4">
        <f t="shared" si="1"/>
        <v>51</v>
      </c>
      <c r="T14" s="5">
        <f t="shared" si="9"/>
        <v>135</v>
      </c>
      <c r="U14" s="10">
        <f t="shared" si="5"/>
        <v>0.16483516483516483</v>
      </c>
      <c r="V14" s="4">
        <f t="shared" si="2"/>
        <v>78</v>
      </c>
      <c r="W14" s="5">
        <f t="shared" si="10"/>
        <v>192</v>
      </c>
      <c r="X14" s="10">
        <f t="shared" si="6"/>
        <v>0.23443223443223443</v>
      </c>
      <c r="Y14" s="4">
        <f t="shared" si="3"/>
        <v>3</v>
      </c>
      <c r="Z14" s="5">
        <f t="shared" si="11"/>
        <v>6</v>
      </c>
      <c r="AA14" s="3">
        <f t="shared" si="7"/>
        <v>7.326007326007326E-3</v>
      </c>
    </row>
    <row r="15" spans="2:27" ht="18">
      <c r="B15" s="62">
        <v>10</v>
      </c>
      <c r="C15" s="62">
        <v>60</v>
      </c>
      <c r="D15" s="62">
        <v>3</v>
      </c>
      <c r="E15" s="62">
        <v>3</v>
      </c>
      <c r="F15" s="62">
        <v>0</v>
      </c>
      <c r="G15" s="62">
        <v>2</v>
      </c>
      <c r="H15" s="62">
        <v>0</v>
      </c>
      <c r="M15" s="23">
        <v>1</v>
      </c>
      <c r="N15" s="6">
        <v>0.41666666666666702</v>
      </c>
      <c r="O15" s="2">
        <v>6</v>
      </c>
      <c r="P15" s="4">
        <f t="shared" si="0"/>
        <v>137</v>
      </c>
      <c r="Q15" s="5">
        <f t="shared" si="8"/>
        <v>623</v>
      </c>
      <c r="R15" s="10">
        <f t="shared" si="4"/>
        <v>0.5961722488038278</v>
      </c>
      <c r="S15" s="4">
        <f t="shared" si="1"/>
        <v>33</v>
      </c>
      <c r="T15" s="5">
        <f t="shared" si="9"/>
        <v>168</v>
      </c>
      <c r="U15" s="10">
        <f t="shared" si="5"/>
        <v>0.16076555023923444</v>
      </c>
      <c r="V15" s="4">
        <f t="shared" si="2"/>
        <v>54</v>
      </c>
      <c r="W15" s="5">
        <f t="shared" si="10"/>
        <v>246</v>
      </c>
      <c r="X15" s="10">
        <f t="shared" si="6"/>
        <v>0.23540669856459331</v>
      </c>
      <c r="Y15" s="4">
        <f t="shared" si="3"/>
        <v>2</v>
      </c>
      <c r="Z15" s="5">
        <f t="shared" si="11"/>
        <v>8</v>
      </c>
      <c r="AA15" s="3">
        <f t="shared" si="7"/>
        <v>7.6555023923444978E-3</v>
      </c>
    </row>
    <row r="16" spans="2:27" ht="18">
      <c r="B16" s="62">
        <v>10</v>
      </c>
      <c r="C16" s="62">
        <v>54</v>
      </c>
      <c r="D16" s="62">
        <v>1</v>
      </c>
      <c r="E16" s="62">
        <v>2</v>
      </c>
      <c r="F16" s="62">
        <v>1</v>
      </c>
      <c r="G16" s="62">
        <v>3</v>
      </c>
      <c r="H16" s="62">
        <v>0</v>
      </c>
      <c r="M16" s="23">
        <v>1</v>
      </c>
      <c r="N16" s="6">
        <v>0.4375</v>
      </c>
      <c r="O16" s="2">
        <v>7</v>
      </c>
      <c r="P16" s="4">
        <f t="shared" si="0"/>
        <v>133</v>
      </c>
      <c r="Q16" s="5">
        <f t="shared" si="8"/>
        <v>756</v>
      </c>
      <c r="R16" s="10">
        <f t="shared" si="4"/>
        <v>0.59668508287292821</v>
      </c>
      <c r="S16" s="4">
        <f t="shared" si="1"/>
        <v>25</v>
      </c>
      <c r="T16" s="5">
        <f t="shared" si="9"/>
        <v>193</v>
      </c>
      <c r="U16" s="10">
        <f t="shared" si="5"/>
        <v>0.15232833464877663</v>
      </c>
      <c r="V16" s="4">
        <f t="shared" si="2"/>
        <v>58</v>
      </c>
      <c r="W16" s="5">
        <f t="shared" si="10"/>
        <v>304</v>
      </c>
      <c r="X16" s="10">
        <f t="shared" si="6"/>
        <v>0.23993685872138912</v>
      </c>
      <c r="Y16" s="4">
        <f t="shared" si="3"/>
        <v>6</v>
      </c>
      <c r="Z16" s="5">
        <f t="shared" si="11"/>
        <v>14</v>
      </c>
      <c r="AA16" s="3">
        <f t="shared" si="7"/>
        <v>1.1049723756906077E-2</v>
      </c>
    </row>
    <row r="17" spans="2:27" ht="18">
      <c r="B17" s="62">
        <v>10</v>
      </c>
      <c r="C17" s="62">
        <v>52</v>
      </c>
      <c r="D17" s="62">
        <v>1</v>
      </c>
      <c r="E17" s="62">
        <v>8</v>
      </c>
      <c r="F17" s="62">
        <v>0</v>
      </c>
      <c r="G17" s="62">
        <v>0</v>
      </c>
      <c r="H17" s="62">
        <v>0</v>
      </c>
      <c r="M17" s="23">
        <v>1</v>
      </c>
      <c r="N17" s="6">
        <v>0.45833333333333298</v>
      </c>
      <c r="O17" s="2">
        <v>8</v>
      </c>
      <c r="P17" s="4">
        <f t="shared" si="0"/>
        <v>171</v>
      </c>
      <c r="Q17" s="5">
        <f t="shared" si="8"/>
        <v>927</v>
      </c>
      <c r="R17" s="10">
        <f t="shared" si="4"/>
        <v>0.58670886075949369</v>
      </c>
      <c r="S17" s="4">
        <f t="shared" si="1"/>
        <v>36</v>
      </c>
      <c r="T17" s="5">
        <f t="shared" si="9"/>
        <v>229</v>
      </c>
      <c r="U17" s="10">
        <f t="shared" si="5"/>
        <v>0.14493670886075949</v>
      </c>
      <c r="V17" s="4">
        <f t="shared" si="2"/>
        <v>102</v>
      </c>
      <c r="W17" s="5">
        <f t="shared" si="10"/>
        <v>406</v>
      </c>
      <c r="X17" s="10">
        <f t="shared" si="6"/>
        <v>0.25696202531645568</v>
      </c>
      <c r="Y17" s="4">
        <f t="shared" si="3"/>
        <v>4</v>
      </c>
      <c r="Z17" s="5">
        <f t="shared" si="11"/>
        <v>18</v>
      </c>
      <c r="AA17" s="3">
        <f t="shared" si="7"/>
        <v>1.1392405063291139E-2</v>
      </c>
    </row>
    <row r="18" spans="2:27" ht="18">
      <c r="B18" s="62">
        <v>10</v>
      </c>
      <c r="C18" s="62">
        <v>57</v>
      </c>
      <c r="D18" s="62">
        <v>4</v>
      </c>
      <c r="E18" s="62">
        <v>13</v>
      </c>
      <c r="F18" s="62">
        <v>3</v>
      </c>
      <c r="G18" s="62">
        <v>2</v>
      </c>
      <c r="H18" s="62">
        <v>1</v>
      </c>
      <c r="M18" s="23">
        <v>1</v>
      </c>
      <c r="N18" s="6">
        <v>0.47916666666666702</v>
      </c>
      <c r="O18" s="2">
        <v>9</v>
      </c>
      <c r="P18" s="4">
        <f t="shared" si="0"/>
        <v>177</v>
      </c>
      <c r="Q18" s="5">
        <f t="shared" si="8"/>
        <v>1104</v>
      </c>
      <c r="R18" s="10">
        <f t="shared" si="4"/>
        <v>0.57172449508026935</v>
      </c>
      <c r="S18" s="4">
        <f t="shared" si="1"/>
        <v>57</v>
      </c>
      <c r="T18" s="5">
        <f t="shared" si="9"/>
        <v>286</v>
      </c>
      <c r="U18" s="10">
        <f t="shared" si="5"/>
        <v>0.14810978767477992</v>
      </c>
      <c r="V18" s="4">
        <f t="shared" si="2"/>
        <v>110</v>
      </c>
      <c r="W18" s="5">
        <f t="shared" si="10"/>
        <v>516</v>
      </c>
      <c r="X18" s="10">
        <f t="shared" si="6"/>
        <v>0.26721905748316932</v>
      </c>
      <c r="Y18" s="4">
        <f t="shared" si="3"/>
        <v>7</v>
      </c>
      <c r="Z18" s="5">
        <f t="shared" si="11"/>
        <v>25</v>
      </c>
      <c r="AA18" s="3">
        <f t="shared" si="7"/>
        <v>1.294665976178146E-2</v>
      </c>
    </row>
    <row r="19" spans="2:27" ht="18">
      <c r="B19" s="62">
        <v>10</v>
      </c>
      <c r="C19" s="62">
        <v>53</v>
      </c>
      <c r="D19" s="62">
        <v>2</v>
      </c>
      <c r="E19" s="62">
        <v>19</v>
      </c>
      <c r="F19" s="62">
        <v>1</v>
      </c>
      <c r="G19" s="62">
        <v>1</v>
      </c>
      <c r="H19" s="62">
        <v>0</v>
      </c>
      <c r="M19" s="23">
        <v>1</v>
      </c>
      <c r="N19" s="6">
        <v>0.5</v>
      </c>
      <c r="O19" s="2">
        <v>10</v>
      </c>
      <c r="P19" s="4">
        <f t="shared" si="0"/>
        <v>174</v>
      </c>
      <c r="Q19" s="5">
        <f t="shared" si="8"/>
        <v>1278</v>
      </c>
      <c r="R19" s="10">
        <f t="shared" si="4"/>
        <v>0.56003505696757228</v>
      </c>
      <c r="S19" s="4">
        <f t="shared" si="1"/>
        <v>64</v>
      </c>
      <c r="T19" s="5">
        <f t="shared" si="9"/>
        <v>350</v>
      </c>
      <c r="U19" s="10">
        <f t="shared" si="5"/>
        <v>0.15337423312883436</v>
      </c>
      <c r="V19" s="4">
        <f t="shared" si="2"/>
        <v>108</v>
      </c>
      <c r="W19" s="5">
        <f t="shared" si="10"/>
        <v>624</v>
      </c>
      <c r="X19" s="10">
        <f t="shared" si="6"/>
        <v>0.27344434706397897</v>
      </c>
      <c r="Y19" s="4">
        <f t="shared" si="3"/>
        <v>5</v>
      </c>
      <c r="Z19" s="5">
        <f t="shared" si="11"/>
        <v>30</v>
      </c>
      <c r="AA19" s="3">
        <f t="shared" si="7"/>
        <v>1.3146362839614373E-2</v>
      </c>
    </row>
    <row r="20" spans="2:27" ht="18">
      <c r="B20" s="62">
        <v>10</v>
      </c>
      <c r="C20" s="62">
        <v>53</v>
      </c>
      <c r="D20" s="62">
        <v>1</v>
      </c>
      <c r="E20" s="62">
        <v>10</v>
      </c>
      <c r="F20" s="62">
        <v>1</v>
      </c>
      <c r="G20" s="62">
        <v>2</v>
      </c>
      <c r="H20" s="62">
        <v>0</v>
      </c>
      <c r="M20" s="23">
        <v>1</v>
      </c>
      <c r="N20" s="6">
        <v>0.52083333333333304</v>
      </c>
      <c r="O20" s="2">
        <v>11</v>
      </c>
      <c r="P20" s="4">
        <f t="shared" si="0"/>
        <v>168</v>
      </c>
      <c r="Q20" s="5">
        <f t="shared" si="8"/>
        <v>1446</v>
      </c>
      <c r="R20" s="10">
        <f t="shared" si="4"/>
        <v>0.55636783378222399</v>
      </c>
      <c r="S20" s="4">
        <f t="shared" si="1"/>
        <v>57</v>
      </c>
      <c r="T20" s="5">
        <f t="shared" si="9"/>
        <v>407</v>
      </c>
      <c r="U20" s="10">
        <f t="shared" si="5"/>
        <v>0.1565986918045402</v>
      </c>
      <c r="V20" s="4">
        <f t="shared" si="2"/>
        <v>88</v>
      </c>
      <c r="W20" s="5">
        <f t="shared" si="10"/>
        <v>712</v>
      </c>
      <c r="X20" s="10">
        <f t="shared" si="6"/>
        <v>0.27395151981531357</v>
      </c>
      <c r="Y20" s="4">
        <f t="shared" si="3"/>
        <v>4</v>
      </c>
      <c r="Z20" s="5">
        <f t="shared" si="11"/>
        <v>34</v>
      </c>
      <c r="AA20" s="3">
        <f t="shared" si="7"/>
        <v>1.3081954597922277E-2</v>
      </c>
    </row>
    <row r="21" spans="2:27" ht="18">
      <c r="B21" s="62">
        <v>10</v>
      </c>
      <c r="C21" s="62">
        <v>53</v>
      </c>
      <c r="D21" s="62">
        <v>3</v>
      </c>
      <c r="E21" s="62">
        <v>18</v>
      </c>
      <c r="F21" s="62">
        <v>0</v>
      </c>
      <c r="G21" s="62">
        <v>8</v>
      </c>
      <c r="H21" s="62">
        <v>0</v>
      </c>
      <c r="M21" s="23">
        <v>1</v>
      </c>
      <c r="N21" s="6">
        <v>4.1666666666666664E-2</v>
      </c>
      <c r="O21" s="2">
        <v>12</v>
      </c>
      <c r="P21" s="4">
        <f t="shared" si="0"/>
        <v>172</v>
      </c>
      <c r="Q21" s="5">
        <f t="shared" si="8"/>
        <v>1618</v>
      </c>
      <c r="R21" s="10">
        <f t="shared" si="4"/>
        <v>0.55525051475634868</v>
      </c>
      <c r="S21" s="4">
        <f t="shared" si="1"/>
        <v>35</v>
      </c>
      <c r="T21" s="5">
        <f t="shared" si="9"/>
        <v>442</v>
      </c>
      <c r="U21" s="10">
        <f t="shared" si="5"/>
        <v>0.15168153740562801</v>
      </c>
      <c r="V21" s="4">
        <f t="shared" si="2"/>
        <v>104</v>
      </c>
      <c r="W21" s="5">
        <f t="shared" si="10"/>
        <v>816</v>
      </c>
      <c r="X21" s="10">
        <f t="shared" si="6"/>
        <v>0.28002745367192861</v>
      </c>
      <c r="Y21" s="4">
        <f t="shared" si="3"/>
        <v>4</v>
      </c>
      <c r="Z21" s="5">
        <f t="shared" si="11"/>
        <v>38</v>
      </c>
      <c r="AA21" s="3">
        <f t="shared" si="7"/>
        <v>1.3040494166094716E-2</v>
      </c>
    </row>
    <row r="22" spans="2:27" ht="18">
      <c r="B22" s="62">
        <v>10</v>
      </c>
      <c r="C22" s="62">
        <v>50</v>
      </c>
      <c r="D22" s="62">
        <v>2</v>
      </c>
      <c r="E22" s="62">
        <v>20</v>
      </c>
      <c r="F22" s="62">
        <v>12</v>
      </c>
      <c r="G22" s="62">
        <v>2</v>
      </c>
      <c r="H22" s="62">
        <v>0</v>
      </c>
      <c r="M22" s="23">
        <v>1</v>
      </c>
      <c r="N22" s="6">
        <v>6.25E-2</v>
      </c>
      <c r="O22" s="2">
        <v>13</v>
      </c>
      <c r="P22" s="4">
        <f t="shared" si="0"/>
        <v>182</v>
      </c>
      <c r="Q22" s="5">
        <f t="shared" si="8"/>
        <v>1800</v>
      </c>
      <c r="R22" s="10">
        <f t="shared" si="4"/>
        <v>0.55012224938875309</v>
      </c>
      <c r="S22" s="4">
        <f t="shared" si="1"/>
        <v>73</v>
      </c>
      <c r="T22" s="5">
        <f t="shared" si="9"/>
        <v>515</v>
      </c>
      <c r="U22" s="10">
        <f t="shared" si="5"/>
        <v>0.1573960880195599</v>
      </c>
      <c r="V22" s="4">
        <f t="shared" si="2"/>
        <v>97</v>
      </c>
      <c r="W22" s="5">
        <f t="shared" si="10"/>
        <v>913</v>
      </c>
      <c r="X22" s="10">
        <f t="shared" si="6"/>
        <v>0.27903422982885084</v>
      </c>
      <c r="Y22" s="4">
        <f t="shared" si="3"/>
        <v>6</v>
      </c>
      <c r="Z22" s="5">
        <f t="shared" si="11"/>
        <v>44</v>
      </c>
      <c r="AA22" s="3">
        <f t="shared" si="7"/>
        <v>1.3447432762836185E-2</v>
      </c>
    </row>
    <row r="23" spans="2:27" ht="18">
      <c r="B23" s="62">
        <v>10</v>
      </c>
      <c r="C23" s="62">
        <v>56</v>
      </c>
      <c r="D23" s="62">
        <v>4</v>
      </c>
      <c r="E23" s="62">
        <v>8</v>
      </c>
      <c r="F23" s="62">
        <v>3</v>
      </c>
      <c r="G23" s="62">
        <v>11</v>
      </c>
      <c r="H23" s="62">
        <v>0</v>
      </c>
      <c r="M23" s="23">
        <v>1</v>
      </c>
      <c r="N23" s="6">
        <v>8.3333333333333329E-2</v>
      </c>
      <c r="O23" s="2">
        <v>14</v>
      </c>
      <c r="P23" s="4">
        <f t="shared" si="0"/>
        <v>137</v>
      </c>
      <c r="Q23" s="5">
        <f t="shared" si="8"/>
        <v>1937</v>
      </c>
      <c r="R23" s="10">
        <f t="shared" si="4"/>
        <v>0.54532657657657657</v>
      </c>
      <c r="S23" s="4">
        <f t="shared" si="1"/>
        <v>53</v>
      </c>
      <c r="T23" s="5">
        <f t="shared" si="9"/>
        <v>568</v>
      </c>
      <c r="U23" s="10">
        <f t="shared" si="5"/>
        <v>0.15990990990990991</v>
      </c>
      <c r="V23" s="4">
        <f t="shared" si="2"/>
        <v>90</v>
      </c>
      <c r="W23" s="5">
        <f t="shared" si="10"/>
        <v>1003</v>
      </c>
      <c r="X23" s="10">
        <f t="shared" si="6"/>
        <v>0.28237612612612611</v>
      </c>
      <c r="Y23" s="4">
        <f t="shared" si="3"/>
        <v>0</v>
      </c>
      <c r="Z23" s="5">
        <f t="shared" si="11"/>
        <v>44</v>
      </c>
      <c r="AA23" s="3" t="e">
        <f t="shared" si="7"/>
        <v>#N/A</v>
      </c>
    </row>
    <row r="24" spans="2:27" ht="18">
      <c r="B24" s="62">
        <v>10</v>
      </c>
      <c r="C24" s="62">
        <v>56</v>
      </c>
      <c r="D24" s="62">
        <v>5</v>
      </c>
      <c r="E24" s="62">
        <v>16</v>
      </c>
      <c r="F24" s="62">
        <v>2</v>
      </c>
      <c r="G24" s="62">
        <v>5</v>
      </c>
      <c r="H24" s="62">
        <v>0</v>
      </c>
      <c r="M24" s="23">
        <v>1</v>
      </c>
      <c r="N24" s="6">
        <v>0.104166666666667</v>
      </c>
      <c r="O24" s="2">
        <v>15</v>
      </c>
      <c r="P24" s="4">
        <f t="shared" si="0"/>
        <v>133</v>
      </c>
      <c r="Q24" s="5">
        <f t="shared" si="8"/>
        <v>2070</v>
      </c>
      <c r="R24" s="10">
        <f t="shared" si="4"/>
        <v>0.54559831312598839</v>
      </c>
      <c r="S24" s="4">
        <f t="shared" si="1"/>
        <v>42</v>
      </c>
      <c r="T24" s="5">
        <f t="shared" si="9"/>
        <v>610</v>
      </c>
      <c r="U24" s="10">
        <f t="shared" si="5"/>
        <v>0.16078017923036372</v>
      </c>
      <c r="V24" s="4">
        <f t="shared" si="2"/>
        <v>66</v>
      </c>
      <c r="W24" s="5">
        <f t="shared" si="10"/>
        <v>1069</v>
      </c>
      <c r="X24" s="10">
        <f t="shared" si="6"/>
        <v>0.28176067474960464</v>
      </c>
      <c r="Y24" s="4">
        <f t="shared" si="3"/>
        <v>1</v>
      </c>
      <c r="Z24" s="5">
        <f t="shared" si="11"/>
        <v>45</v>
      </c>
      <c r="AA24" s="3">
        <f t="shared" si="7"/>
        <v>1.1860832894043227E-2</v>
      </c>
    </row>
    <row r="25" spans="2:27" ht="18">
      <c r="B25" s="62">
        <v>10</v>
      </c>
      <c r="C25" s="62">
        <v>61</v>
      </c>
      <c r="D25" s="62">
        <v>3</v>
      </c>
      <c r="E25" s="62">
        <v>8</v>
      </c>
      <c r="F25" s="62">
        <v>2</v>
      </c>
      <c r="G25" s="62">
        <v>5</v>
      </c>
      <c r="H25" s="62">
        <v>0</v>
      </c>
      <c r="M25" s="23">
        <v>1</v>
      </c>
      <c r="N25" s="6">
        <v>0.125</v>
      </c>
      <c r="O25" s="2">
        <v>16</v>
      </c>
      <c r="P25" s="4">
        <f t="shared" si="0"/>
        <v>16</v>
      </c>
      <c r="Q25" s="5">
        <f t="shared" si="8"/>
        <v>2086</v>
      </c>
      <c r="R25" s="10">
        <f t="shared" si="4"/>
        <v>0.54209979209979209</v>
      </c>
      <c r="S25" s="4">
        <f t="shared" si="1"/>
        <v>4</v>
      </c>
      <c r="T25" s="5">
        <f t="shared" si="9"/>
        <v>614</v>
      </c>
      <c r="U25" s="10">
        <f t="shared" si="5"/>
        <v>0.15956340956340956</v>
      </c>
      <c r="V25" s="4">
        <f t="shared" si="2"/>
        <v>34</v>
      </c>
      <c r="W25" s="5">
        <f t="shared" si="10"/>
        <v>1103</v>
      </c>
      <c r="X25" s="10">
        <f t="shared" si="6"/>
        <v>0.28664241164241167</v>
      </c>
      <c r="Y25" s="4">
        <f t="shared" si="3"/>
        <v>0</v>
      </c>
      <c r="Z25" s="5">
        <f t="shared" si="11"/>
        <v>45</v>
      </c>
      <c r="AA25" s="3" t="e">
        <f t="shared" si="7"/>
        <v>#N/A</v>
      </c>
    </row>
    <row r="26" spans="2:27" ht="18">
      <c r="B26" s="62">
        <v>10</v>
      </c>
      <c r="C26" s="62">
        <v>61</v>
      </c>
      <c r="D26" s="62">
        <v>4</v>
      </c>
      <c r="E26" s="62">
        <v>10</v>
      </c>
      <c r="F26" s="62">
        <v>3</v>
      </c>
      <c r="G26" s="62">
        <v>6</v>
      </c>
      <c r="H26" s="62">
        <v>0</v>
      </c>
      <c r="M26" s="23">
        <v>1</v>
      </c>
      <c r="N26" s="6">
        <v>0.14583333333333301</v>
      </c>
      <c r="O26" s="2">
        <v>17</v>
      </c>
      <c r="P26" s="4">
        <f t="shared" si="0"/>
        <v>4</v>
      </c>
      <c r="Q26" s="5">
        <f t="shared" si="8"/>
        <v>2090</v>
      </c>
      <c r="R26" s="10">
        <f t="shared" si="4"/>
        <v>0.54215304798962383</v>
      </c>
      <c r="S26" s="4">
        <f t="shared" si="1"/>
        <v>0</v>
      </c>
      <c r="T26" s="5">
        <f t="shared" si="9"/>
        <v>614</v>
      </c>
      <c r="U26" s="10" t="e">
        <f t="shared" si="5"/>
        <v>#N/A</v>
      </c>
      <c r="V26" s="4">
        <f t="shared" si="2"/>
        <v>3</v>
      </c>
      <c r="W26" s="5">
        <f t="shared" si="10"/>
        <v>1106</v>
      </c>
      <c r="X26" s="10">
        <f t="shared" si="6"/>
        <v>0.2869001297016861</v>
      </c>
      <c r="Y26" s="4">
        <f t="shared" si="3"/>
        <v>0</v>
      </c>
      <c r="Z26" s="5">
        <f t="shared" si="11"/>
        <v>45</v>
      </c>
      <c r="AA26" s="3" t="e">
        <f t="shared" si="7"/>
        <v>#N/A</v>
      </c>
    </row>
    <row r="27" spans="2:27" ht="18">
      <c r="B27" s="62">
        <v>10</v>
      </c>
      <c r="C27" s="62">
        <v>62</v>
      </c>
      <c r="D27" s="62">
        <v>2</v>
      </c>
      <c r="E27" s="62">
        <v>12</v>
      </c>
      <c r="F27" s="62">
        <v>2</v>
      </c>
      <c r="G27" s="62">
        <v>1</v>
      </c>
      <c r="H27" s="62">
        <v>0</v>
      </c>
      <c r="M27" s="23">
        <v>1</v>
      </c>
      <c r="N27" s="6">
        <v>0.16666666666666599</v>
      </c>
      <c r="O27" s="2">
        <v>18</v>
      </c>
      <c r="P27" s="4">
        <f t="shared" si="0"/>
        <v>0</v>
      </c>
      <c r="Q27" s="5">
        <f t="shared" si="8"/>
        <v>2090</v>
      </c>
      <c r="R27" s="10" t="e">
        <f t="shared" si="4"/>
        <v>#N/A</v>
      </c>
      <c r="S27" s="4">
        <f t="shared" si="1"/>
        <v>0</v>
      </c>
      <c r="T27" s="5">
        <f t="shared" si="9"/>
        <v>614</v>
      </c>
      <c r="U27" s="10" t="e">
        <f t="shared" si="5"/>
        <v>#N/A</v>
      </c>
      <c r="V27" s="4">
        <f t="shared" si="2"/>
        <v>0</v>
      </c>
      <c r="W27" s="5">
        <f t="shared" si="10"/>
        <v>1106</v>
      </c>
      <c r="X27" s="10" t="e">
        <f t="shared" si="6"/>
        <v>#N/A</v>
      </c>
      <c r="Y27" s="4">
        <f t="shared" si="3"/>
        <v>0</v>
      </c>
      <c r="Z27" s="5">
        <f t="shared" si="11"/>
        <v>45</v>
      </c>
      <c r="AA27" s="3" t="e">
        <f t="shared" si="7"/>
        <v>#N/A</v>
      </c>
    </row>
    <row r="28" spans="2:27" ht="18">
      <c r="B28" s="62">
        <v>10</v>
      </c>
      <c r="C28" s="62">
        <v>54</v>
      </c>
      <c r="D28" s="62">
        <v>4</v>
      </c>
      <c r="E28" s="62">
        <v>8</v>
      </c>
      <c r="F28" s="62">
        <v>0</v>
      </c>
      <c r="G28" s="62">
        <v>6</v>
      </c>
      <c r="H28" s="62">
        <v>1</v>
      </c>
      <c r="M28" s="23">
        <v>1</v>
      </c>
      <c r="N28" s="6">
        <v>0.187499999999999</v>
      </c>
      <c r="O28" s="2">
        <v>19</v>
      </c>
      <c r="P28" s="4">
        <f t="shared" si="0"/>
        <v>0</v>
      </c>
      <c r="Q28" s="5">
        <f t="shared" si="8"/>
        <v>2090</v>
      </c>
      <c r="R28" s="10" t="e">
        <f t="shared" si="4"/>
        <v>#N/A</v>
      </c>
      <c r="S28" s="4">
        <f t="shared" si="1"/>
        <v>0</v>
      </c>
      <c r="T28" s="5">
        <f t="shared" si="9"/>
        <v>614</v>
      </c>
      <c r="U28" s="10" t="e">
        <f t="shared" si="5"/>
        <v>#N/A</v>
      </c>
      <c r="V28" s="4">
        <f t="shared" si="2"/>
        <v>0</v>
      </c>
      <c r="W28" s="5">
        <f t="shared" si="10"/>
        <v>1106</v>
      </c>
      <c r="X28" s="10" t="e">
        <f t="shared" si="6"/>
        <v>#N/A</v>
      </c>
      <c r="Y28" s="4">
        <f t="shared" si="3"/>
        <v>0</v>
      </c>
      <c r="Z28" s="5">
        <f t="shared" si="11"/>
        <v>45</v>
      </c>
      <c r="AA28" s="3" t="e">
        <f t="shared" si="7"/>
        <v>#N/A</v>
      </c>
    </row>
    <row r="29" spans="2:27" ht="18.75" thickBot="1">
      <c r="B29" s="62">
        <v>10</v>
      </c>
      <c r="C29" s="62">
        <v>55</v>
      </c>
      <c r="D29" s="62">
        <v>5</v>
      </c>
      <c r="E29" s="62">
        <v>12</v>
      </c>
      <c r="F29" s="62">
        <v>2</v>
      </c>
      <c r="G29" s="62">
        <v>10</v>
      </c>
      <c r="H29" s="62">
        <v>1</v>
      </c>
      <c r="M29" s="23">
        <v>1</v>
      </c>
      <c r="N29" s="6">
        <v>0.20833333333333201</v>
      </c>
      <c r="O29" s="2">
        <v>20</v>
      </c>
      <c r="P29" s="7">
        <f t="shared" si="0"/>
        <v>0</v>
      </c>
      <c r="Q29" s="8">
        <f t="shared" si="8"/>
        <v>2090</v>
      </c>
      <c r="R29" s="11" t="e">
        <f t="shared" si="4"/>
        <v>#N/A</v>
      </c>
      <c r="S29" s="7">
        <f t="shared" si="1"/>
        <v>0</v>
      </c>
      <c r="T29" s="8">
        <f t="shared" si="9"/>
        <v>614</v>
      </c>
      <c r="U29" s="11" t="e">
        <f t="shared" si="5"/>
        <v>#N/A</v>
      </c>
      <c r="V29" s="7">
        <f t="shared" si="2"/>
        <v>0</v>
      </c>
      <c r="W29" s="8">
        <f t="shared" si="10"/>
        <v>1106</v>
      </c>
      <c r="X29" s="11" t="e">
        <f t="shared" si="6"/>
        <v>#N/A</v>
      </c>
      <c r="Y29" s="7">
        <f t="shared" si="3"/>
        <v>0</v>
      </c>
      <c r="Z29" s="8">
        <f t="shared" si="11"/>
        <v>45</v>
      </c>
      <c r="AA29" s="9" t="e">
        <f t="shared" si="7"/>
        <v>#N/A</v>
      </c>
    </row>
    <row r="30" spans="2:27" ht="18">
      <c r="B30" s="62">
        <v>10</v>
      </c>
      <c r="C30" s="62">
        <v>54</v>
      </c>
      <c r="D30" s="62">
        <v>5</v>
      </c>
      <c r="E30" s="62">
        <v>3</v>
      </c>
      <c r="F30" s="62">
        <v>0</v>
      </c>
      <c r="G30" s="62">
        <v>1</v>
      </c>
      <c r="H30" s="62">
        <v>0</v>
      </c>
      <c r="M30" s="23">
        <v>1</v>
      </c>
    </row>
    <row r="31" spans="2:27" ht="18">
      <c r="B31" s="62">
        <v>10</v>
      </c>
      <c r="C31" s="62">
        <v>63</v>
      </c>
      <c r="D31" s="62">
        <v>5</v>
      </c>
      <c r="E31" s="62">
        <v>25</v>
      </c>
      <c r="F31" s="62">
        <v>5</v>
      </c>
      <c r="G31" s="62">
        <v>10</v>
      </c>
      <c r="H31" s="62">
        <v>0</v>
      </c>
      <c r="M31" s="23">
        <v>1</v>
      </c>
    </row>
    <row r="32" spans="2:27" ht="18">
      <c r="B32" s="62">
        <v>10</v>
      </c>
      <c r="C32" s="62">
        <v>49</v>
      </c>
      <c r="D32" s="62">
        <v>3</v>
      </c>
      <c r="E32" s="62">
        <v>16</v>
      </c>
      <c r="F32" s="62">
        <v>2</v>
      </c>
      <c r="G32" s="62">
        <v>6</v>
      </c>
      <c r="H32" s="62">
        <v>0</v>
      </c>
      <c r="M32" s="23">
        <v>1</v>
      </c>
      <c r="O32" s="23">
        <v>48</v>
      </c>
    </row>
    <row r="33" spans="2:15" ht="18">
      <c r="B33" s="62">
        <v>10</v>
      </c>
      <c r="C33" s="62">
        <v>49</v>
      </c>
      <c r="D33" s="62">
        <v>4</v>
      </c>
      <c r="E33" s="62">
        <v>9</v>
      </c>
      <c r="F33" s="62">
        <v>9</v>
      </c>
      <c r="G33" s="62">
        <v>7</v>
      </c>
      <c r="H33" s="62">
        <v>0</v>
      </c>
      <c r="M33" s="23">
        <v>1</v>
      </c>
      <c r="O33" s="23">
        <v>49</v>
      </c>
    </row>
    <row r="34" spans="2:15" ht="18">
      <c r="B34" s="62">
        <v>10</v>
      </c>
      <c r="C34" s="62">
        <v>49</v>
      </c>
      <c r="D34" s="62">
        <v>5</v>
      </c>
      <c r="E34" s="62">
        <v>11</v>
      </c>
      <c r="F34" s="62">
        <v>8</v>
      </c>
      <c r="G34" s="62">
        <v>5</v>
      </c>
      <c r="H34" s="62">
        <v>0</v>
      </c>
      <c r="M34" s="23">
        <v>1</v>
      </c>
      <c r="O34" s="23">
        <v>50</v>
      </c>
    </row>
    <row r="35" spans="2:15" ht="18">
      <c r="B35" s="62">
        <v>10</v>
      </c>
      <c r="C35" s="62">
        <v>49</v>
      </c>
      <c r="D35" s="62">
        <v>6</v>
      </c>
      <c r="E35" s="62">
        <v>14</v>
      </c>
      <c r="F35" s="62">
        <v>4</v>
      </c>
      <c r="G35" s="62">
        <v>5</v>
      </c>
      <c r="H35" s="62">
        <v>2</v>
      </c>
      <c r="M35" s="23">
        <v>1</v>
      </c>
      <c r="O35" s="23">
        <v>51</v>
      </c>
    </row>
    <row r="36" spans="2:15" ht="18">
      <c r="B36" s="62">
        <v>10</v>
      </c>
      <c r="C36" s="62">
        <v>49</v>
      </c>
      <c r="D36" s="62">
        <v>1</v>
      </c>
      <c r="E36" s="62">
        <v>15</v>
      </c>
      <c r="F36" s="62">
        <v>2</v>
      </c>
      <c r="G36" s="62">
        <v>6</v>
      </c>
      <c r="H36" s="62">
        <v>0</v>
      </c>
      <c r="M36" s="23">
        <v>1</v>
      </c>
      <c r="O36" s="23">
        <v>52</v>
      </c>
    </row>
    <row r="37" spans="2:15" ht="18">
      <c r="B37" s="62">
        <v>10</v>
      </c>
      <c r="C37" s="62">
        <v>49</v>
      </c>
      <c r="D37" s="62">
        <v>2</v>
      </c>
      <c r="E37" s="62">
        <v>11</v>
      </c>
      <c r="F37" s="62">
        <v>6</v>
      </c>
      <c r="G37" s="62">
        <v>7</v>
      </c>
      <c r="H37" s="62">
        <v>0</v>
      </c>
      <c r="M37" s="23">
        <v>1</v>
      </c>
      <c r="O37" s="23">
        <v>53</v>
      </c>
    </row>
    <row r="38" spans="2:15" ht="18">
      <c r="B38" s="62">
        <v>10</v>
      </c>
      <c r="C38" s="62">
        <v>51</v>
      </c>
      <c r="D38" s="62">
        <v>6</v>
      </c>
      <c r="E38" s="62">
        <v>15</v>
      </c>
      <c r="F38" s="62">
        <v>4</v>
      </c>
      <c r="G38" s="62">
        <v>6</v>
      </c>
      <c r="H38" s="62">
        <v>0</v>
      </c>
      <c r="M38" s="23">
        <v>1</v>
      </c>
      <c r="O38" s="23">
        <v>54</v>
      </c>
    </row>
    <row r="39" spans="2:15" ht="18">
      <c r="B39" s="62">
        <v>10</v>
      </c>
      <c r="C39" s="62">
        <v>51</v>
      </c>
      <c r="D39" s="62">
        <v>5</v>
      </c>
      <c r="E39" s="62">
        <v>12</v>
      </c>
      <c r="F39" s="62">
        <v>6</v>
      </c>
      <c r="G39" s="62">
        <v>4</v>
      </c>
      <c r="H39" s="62">
        <v>1</v>
      </c>
      <c r="M39" s="23">
        <v>1</v>
      </c>
      <c r="O39" s="23">
        <v>55</v>
      </c>
    </row>
    <row r="40" spans="2:15" ht="18">
      <c r="B40" s="62">
        <v>10</v>
      </c>
      <c r="C40" s="62">
        <v>64</v>
      </c>
      <c r="D40" s="62">
        <v>1</v>
      </c>
      <c r="E40" s="62">
        <v>12</v>
      </c>
      <c r="F40" s="62">
        <v>1</v>
      </c>
      <c r="G40" s="62">
        <v>2</v>
      </c>
      <c r="H40" s="62">
        <v>0</v>
      </c>
      <c r="M40" s="23">
        <v>1</v>
      </c>
      <c r="O40" s="23">
        <v>56</v>
      </c>
    </row>
    <row r="41" spans="2:15" ht="18">
      <c r="B41" s="62">
        <v>10</v>
      </c>
      <c r="C41" s="62">
        <v>53</v>
      </c>
      <c r="D41" s="62">
        <v>4</v>
      </c>
      <c r="E41" s="62">
        <v>18</v>
      </c>
      <c r="F41" s="62">
        <v>0</v>
      </c>
      <c r="G41" s="62">
        <v>8</v>
      </c>
      <c r="H41" s="62">
        <v>0</v>
      </c>
      <c r="M41" s="23">
        <v>1</v>
      </c>
      <c r="O41" s="23">
        <v>57</v>
      </c>
    </row>
    <row r="42" spans="2:15" ht="18">
      <c r="B42" s="62">
        <v>10</v>
      </c>
      <c r="C42" s="62">
        <v>53</v>
      </c>
      <c r="D42" s="62">
        <v>5</v>
      </c>
      <c r="E42" s="62">
        <v>16</v>
      </c>
      <c r="F42" s="62">
        <v>4</v>
      </c>
      <c r="G42" s="62">
        <v>8</v>
      </c>
      <c r="H42" s="62">
        <v>0</v>
      </c>
      <c r="M42" s="23">
        <v>1</v>
      </c>
      <c r="O42" s="23">
        <v>58</v>
      </c>
    </row>
    <row r="43" spans="2:15" ht="18">
      <c r="B43" s="62">
        <v>10</v>
      </c>
      <c r="C43" s="62">
        <v>53</v>
      </c>
      <c r="D43" s="62">
        <v>6</v>
      </c>
      <c r="E43" s="62">
        <v>10</v>
      </c>
      <c r="F43" s="62">
        <v>0</v>
      </c>
      <c r="G43" s="62">
        <v>6</v>
      </c>
      <c r="H43" s="62">
        <v>0</v>
      </c>
      <c r="M43" s="23">
        <v>1</v>
      </c>
      <c r="O43" s="23">
        <v>59</v>
      </c>
    </row>
    <row r="44" spans="2:15" ht="18">
      <c r="B44" s="62">
        <v>10</v>
      </c>
      <c r="C44" s="62">
        <v>53</v>
      </c>
      <c r="D44" s="62">
        <v>7</v>
      </c>
      <c r="E44" s="62">
        <v>14</v>
      </c>
      <c r="F44" s="62">
        <v>2</v>
      </c>
      <c r="G44" s="62">
        <v>5</v>
      </c>
      <c r="H44" s="62">
        <v>0</v>
      </c>
      <c r="M44" s="23">
        <v>1</v>
      </c>
      <c r="O44" s="23">
        <v>60</v>
      </c>
    </row>
    <row r="45" spans="2:15" ht="18">
      <c r="B45" s="62">
        <v>10</v>
      </c>
      <c r="C45" s="62">
        <v>50</v>
      </c>
      <c r="D45" s="62">
        <v>4</v>
      </c>
      <c r="E45" s="62">
        <v>20</v>
      </c>
      <c r="F45" s="62">
        <v>12</v>
      </c>
      <c r="G45" s="62">
        <v>2</v>
      </c>
      <c r="H45" s="62">
        <v>0</v>
      </c>
      <c r="M45" s="23">
        <v>1</v>
      </c>
      <c r="O45" s="23">
        <v>61</v>
      </c>
    </row>
    <row r="46" spans="2:15" ht="18">
      <c r="B46" s="62">
        <v>10</v>
      </c>
      <c r="C46" s="62">
        <v>50</v>
      </c>
      <c r="D46" s="62">
        <v>7</v>
      </c>
      <c r="E46" s="62">
        <v>16</v>
      </c>
      <c r="F46" s="62">
        <v>6</v>
      </c>
      <c r="G46" s="62">
        <v>3</v>
      </c>
      <c r="H46" s="62">
        <v>0</v>
      </c>
      <c r="M46" s="23">
        <v>1</v>
      </c>
      <c r="O46" s="23">
        <v>62</v>
      </c>
    </row>
    <row r="47" spans="2:15" ht="18">
      <c r="B47" s="62">
        <v>10</v>
      </c>
      <c r="C47" s="62">
        <v>50</v>
      </c>
      <c r="D47" s="62">
        <v>8</v>
      </c>
      <c r="E47" s="62">
        <v>14</v>
      </c>
      <c r="F47" s="62">
        <v>3</v>
      </c>
      <c r="G47" s="62">
        <v>8</v>
      </c>
      <c r="H47" s="62">
        <v>0</v>
      </c>
      <c r="M47" s="23">
        <v>1</v>
      </c>
      <c r="O47" s="23">
        <v>63</v>
      </c>
    </row>
    <row r="48" spans="2:15" ht="18">
      <c r="B48" s="62">
        <v>10</v>
      </c>
      <c r="C48" s="62">
        <v>50</v>
      </c>
      <c r="D48" s="62">
        <v>5</v>
      </c>
      <c r="E48" s="62">
        <v>13</v>
      </c>
      <c r="F48" s="62">
        <v>9</v>
      </c>
      <c r="G48" s="62">
        <v>2</v>
      </c>
      <c r="H48" s="62">
        <v>0</v>
      </c>
      <c r="M48" s="23">
        <v>1</v>
      </c>
      <c r="O48" s="23">
        <v>64</v>
      </c>
    </row>
    <row r="49" spans="2:13" ht="18">
      <c r="B49" s="62">
        <v>10</v>
      </c>
      <c r="C49" s="62">
        <v>50</v>
      </c>
      <c r="D49" s="62">
        <v>6</v>
      </c>
      <c r="E49" s="62">
        <v>11</v>
      </c>
      <c r="F49" s="62">
        <v>9</v>
      </c>
      <c r="G49" s="62">
        <v>8</v>
      </c>
      <c r="H49" s="62">
        <v>0</v>
      </c>
      <c r="M49" s="23">
        <v>1</v>
      </c>
    </row>
    <row r="50" spans="2:13" ht="18">
      <c r="B50" s="62">
        <v>10</v>
      </c>
      <c r="C50" s="62">
        <v>49</v>
      </c>
      <c r="D50" s="62">
        <v>7</v>
      </c>
      <c r="E50" s="62">
        <v>9</v>
      </c>
      <c r="F50" s="62">
        <v>4</v>
      </c>
      <c r="G50" s="62">
        <v>9</v>
      </c>
      <c r="H50" s="62">
        <v>0</v>
      </c>
      <c r="M50" s="23">
        <v>1</v>
      </c>
    </row>
    <row r="51" spans="2:13" ht="18">
      <c r="B51" s="62">
        <v>10</v>
      </c>
      <c r="C51" s="62">
        <v>54</v>
      </c>
      <c r="D51" s="62">
        <v>6</v>
      </c>
      <c r="E51" s="62">
        <v>3</v>
      </c>
      <c r="F51" s="62">
        <v>0</v>
      </c>
      <c r="G51" s="62">
        <v>1</v>
      </c>
      <c r="H51" s="62">
        <v>0</v>
      </c>
      <c r="M51" s="23">
        <v>1</v>
      </c>
    </row>
    <row r="52" spans="2:13" ht="18">
      <c r="B52" s="62">
        <v>10</v>
      </c>
      <c r="C52" s="62">
        <v>54</v>
      </c>
      <c r="D52" s="62">
        <v>7</v>
      </c>
      <c r="E52" s="62">
        <v>8</v>
      </c>
      <c r="F52" s="62">
        <v>0</v>
      </c>
      <c r="G52" s="62">
        <v>3</v>
      </c>
      <c r="H52" s="62">
        <v>0</v>
      </c>
      <c r="M52" s="23">
        <v>1</v>
      </c>
    </row>
    <row r="53" spans="2:13" ht="18">
      <c r="B53" s="62">
        <v>10</v>
      </c>
      <c r="C53" s="62">
        <v>49</v>
      </c>
      <c r="D53" s="62">
        <v>8</v>
      </c>
      <c r="E53" s="62">
        <v>10</v>
      </c>
      <c r="F53" s="62">
        <v>1</v>
      </c>
      <c r="G53" s="62">
        <v>15</v>
      </c>
      <c r="H53" s="62">
        <v>0</v>
      </c>
      <c r="M53" s="23">
        <v>1</v>
      </c>
    </row>
    <row r="54" spans="2:13" ht="18">
      <c r="B54" s="62">
        <v>10</v>
      </c>
      <c r="C54" s="62">
        <v>57</v>
      </c>
      <c r="D54" s="62">
        <v>7</v>
      </c>
      <c r="E54" s="62">
        <v>8</v>
      </c>
      <c r="F54" s="62">
        <v>0</v>
      </c>
      <c r="G54" s="62">
        <v>12</v>
      </c>
      <c r="H54" s="62">
        <v>6</v>
      </c>
      <c r="M54" s="23">
        <v>1</v>
      </c>
    </row>
    <row r="55" spans="2:13" ht="18">
      <c r="B55" s="62">
        <v>10</v>
      </c>
      <c r="C55" s="62">
        <v>57</v>
      </c>
      <c r="D55" s="62">
        <v>6</v>
      </c>
      <c r="E55" s="62">
        <v>8</v>
      </c>
      <c r="F55" s="62">
        <v>3</v>
      </c>
      <c r="G55" s="62">
        <v>2</v>
      </c>
      <c r="H55" s="62">
        <v>0</v>
      </c>
      <c r="M55" s="23">
        <v>1</v>
      </c>
    </row>
    <row r="56" spans="2:13" ht="18">
      <c r="B56" s="62">
        <v>10</v>
      </c>
      <c r="C56" s="62">
        <v>57</v>
      </c>
      <c r="D56" s="62">
        <v>5</v>
      </c>
      <c r="E56" s="62">
        <v>10</v>
      </c>
      <c r="F56" s="62">
        <v>1</v>
      </c>
      <c r="G56" s="62">
        <v>8</v>
      </c>
      <c r="H56" s="62">
        <v>0</v>
      </c>
      <c r="M56" s="23">
        <v>1</v>
      </c>
    </row>
    <row r="57" spans="2:13" ht="18">
      <c r="B57" s="62">
        <v>10</v>
      </c>
      <c r="C57" s="62">
        <v>63</v>
      </c>
      <c r="D57" s="62">
        <v>4</v>
      </c>
      <c r="E57" s="62">
        <v>11</v>
      </c>
      <c r="F57" s="62">
        <v>1</v>
      </c>
      <c r="G57" s="62">
        <v>3</v>
      </c>
      <c r="H57" s="62">
        <v>0</v>
      </c>
      <c r="M57" s="23">
        <v>1</v>
      </c>
    </row>
    <row r="58" spans="2:13" ht="18">
      <c r="B58" s="62">
        <v>10</v>
      </c>
      <c r="C58" s="62">
        <v>63</v>
      </c>
      <c r="D58" s="62">
        <v>5</v>
      </c>
      <c r="E58" s="62">
        <v>25</v>
      </c>
      <c r="F58" s="62">
        <v>5</v>
      </c>
      <c r="G58" s="62">
        <v>10</v>
      </c>
      <c r="H58" s="62">
        <v>0</v>
      </c>
      <c r="M58" s="23">
        <v>1</v>
      </c>
    </row>
    <row r="59" spans="2:13" ht="18">
      <c r="B59" s="62">
        <v>10</v>
      </c>
      <c r="C59" s="62">
        <v>63</v>
      </c>
      <c r="D59" s="62">
        <v>6</v>
      </c>
      <c r="E59" s="62">
        <v>10</v>
      </c>
      <c r="F59" s="62">
        <v>0</v>
      </c>
      <c r="G59" s="62">
        <v>0</v>
      </c>
      <c r="H59" s="62">
        <v>0</v>
      </c>
      <c r="M59" s="23">
        <v>1</v>
      </c>
    </row>
    <row r="60" spans="2:13" ht="18">
      <c r="B60" s="62">
        <v>10</v>
      </c>
      <c r="C60" s="62">
        <v>63</v>
      </c>
      <c r="D60" s="62">
        <v>7</v>
      </c>
      <c r="E60" s="62">
        <v>15</v>
      </c>
      <c r="F60" s="62">
        <v>1</v>
      </c>
      <c r="G60" s="62">
        <v>6</v>
      </c>
      <c r="H60" s="62">
        <v>0</v>
      </c>
      <c r="M60" s="23">
        <v>1</v>
      </c>
    </row>
    <row r="61" spans="2:13" ht="18">
      <c r="B61" s="62">
        <v>10</v>
      </c>
      <c r="C61" s="62">
        <v>63</v>
      </c>
      <c r="D61" s="62">
        <v>8</v>
      </c>
      <c r="E61" s="62">
        <v>19</v>
      </c>
      <c r="F61" s="62">
        <v>8</v>
      </c>
      <c r="G61" s="62">
        <v>6</v>
      </c>
      <c r="H61" s="62">
        <v>0</v>
      </c>
      <c r="M61" s="23">
        <v>1</v>
      </c>
    </row>
    <row r="62" spans="2:13" ht="18">
      <c r="B62" s="62">
        <v>10</v>
      </c>
      <c r="C62" s="62">
        <v>63</v>
      </c>
      <c r="D62" s="62">
        <v>9</v>
      </c>
      <c r="E62" s="62">
        <v>16</v>
      </c>
      <c r="F62" s="62">
        <v>5</v>
      </c>
      <c r="G62" s="62">
        <v>6</v>
      </c>
      <c r="H62" s="62">
        <v>0</v>
      </c>
      <c r="M62" s="23">
        <v>1</v>
      </c>
    </row>
    <row r="63" spans="2:13" ht="18">
      <c r="B63" s="62">
        <v>10</v>
      </c>
      <c r="C63" s="62">
        <v>53</v>
      </c>
      <c r="D63" s="62">
        <v>8</v>
      </c>
      <c r="E63" s="62">
        <v>16</v>
      </c>
      <c r="F63" s="62">
        <v>4</v>
      </c>
      <c r="G63" s="62">
        <v>6</v>
      </c>
      <c r="H63" s="62">
        <v>0</v>
      </c>
      <c r="M63" s="23">
        <v>1</v>
      </c>
    </row>
    <row r="64" spans="2:13" ht="18">
      <c r="B64" s="62">
        <v>10</v>
      </c>
      <c r="C64" s="62">
        <v>53</v>
      </c>
      <c r="D64" s="62">
        <v>9</v>
      </c>
      <c r="E64" s="62">
        <v>10</v>
      </c>
      <c r="F64" s="62">
        <v>5</v>
      </c>
      <c r="G64" s="62">
        <v>8</v>
      </c>
      <c r="H64" s="62">
        <v>0</v>
      </c>
      <c r="M64" s="23">
        <v>1</v>
      </c>
    </row>
    <row r="65" spans="2:13" ht="18">
      <c r="B65" s="62">
        <v>10</v>
      </c>
      <c r="C65" s="62">
        <v>53</v>
      </c>
      <c r="D65" s="62">
        <v>10</v>
      </c>
      <c r="E65" s="62">
        <v>12</v>
      </c>
      <c r="F65" s="62">
        <v>6</v>
      </c>
      <c r="G65" s="62">
        <v>15</v>
      </c>
      <c r="H65" s="62">
        <v>0</v>
      </c>
      <c r="M65" s="23">
        <v>1</v>
      </c>
    </row>
    <row r="66" spans="2:13" ht="18">
      <c r="B66" s="62">
        <v>10</v>
      </c>
      <c r="C66" s="62">
        <v>49</v>
      </c>
      <c r="D66" s="62">
        <v>11</v>
      </c>
      <c r="E66" s="62">
        <v>9</v>
      </c>
      <c r="F66" s="62">
        <v>5</v>
      </c>
      <c r="G66" s="62">
        <v>7</v>
      </c>
      <c r="H66" s="62">
        <v>0</v>
      </c>
      <c r="M66" s="23">
        <v>1</v>
      </c>
    </row>
    <row r="67" spans="2:13" ht="18">
      <c r="B67" s="62">
        <v>10</v>
      </c>
      <c r="C67" s="62">
        <v>49</v>
      </c>
      <c r="D67" s="62">
        <v>9</v>
      </c>
      <c r="E67" s="62">
        <v>13</v>
      </c>
      <c r="F67" s="62">
        <v>2</v>
      </c>
      <c r="G67" s="62">
        <v>5</v>
      </c>
      <c r="H67" s="62">
        <v>5</v>
      </c>
      <c r="M67" s="23">
        <v>1</v>
      </c>
    </row>
    <row r="68" spans="2:13" ht="18">
      <c r="B68" s="62">
        <v>10</v>
      </c>
      <c r="C68" s="62">
        <v>49</v>
      </c>
      <c r="D68" s="62">
        <v>10</v>
      </c>
      <c r="E68" s="62">
        <v>13</v>
      </c>
      <c r="F68" s="62">
        <v>0</v>
      </c>
      <c r="G68" s="62">
        <v>7</v>
      </c>
      <c r="H68" s="62">
        <v>0</v>
      </c>
      <c r="M68" s="23">
        <v>1</v>
      </c>
    </row>
    <row r="69" spans="2:13" ht="18">
      <c r="B69" s="62">
        <v>10</v>
      </c>
      <c r="C69" s="62">
        <v>55</v>
      </c>
      <c r="D69" s="62">
        <v>5</v>
      </c>
      <c r="E69" s="62">
        <v>12</v>
      </c>
      <c r="F69" s="62">
        <v>2</v>
      </c>
      <c r="G69" s="62">
        <v>10</v>
      </c>
      <c r="H69" s="62">
        <v>1</v>
      </c>
      <c r="M69" s="23">
        <v>1</v>
      </c>
    </row>
    <row r="70" spans="2:13" ht="18">
      <c r="B70" s="62">
        <v>10</v>
      </c>
      <c r="C70" s="62">
        <v>55</v>
      </c>
      <c r="D70" s="62">
        <v>6</v>
      </c>
      <c r="E70" s="62">
        <v>11</v>
      </c>
      <c r="F70" s="62">
        <v>1</v>
      </c>
      <c r="G70" s="62">
        <v>10</v>
      </c>
      <c r="H70" s="62">
        <v>0</v>
      </c>
      <c r="M70" s="23">
        <v>1</v>
      </c>
    </row>
    <row r="71" spans="2:13" ht="18">
      <c r="B71" s="62">
        <v>10</v>
      </c>
      <c r="C71" s="62">
        <v>55</v>
      </c>
      <c r="D71" s="62">
        <v>7</v>
      </c>
      <c r="E71" s="62">
        <v>16</v>
      </c>
      <c r="F71" s="62">
        <v>1</v>
      </c>
      <c r="G71" s="62">
        <v>8</v>
      </c>
      <c r="H71" s="62">
        <v>0</v>
      </c>
      <c r="M71" s="23">
        <v>1</v>
      </c>
    </row>
    <row r="72" spans="2:13" ht="18">
      <c r="B72" s="62">
        <v>10</v>
      </c>
      <c r="C72" s="62">
        <v>55</v>
      </c>
      <c r="D72" s="62">
        <v>8</v>
      </c>
      <c r="E72" s="62">
        <v>15</v>
      </c>
      <c r="F72" s="62">
        <v>3</v>
      </c>
      <c r="G72" s="62">
        <v>7</v>
      </c>
      <c r="H72" s="62">
        <v>0</v>
      </c>
      <c r="M72" s="23">
        <v>1</v>
      </c>
    </row>
    <row r="73" spans="2:13" ht="18">
      <c r="B73" s="62">
        <v>10</v>
      </c>
      <c r="C73" s="62">
        <v>55</v>
      </c>
      <c r="D73" s="62">
        <v>9</v>
      </c>
      <c r="E73" s="62">
        <v>17</v>
      </c>
      <c r="F73" s="62">
        <v>0</v>
      </c>
      <c r="G73" s="62">
        <v>8</v>
      </c>
      <c r="H73" s="62">
        <v>0</v>
      </c>
      <c r="M73" s="23">
        <v>1</v>
      </c>
    </row>
    <row r="74" spans="2:13" ht="18">
      <c r="B74" s="62">
        <v>10</v>
      </c>
      <c r="C74" s="62">
        <v>55</v>
      </c>
      <c r="D74" s="62">
        <v>10</v>
      </c>
      <c r="E74" s="62">
        <v>19</v>
      </c>
      <c r="F74" s="62">
        <v>0</v>
      </c>
      <c r="G74" s="62">
        <v>6</v>
      </c>
      <c r="H74" s="62">
        <v>0</v>
      </c>
      <c r="M74" s="23">
        <v>1</v>
      </c>
    </row>
    <row r="75" spans="2:13" ht="18">
      <c r="B75" s="62">
        <v>10</v>
      </c>
      <c r="C75" s="62">
        <v>55</v>
      </c>
      <c r="D75" s="62">
        <v>11</v>
      </c>
      <c r="E75" s="62">
        <v>17</v>
      </c>
      <c r="F75" s="62">
        <v>1</v>
      </c>
      <c r="G75" s="62">
        <v>7</v>
      </c>
      <c r="H75" s="62">
        <v>0</v>
      </c>
      <c r="M75" s="23">
        <v>1</v>
      </c>
    </row>
    <row r="76" spans="2:13" ht="18">
      <c r="B76" s="62">
        <v>10</v>
      </c>
      <c r="C76" s="62">
        <v>60</v>
      </c>
      <c r="D76" s="62">
        <v>1</v>
      </c>
      <c r="E76" s="62">
        <v>1</v>
      </c>
      <c r="F76" s="62">
        <v>0</v>
      </c>
      <c r="G76" s="62">
        <v>0</v>
      </c>
      <c r="H76" s="62">
        <v>0</v>
      </c>
      <c r="M76" s="23">
        <v>1</v>
      </c>
    </row>
    <row r="77" spans="2:13" ht="18">
      <c r="B77" s="62">
        <v>10</v>
      </c>
      <c r="C77" s="62">
        <v>60</v>
      </c>
      <c r="D77" s="62">
        <v>6</v>
      </c>
      <c r="E77" s="62">
        <v>5</v>
      </c>
      <c r="F77" s="62">
        <v>0</v>
      </c>
      <c r="G77" s="62">
        <v>7</v>
      </c>
      <c r="H77" s="62">
        <v>0</v>
      </c>
      <c r="M77" s="23">
        <v>1</v>
      </c>
    </row>
    <row r="78" spans="2:13" ht="18">
      <c r="B78" s="62">
        <v>10</v>
      </c>
      <c r="C78" s="62">
        <v>60</v>
      </c>
      <c r="D78" s="62">
        <v>7</v>
      </c>
      <c r="E78" s="62">
        <v>7</v>
      </c>
      <c r="F78" s="62">
        <v>0</v>
      </c>
      <c r="G78" s="62">
        <v>4</v>
      </c>
      <c r="H78" s="62">
        <v>0</v>
      </c>
      <c r="M78" s="23">
        <v>1</v>
      </c>
    </row>
    <row r="79" spans="2:13" ht="18">
      <c r="B79" s="62">
        <v>10</v>
      </c>
      <c r="C79" s="62">
        <v>60</v>
      </c>
      <c r="D79" s="62">
        <v>8</v>
      </c>
      <c r="E79" s="62">
        <v>8</v>
      </c>
      <c r="F79" s="62">
        <v>1</v>
      </c>
      <c r="G79" s="62">
        <v>7</v>
      </c>
      <c r="H79" s="62">
        <v>0</v>
      </c>
      <c r="M79" s="23">
        <v>1</v>
      </c>
    </row>
    <row r="80" spans="2:13" ht="18">
      <c r="B80" s="62">
        <v>10</v>
      </c>
      <c r="C80" s="62">
        <v>60</v>
      </c>
      <c r="D80" s="62">
        <v>9</v>
      </c>
      <c r="E80" s="62">
        <v>1</v>
      </c>
      <c r="F80" s="62">
        <v>0</v>
      </c>
      <c r="G80" s="62">
        <v>5</v>
      </c>
      <c r="H80" s="62">
        <v>1</v>
      </c>
      <c r="M80" s="23">
        <v>1</v>
      </c>
    </row>
    <row r="81" spans="2:13" ht="18">
      <c r="B81" s="62">
        <v>10</v>
      </c>
      <c r="C81" s="62">
        <v>60</v>
      </c>
      <c r="D81" s="62">
        <v>10</v>
      </c>
      <c r="E81" s="62">
        <v>4</v>
      </c>
      <c r="F81" s="62">
        <v>0</v>
      </c>
      <c r="G81" s="62">
        <v>4</v>
      </c>
      <c r="H81" s="62">
        <v>0</v>
      </c>
      <c r="M81" s="23">
        <v>1</v>
      </c>
    </row>
    <row r="82" spans="2:13" ht="18">
      <c r="B82" s="62">
        <v>10</v>
      </c>
      <c r="C82" s="62">
        <v>60</v>
      </c>
      <c r="D82" s="62">
        <v>11</v>
      </c>
      <c r="E82" s="62">
        <v>6</v>
      </c>
      <c r="F82" s="62">
        <v>1</v>
      </c>
      <c r="G82" s="62">
        <v>4</v>
      </c>
      <c r="H82" s="62">
        <v>0</v>
      </c>
      <c r="M82" s="23">
        <v>1</v>
      </c>
    </row>
    <row r="83" spans="2:13" ht="18">
      <c r="B83" s="62">
        <v>10</v>
      </c>
      <c r="C83" s="62">
        <v>60</v>
      </c>
      <c r="D83" s="62">
        <v>2</v>
      </c>
      <c r="E83" s="62">
        <v>11</v>
      </c>
      <c r="F83" s="62">
        <v>0</v>
      </c>
      <c r="G83" s="62">
        <v>2</v>
      </c>
      <c r="H83" s="62">
        <v>0</v>
      </c>
      <c r="M83" s="23">
        <v>1</v>
      </c>
    </row>
    <row r="84" spans="2:13" ht="18">
      <c r="B84" s="62">
        <v>10</v>
      </c>
      <c r="C84" s="62">
        <v>60</v>
      </c>
      <c r="D84" s="62">
        <v>5</v>
      </c>
      <c r="E84" s="62">
        <v>4</v>
      </c>
      <c r="F84" s="62">
        <v>0</v>
      </c>
      <c r="G84" s="62">
        <v>2</v>
      </c>
      <c r="H84" s="62">
        <v>0</v>
      </c>
      <c r="M84" s="23">
        <v>1</v>
      </c>
    </row>
    <row r="85" spans="2:13" ht="18">
      <c r="B85" s="62">
        <v>10</v>
      </c>
      <c r="C85" s="62">
        <v>61</v>
      </c>
      <c r="D85" s="62">
        <v>10</v>
      </c>
      <c r="E85" s="62">
        <v>18</v>
      </c>
      <c r="F85" s="62">
        <v>0</v>
      </c>
      <c r="G85" s="62">
        <v>7</v>
      </c>
      <c r="H85" s="62">
        <v>0</v>
      </c>
      <c r="M85" s="23">
        <v>1</v>
      </c>
    </row>
    <row r="86" spans="2:13" ht="18">
      <c r="B86" s="62">
        <v>10</v>
      </c>
      <c r="C86" s="62">
        <v>61</v>
      </c>
      <c r="D86" s="62">
        <v>9</v>
      </c>
      <c r="E86" s="62">
        <v>6</v>
      </c>
      <c r="F86" s="62">
        <v>3</v>
      </c>
      <c r="G86" s="62">
        <v>17</v>
      </c>
      <c r="H86" s="62">
        <v>0</v>
      </c>
      <c r="M86" s="23">
        <v>1</v>
      </c>
    </row>
    <row r="87" spans="2:13" ht="18">
      <c r="B87" s="62">
        <v>10</v>
      </c>
      <c r="C87" s="62">
        <v>61</v>
      </c>
      <c r="D87" s="62">
        <v>8</v>
      </c>
      <c r="E87" s="62">
        <v>5</v>
      </c>
      <c r="F87" s="62">
        <v>0</v>
      </c>
      <c r="G87" s="62">
        <v>12</v>
      </c>
      <c r="H87" s="62">
        <v>0</v>
      </c>
      <c r="M87" s="23">
        <v>1</v>
      </c>
    </row>
    <row r="88" spans="2:13" ht="18">
      <c r="B88" s="62">
        <v>10</v>
      </c>
      <c r="C88" s="62">
        <v>63</v>
      </c>
      <c r="D88" s="62">
        <v>9</v>
      </c>
      <c r="E88" s="62">
        <v>16</v>
      </c>
      <c r="F88" s="62">
        <v>5</v>
      </c>
      <c r="G88" s="62">
        <v>6</v>
      </c>
      <c r="H88" s="62">
        <v>0</v>
      </c>
      <c r="M88" s="23">
        <v>1</v>
      </c>
    </row>
    <row r="89" spans="2:13" ht="18">
      <c r="B89" s="62">
        <v>10</v>
      </c>
      <c r="C89" s="62">
        <v>63</v>
      </c>
      <c r="D89" s="62">
        <v>10</v>
      </c>
      <c r="E89" s="62">
        <v>13</v>
      </c>
      <c r="F89" s="62">
        <v>8</v>
      </c>
      <c r="G89" s="62">
        <v>9</v>
      </c>
      <c r="H89" s="62">
        <v>0</v>
      </c>
      <c r="M89" s="23">
        <v>1</v>
      </c>
    </row>
    <row r="90" spans="2:13" ht="18">
      <c r="B90" s="62">
        <v>10</v>
      </c>
      <c r="C90" s="62">
        <v>63</v>
      </c>
      <c r="D90" s="62">
        <v>11</v>
      </c>
      <c r="E90" s="62">
        <v>2</v>
      </c>
      <c r="F90" s="62">
        <v>6</v>
      </c>
      <c r="G90" s="62">
        <v>11</v>
      </c>
      <c r="H90" s="62">
        <v>0</v>
      </c>
      <c r="M90" s="23">
        <v>1</v>
      </c>
    </row>
    <row r="91" spans="2:13" ht="18">
      <c r="B91" s="62">
        <v>10</v>
      </c>
      <c r="C91" s="62">
        <v>56</v>
      </c>
      <c r="D91" s="62">
        <v>8</v>
      </c>
      <c r="E91" s="62">
        <v>15</v>
      </c>
      <c r="F91" s="62">
        <v>3</v>
      </c>
      <c r="G91" s="62">
        <v>13</v>
      </c>
      <c r="H91" s="62">
        <v>2</v>
      </c>
      <c r="M91" s="23">
        <v>1</v>
      </c>
    </row>
    <row r="92" spans="2:13" ht="18">
      <c r="B92" s="62">
        <v>10</v>
      </c>
      <c r="C92" s="62">
        <v>56</v>
      </c>
      <c r="D92" s="62">
        <v>9</v>
      </c>
      <c r="E92" s="62">
        <v>13</v>
      </c>
      <c r="F92" s="62">
        <v>0</v>
      </c>
      <c r="G92" s="62">
        <v>11</v>
      </c>
      <c r="H92" s="62">
        <v>0</v>
      </c>
      <c r="M92" s="23">
        <v>1</v>
      </c>
    </row>
    <row r="93" spans="2:13" ht="18">
      <c r="B93" s="62">
        <v>10</v>
      </c>
      <c r="C93" s="62">
        <v>56</v>
      </c>
      <c r="D93" s="62">
        <v>10</v>
      </c>
      <c r="E93" s="62">
        <v>12</v>
      </c>
      <c r="F93" s="62">
        <v>15</v>
      </c>
      <c r="G93" s="62">
        <v>21</v>
      </c>
      <c r="H93" s="62">
        <v>4</v>
      </c>
      <c r="M93" s="23">
        <v>1</v>
      </c>
    </row>
    <row r="94" spans="2:13" ht="18">
      <c r="B94" s="62">
        <v>10</v>
      </c>
      <c r="C94" s="62">
        <v>56</v>
      </c>
      <c r="D94" s="62">
        <v>11</v>
      </c>
      <c r="E94" s="62">
        <v>13</v>
      </c>
      <c r="F94" s="62">
        <v>1</v>
      </c>
      <c r="G94" s="62">
        <v>8</v>
      </c>
      <c r="H94" s="62">
        <v>0</v>
      </c>
      <c r="M94" s="23">
        <v>1</v>
      </c>
    </row>
    <row r="95" spans="2:13" ht="18">
      <c r="B95" s="62">
        <v>10</v>
      </c>
      <c r="C95" s="62">
        <v>51</v>
      </c>
      <c r="D95" s="62">
        <v>8</v>
      </c>
      <c r="E95" s="62">
        <v>18</v>
      </c>
      <c r="F95" s="62">
        <v>3</v>
      </c>
      <c r="G95" s="62">
        <v>4</v>
      </c>
      <c r="H95" s="62">
        <v>0</v>
      </c>
      <c r="M95" s="23">
        <v>1</v>
      </c>
    </row>
    <row r="96" spans="2:13" ht="18">
      <c r="B96" s="62">
        <v>10</v>
      </c>
      <c r="C96" s="62">
        <v>51</v>
      </c>
      <c r="D96" s="62">
        <v>9</v>
      </c>
      <c r="E96" s="62">
        <v>17</v>
      </c>
      <c r="F96" s="62">
        <v>3</v>
      </c>
      <c r="G96" s="62">
        <v>5</v>
      </c>
      <c r="H96" s="62">
        <v>0</v>
      </c>
      <c r="M96" s="23">
        <v>1</v>
      </c>
    </row>
    <row r="97" spans="2:13" ht="18">
      <c r="B97" s="62">
        <v>10</v>
      </c>
      <c r="C97" s="62">
        <v>51</v>
      </c>
      <c r="D97" s="62">
        <v>10</v>
      </c>
      <c r="E97" s="62">
        <v>13</v>
      </c>
      <c r="F97" s="62">
        <v>2</v>
      </c>
      <c r="G97" s="62">
        <v>10</v>
      </c>
      <c r="H97" s="62">
        <v>0</v>
      </c>
      <c r="M97" s="23">
        <v>1</v>
      </c>
    </row>
    <row r="98" spans="2:13" ht="18">
      <c r="B98" s="62">
        <v>10</v>
      </c>
      <c r="C98" s="62">
        <v>51</v>
      </c>
      <c r="D98" s="62">
        <v>11</v>
      </c>
      <c r="E98" s="62">
        <v>14</v>
      </c>
      <c r="F98" s="62">
        <v>7</v>
      </c>
      <c r="G98" s="62">
        <v>2</v>
      </c>
      <c r="H98" s="62">
        <v>2</v>
      </c>
      <c r="M98" s="23">
        <v>1</v>
      </c>
    </row>
    <row r="99" spans="2:13" ht="18">
      <c r="B99" s="62">
        <v>10</v>
      </c>
      <c r="C99" s="62">
        <v>51</v>
      </c>
      <c r="D99" s="62">
        <v>12</v>
      </c>
      <c r="E99" s="62">
        <v>22</v>
      </c>
      <c r="F99" s="62">
        <v>2</v>
      </c>
      <c r="G99" s="62">
        <v>0</v>
      </c>
      <c r="H99" s="62">
        <v>1</v>
      </c>
      <c r="M99" s="23">
        <v>1</v>
      </c>
    </row>
    <row r="100" spans="2:13" ht="18">
      <c r="B100" s="62">
        <v>10</v>
      </c>
      <c r="C100" s="62">
        <v>54</v>
      </c>
      <c r="D100" s="62">
        <v>8</v>
      </c>
      <c r="E100" s="62">
        <v>4</v>
      </c>
      <c r="F100" s="62">
        <v>2</v>
      </c>
      <c r="G100" s="62">
        <v>1</v>
      </c>
      <c r="H100" s="62">
        <v>0</v>
      </c>
      <c r="M100" s="23">
        <v>1</v>
      </c>
    </row>
    <row r="101" spans="2:13" ht="18">
      <c r="B101" s="62">
        <v>10</v>
      </c>
      <c r="C101" s="62">
        <v>54</v>
      </c>
      <c r="D101" s="62">
        <v>9</v>
      </c>
      <c r="E101" s="62">
        <v>7</v>
      </c>
      <c r="F101" s="62">
        <v>0</v>
      </c>
      <c r="G101" s="62">
        <v>5</v>
      </c>
      <c r="H101" s="62">
        <v>0</v>
      </c>
      <c r="M101" s="23">
        <v>1</v>
      </c>
    </row>
    <row r="102" spans="2:13" ht="18">
      <c r="B102" s="62">
        <v>10</v>
      </c>
      <c r="C102" s="62">
        <v>54</v>
      </c>
      <c r="D102" s="62">
        <v>10</v>
      </c>
      <c r="E102" s="62">
        <v>6</v>
      </c>
      <c r="F102" s="62">
        <v>2</v>
      </c>
      <c r="G102" s="62">
        <v>4</v>
      </c>
      <c r="H102" s="62">
        <v>0</v>
      </c>
      <c r="M102" s="23">
        <v>1</v>
      </c>
    </row>
    <row r="103" spans="2:13" ht="18">
      <c r="B103" s="62">
        <v>10</v>
      </c>
      <c r="C103" s="62">
        <v>54</v>
      </c>
      <c r="D103" s="62">
        <v>11</v>
      </c>
      <c r="E103" s="62">
        <v>9</v>
      </c>
      <c r="F103" s="62">
        <v>1</v>
      </c>
      <c r="G103" s="62">
        <v>3</v>
      </c>
      <c r="H103" s="62">
        <v>0</v>
      </c>
      <c r="M103" s="23">
        <v>1</v>
      </c>
    </row>
    <row r="104" spans="2:13" ht="18">
      <c r="B104" s="62">
        <v>10</v>
      </c>
      <c r="C104" s="62">
        <v>64</v>
      </c>
      <c r="D104" s="62">
        <v>6</v>
      </c>
      <c r="E104" s="62">
        <v>7</v>
      </c>
      <c r="F104" s="62">
        <v>2</v>
      </c>
      <c r="G104" s="62">
        <v>3</v>
      </c>
      <c r="H104" s="62">
        <v>0</v>
      </c>
      <c r="M104" s="23">
        <v>1</v>
      </c>
    </row>
    <row r="105" spans="2:13" ht="18">
      <c r="B105" s="62">
        <v>10</v>
      </c>
      <c r="C105" s="62">
        <v>57</v>
      </c>
      <c r="D105" s="62">
        <v>8</v>
      </c>
      <c r="E105" s="62">
        <v>14</v>
      </c>
      <c r="F105" s="62">
        <v>0</v>
      </c>
      <c r="G105" s="62">
        <v>7</v>
      </c>
      <c r="H105" s="62">
        <v>2</v>
      </c>
      <c r="M105" s="23">
        <v>1</v>
      </c>
    </row>
    <row r="106" spans="2:13" ht="18">
      <c r="B106" s="62">
        <v>10</v>
      </c>
      <c r="C106" s="62">
        <v>57</v>
      </c>
      <c r="D106" s="62">
        <v>9</v>
      </c>
      <c r="E106" s="62">
        <v>11</v>
      </c>
      <c r="F106" s="62">
        <v>3</v>
      </c>
      <c r="G106" s="62">
        <v>7</v>
      </c>
      <c r="H106" s="62">
        <v>1</v>
      </c>
      <c r="M106" s="23">
        <v>1</v>
      </c>
    </row>
    <row r="107" spans="2:13" ht="18">
      <c r="B107" s="62">
        <v>10</v>
      </c>
      <c r="C107" s="62">
        <v>57</v>
      </c>
      <c r="D107" s="62">
        <v>10</v>
      </c>
      <c r="E107" s="62">
        <v>11</v>
      </c>
      <c r="F107" s="62">
        <v>1</v>
      </c>
      <c r="G107" s="62">
        <v>3</v>
      </c>
      <c r="H107" s="62">
        <v>1</v>
      </c>
      <c r="M107" s="23">
        <v>1</v>
      </c>
    </row>
    <row r="108" spans="2:13" ht="18">
      <c r="B108" s="62">
        <v>10</v>
      </c>
      <c r="C108" s="62">
        <v>57</v>
      </c>
      <c r="D108" s="62">
        <v>11</v>
      </c>
      <c r="E108" s="62">
        <v>11</v>
      </c>
      <c r="F108" s="62">
        <v>3</v>
      </c>
      <c r="G108" s="62">
        <v>5</v>
      </c>
      <c r="H108" s="62">
        <v>0</v>
      </c>
      <c r="M108" s="23">
        <v>1</v>
      </c>
    </row>
    <row r="109" spans="2:13" ht="18">
      <c r="B109" s="62">
        <v>10</v>
      </c>
      <c r="C109" s="62">
        <v>57</v>
      </c>
      <c r="D109" s="62">
        <v>12</v>
      </c>
      <c r="E109" s="62">
        <v>1</v>
      </c>
      <c r="F109" s="62">
        <v>9</v>
      </c>
      <c r="G109" s="62">
        <v>0</v>
      </c>
      <c r="H109" s="62">
        <v>0</v>
      </c>
      <c r="M109" s="23">
        <v>1</v>
      </c>
    </row>
    <row r="110" spans="2:13" ht="18">
      <c r="B110" s="62">
        <v>10</v>
      </c>
      <c r="C110" s="62">
        <v>57</v>
      </c>
      <c r="D110" s="62">
        <v>13</v>
      </c>
      <c r="E110" s="62">
        <v>12</v>
      </c>
      <c r="F110" s="62">
        <v>5</v>
      </c>
      <c r="G110" s="62">
        <v>3</v>
      </c>
      <c r="H110" s="62">
        <v>0</v>
      </c>
      <c r="M110" s="23">
        <v>1</v>
      </c>
    </row>
    <row r="111" spans="2:13" ht="18">
      <c r="B111" s="62">
        <v>10</v>
      </c>
      <c r="C111" s="62">
        <v>57</v>
      </c>
      <c r="D111" s="62">
        <v>14</v>
      </c>
      <c r="E111" s="62">
        <v>5</v>
      </c>
      <c r="F111" s="62">
        <v>8</v>
      </c>
      <c r="G111" s="62">
        <v>1</v>
      </c>
      <c r="H111" s="62">
        <v>0</v>
      </c>
      <c r="M111" s="23">
        <v>1</v>
      </c>
    </row>
    <row r="112" spans="2:13" ht="18">
      <c r="B112" s="62">
        <v>10</v>
      </c>
      <c r="C112" s="62">
        <v>52</v>
      </c>
      <c r="D112" s="62">
        <v>12</v>
      </c>
      <c r="E112" s="62">
        <v>11</v>
      </c>
      <c r="F112" s="62">
        <v>0</v>
      </c>
      <c r="G112" s="62">
        <v>13</v>
      </c>
      <c r="H112" s="62">
        <v>2</v>
      </c>
      <c r="M112" s="23">
        <v>1</v>
      </c>
    </row>
    <row r="113" spans="2:13" ht="18">
      <c r="B113" s="62">
        <v>10</v>
      </c>
      <c r="C113" s="62">
        <v>52</v>
      </c>
      <c r="D113" s="62">
        <v>10</v>
      </c>
      <c r="E113" s="62">
        <v>16</v>
      </c>
      <c r="F113" s="62">
        <v>3</v>
      </c>
      <c r="G113" s="62">
        <v>7</v>
      </c>
      <c r="H113" s="62">
        <v>0</v>
      </c>
      <c r="M113" s="23">
        <v>1</v>
      </c>
    </row>
    <row r="114" spans="2:13" ht="18">
      <c r="B114" s="62">
        <v>10</v>
      </c>
      <c r="C114" s="62">
        <v>52</v>
      </c>
      <c r="D114" s="62">
        <v>11</v>
      </c>
      <c r="E114" s="62">
        <v>10</v>
      </c>
      <c r="F114" s="62">
        <v>2</v>
      </c>
      <c r="G114" s="62">
        <v>7</v>
      </c>
      <c r="H114" s="62">
        <v>2</v>
      </c>
      <c r="M114" s="23">
        <v>1</v>
      </c>
    </row>
    <row r="115" spans="2:13" ht="18">
      <c r="B115" s="62">
        <v>10</v>
      </c>
      <c r="C115" s="62">
        <v>50</v>
      </c>
      <c r="D115" s="62">
        <v>9</v>
      </c>
      <c r="E115" s="62">
        <v>14</v>
      </c>
      <c r="F115" s="62">
        <v>6</v>
      </c>
      <c r="G115" s="62">
        <v>1</v>
      </c>
      <c r="H115" s="62">
        <v>0</v>
      </c>
      <c r="M115" s="23">
        <v>1</v>
      </c>
    </row>
    <row r="116" spans="2:13" ht="18">
      <c r="B116" s="62">
        <v>10</v>
      </c>
      <c r="C116" s="62">
        <v>50</v>
      </c>
      <c r="D116" s="62">
        <v>10</v>
      </c>
      <c r="E116" s="62">
        <v>15</v>
      </c>
      <c r="F116" s="62">
        <v>5</v>
      </c>
      <c r="G116" s="62">
        <v>5</v>
      </c>
      <c r="H116" s="62">
        <v>0</v>
      </c>
      <c r="M116" s="23">
        <v>1</v>
      </c>
    </row>
    <row r="117" spans="2:13" ht="18">
      <c r="B117" s="62">
        <v>10</v>
      </c>
      <c r="C117" s="62">
        <v>50</v>
      </c>
      <c r="D117" s="62">
        <v>11</v>
      </c>
      <c r="E117" s="62">
        <v>6</v>
      </c>
      <c r="F117" s="62">
        <v>15</v>
      </c>
      <c r="G117" s="62">
        <v>4</v>
      </c>
      <c r="H117" s="62">
        <v>0</v>
      </c>
      <c r="M117" s="23">
        <v>1</v>
      </c>
    </row>
    <row r="118" spans="2:13" ht="18">
      <c r="B118" s="62">
        <v>10</v>
      </c>
      <c r="C118" s="62">
        <v>50</v>
      </c>
      <c r="D118" s="62">
        <v>12</v>
      </c>
      <c r="E118" s="62">
        <v>15</v>
      </c>
      <c r="F118" s="62">
        <v>2</v>
      </c>
      <c r="G118" s="62">
        <v>8</v>
      </c>
      <c r="H118" s="62">
        <v>0</v>
      </c>
      <c r="M118" s="23">
        <v>1</v>
      </c>
    </row>
    <row r="119" spans="2:13" ht="18">
      <c r="B119" s="62">
        <v>10</v>
      </c>
      <c r="C119" s="62">
        <v>50</v>
      </c>
      <c r="D119" s="62">
        <v>13</v>
      </c>
      <c r="E119" s="62">
        <v>13</v>
      </c>
      <c r="F119" s="62">
        <v>12</v>
      </c>
      <c r="G119" s="62">
        <v>8</v>
      </c>
      <c r="H119" s="62">
        <v>5</v>
      </c>
      <c r="M119" s="23">
        <v>1</v>
      </c>
    </row>
    <row r="120" spans="2:13" ht="18">
      <c r="B120" s="62">
        <v>10</v>
      </c>
      <c r="C120" s="62">
        <v>55</v>
      </c>
      <c r="D120" s="62">
        <v>12</v>
      </c>
      <c r="E120" s="62">
        <v>20</v>
      </c>
      <c r="F120" s="62">
        <v>0</v>
      </c>
      <c r="G120" s="62">
        <v>5</v>
      </c>
      <c r="H120" s="62">
        <v>0</v>
      </c>
      <c r="M120" s="23">
        <v>1</v>
      </c>
    </row>
    <row r="121" spans="2:13" ht="18">
      <c r="B121" s="62">
        <v>10</v>
      </c>
      <c r="C121" s="62">
        <v>55</v>
      </c>
      <c r="D121" s="62">
        <v>13</v>
      </c>
      <c r="E121" s="62">
        <v>23</v>
      </c>
      <c r="F121" s="62">
        <v>0</v>
      </c>
      <c r="G121" s="62">
        <v>2</v>
      </c>
      <c r="H121" s="62">
        <v>0</v>
      </c>
      <c r="M121" s="23">
        <v>1</v>
      </c>
    </row>
    <row r="122" spans="2:13" ht="18">
      <c r="B122" s="62">
        <v>10</v>
      </c>
      <c r="C122" s="62">
        <v>53</v>
      </c>
      <c r="D122" s="62">
        <v>11</v>
      </c>
      <c r="E122" s="62">
        <v>8</v>
      </c>
      <c r="F122" s="62">
        <v>1</v>
      </c>
      <c r="G122" s="62">
        <v>16</v>
      </c>
      <c r="H122" s="62">
        <v>0</v>
      </c>
      <c r="M122" s="23">
        <v>1</v>
      </c>
    </row>
    <row r="123" spans="2:13" ht="18">
      <c r="B123" s="62">
        <v>10</v>
      </c>
      <c r="C123" s="62">
        <v>53</v>
      </c>
      <c r="D123" s="62">
        <v>12</v>
      </c>
      <c r="E123" s="62">
        <v>17</v>
      </c>
      <c r="F123" s="62">
        <v>0</v>
      </c>
      <c r="G123" s="62">
        <v>8</v>
      </c>
      <c r="H123" s="62">
        <v>0</v>
      </c>
      <c r="M123" s="23">
        <v>1</v>
      </c>
    </row>
    <row r="124" spans="2:13" ht="18">
      <c r="B124" s="62">
        <v>10</v>
      </c>
      <c r="C124" s="62">
        <v>53</v>
      </c>
      <c r="D124" s="62">
        <v>13</v>
      </c>
      <c r="E124" s="62">
        <v>12</v>
      </c>
      <c r="F124" s="62">
        <v>3</v>
      </c>
      <c r="G124" s="62">
        <v>16</v>
      </c>
      <c r="H124" s="62">
        <v>0</v>
      </c>
      <c r="M124" s="23">
        <v>1</v>
      </c>
    </row>
    <row r="125" spans="2:13" ht="18">
      <c r="B125" s="62">
        <v>10</v>
      </c>
      <c r="C125" s="62">
        <v>63</v>
      </c>
      <c r="D125" s="62">
        <v>12</v>
      </c>
      <c r="E125" s="62">
        <v>6</v>
      </c>
      <c r="F125" s="62">
        <v>5</v>
      </c>
      <c r="G125" s="62">
        <v>4</v>
      </c>
      <c r="H125" s="62">
        <v>0</v>
      </c>
      <c r="M125" s="23">
        <v>1</v>
      </c>
    </row>
    <row r="126" spans="2:13" ht="18">
      <c r="B126" s="62">
        <v>10</v>
      </c>
      <c r="C126" s="62">
        <v>63</v>
      </c>
      <c r="D126" s="62">
        <v>13</v>
      </c>
      <c r="E126" s="62">
        <v>2</v>
      </c>
      <c r="F126" s="62">
        <v>1</v>
      </c>
      <c r="G126" s="62">
        <v>9</v>
      </c>
      <c r="H126" s="62">
        <v>0</v>
      </c>
      <c r="M126" s="23">
        <v>1</v>
      </c>
    </row>
    <row r="127" spans="2:13" ht="18">
      <c r="B127" s="62">
        <v>10</v>
      </c>
      <c r="C127" s="62">
        <v>49</v>
      </c>
      <c r="D127" s="62">
        <v>12</v>
      </c>
      <c r="E127" s="62">
        <v>8</v>
      </c>
      <c r="F127" s="62">
        <v>4</v>
      </c>
      <c r="G127" s="62">
        <v>10</v>
      </c>
      <c r="H127" s="62">
        <v>0</v>
      </c>
      <c r="M127" s="23">
        <v>1</v>
      </c>
    </row>
    <row r="128" spans="2:13" ht="18">
      <c r="B128" s="62">
        <v>10</v>
      </c>
      <c r="C128" s="62">
        <v>49</v>
      </c>
      <c r="D128" s="62">
        <v>13</v>
      </c>
      <c r="E128" s="62">
        <v>9</v>
      </c>
      <c r="F128" s="62">
        <v>5</v>
      </c>
      <c r="G128" s="62">
        <v>2</v>
      </c>
      <c r="H128" s="62">
        <v>0</v>
      </c>
      <c r="M128" s="23">
        <v>1</v>
      </c>
    </row>
    <row r="129" spans="2:13" ht="18">
      <c r="B129" s="62">
        <v>10</v>
      </c>
      <c r="C129" s="62">
        <v>49</v>
      </c>
      <c r="D129" s="62">
        <v>14</v>
      </c>
      <c r="E129" s="62">
        <v>11</v>
      </c>
      <c r="F129" s="62">
        <v>3</v>
      </c>
      <c r="G129" s="62">
        <v>4</v>
      </c>
      <c r="H129" s="62">
        <v>0</v>
      </c>
      <c r="M129" s="23">
        <v>1</v>
      </c>
    </row>
    <row r="130" spans="2:13" ht="18">
      <c r="B130" s="62">
        <v>10</v>
      </c>
      <c r="C130" s="62">
        <v>60</v>
      </c>
      <c r="D130" s="62">
        <v>12</v>
      </c>
      <c r="E130" s="62">
        <v>5</v>
      </c>
      <c r="F130" s="62">
        <v>0</v>
      </c>
      <c r="G130" s="62">
        <v>3</v>
      </c>
      <c r="H130" s="62">
        <v>0</v>
      </c>
      <c r="M130" s="23">
        <v>1</v>
      </c>
    </row>
    <row r="131" spans="2:13" ht="18">
      <c r="B131" s="62">
        <v>10</v>
      </c>
      <c r="C131" s="62">
        <v>60</v>
      </c>
      <c r="D131" s="62">
        <v>13</v>
      </c>
      <c r="E131" s="62">
        <v>10</v>
      </c>
      <c r="F131" s="62">
        <v>0</v>
      </c>
      <c r="G131" s="62">
        <v>8</v>
      </c>
      <c r="H131" s="62">
        <v>0</v>
      </c>
      <c r="M131" s="23">
        <v>1</v>
      </c>
    </row>
    <row r="132" spans="2:13" ht="18">
      <c r="B132" s="62">
        <v>10</v>
      </c>
      <c r="C132" s="62">
        <v>51</v>
      </c>
      <c r="D132" s="62">
        <v>13</v>
      </c>
      <c r="E132" s="62">
        <v>19</v>
      </c>
      <c r="F132" s="62">
        <v>5</v>
      </c>
      <c r="G132" s="62">
        <v>1</v>
      </c>
      <c r="H132" s="62">
        <v>0</v>
      </c>
      <c r="M132" s="23">
        <v>1</v>
      </c>
    </row>
    <row r="133" spans="2:13" ht="18">
      <c r="B133" s="62">
        <v>10</v>
      </c>
      <c r="C133" s="62">
        <v>56</v>
      </c>
      <c r="D133" s="62">
        <v>12</v>
      </c>
      <c r="E133" s="62">
        <v>13</v>
      </c>
      <c r="F133" s="62">
        <v>3</v>
      </c>
      <c r="G133" s="62">
        <v>14</v>
      </c>
      <c r="H133" s="62">
        <v>1</v>
      </c>
      <c r="M133" s="23">
        <v>1</v>
      </c>
    </row>
    <row r="134" spans="2:13" ht="18">
      <c r="B134" s="62">
        <v>10</v>
      </c>
      <c r="C134" s="62">
        <v>56</v>
      </c>
      <c r="D134" s="62">
        <v>13</v>
      </c>
      <c r="E134" s="62">
        <v>9</v>
      </c>
      <c r="F134" s="62">
        <v>5</v>
      </c>
      <c r="G134" s="62">
        <v>11</v>
      </c>
      <c r="H134" s="62">
        <v>1</v>
      </c>
      <c r="M134" s="23">
        <v>1</v>
      </c>
    </row>
    <row r="135" spans="2:13" ht="18">
      <c r="B135" s="62">
        <v>10</v>
      </c>
      <c r="C135" s="62">
        <v>56</v>
      </c>
      <c r="D135" s="62">
        <v>14</v>
      </c>
      <c r="E135" s="62">
        <v>10</v>
      </c>
      <c r="F135" s="62">
        <v>1</v>
      </c>
      <c r="G135" s="62">
        <v>9</v>
      </c>
      <c r="H135" s="62">
        <v>0</v>
      </c>
      <c r="M135" s="23">
        <v>1</v>
      </c>
    </row>
    <row r="136" spans="2:13" ht="18">
      <c r="B136" s="62">
        <v>10</v>
      </c>
      <c r="C136" s="62">
        <v>58</v>
      </c>
      <c r="D136" s="62">
        <v>4</v>
      </c>
      <c r="E136" s="62">
        <v>7</v>
      </c>
      <c r="F136" s="62">
        <v>3</v>
      </c>
      <c r="G136" s="62">
        <v>2</v>
      </c>
      <c r="H136" s="62">
        <v>0</v>
      </c>
      <c r="M136" s="23">
        <v>1</v>
      </c>
    </row>
    <row r="137" spans="2:13" ht="18">
      <c r="B137" s="62">
        <v>10</v>
      </c>
      <c r="C137" s="62">
        <v>58</v>
      </c>
      <c r="D137" s="62">
        <v>5</v>
      </c>
      <c r="E137" s="62">
        <v>4</v>
      </c>
      <c r="F137" s="62">
        <v>3</v>
      </c>
      <c r="G137" s="62">
        <v>1</v>
      </c>
      <c r="H137" s="62">
        <v>0</v>
      </c>
      <c r="M137" s="23">
        <v>1</v>
      </c>
    </row>
    <row r="138" spans="2:13" ht="18">
      <c r="B138" s="62">
        <v>10</v>
      </c>
      <c r="C138" s="62">
        <v>58</v>
      </c>
      <c r="D138" s="62">
        <v>6</v>
      </c>
      <c r="E138" s="62">
        <v>20</v>
      </c>
      <c r="F138" s="62">
        <v>5</v>
      </c>
      <c r="G138" s="62">
        <v>2</v>
      </c>
      <c r="H138" s="62">
        <v>0</v>
      </c>
      <c r="M138" s="23">
        <v>1</v>
      </c>
    </row>
    <row r="139" spans="2:13" ht="18">
      <c r="B139" s="62">
        <v>10</v>
      </c>
      <c r="C139" s="62">
        <v>58</v>
      </c>
      <c r="D139" s="62">
        <v>7</v>
      </c>
      <c r="E139" s="62">
        <v>15</v>
      </c>
      <c r="F139" s="62">
        <v>4</v>
      </c>
      <c r="G139" s="62">
        <v>2</v>
      </c>
      <c r="H139" s="62">
        <v>0</v>
      </c>
      <c r="M139" s="23">
        <v>1</v>
      </c>
    </row>
    <row r="140" spans="2:13" ht="18">
      <c r="B140" s="62">
        <v>10</v>
      </c>
      <c r="C140" s="62">
        <v>58</v>
      </c>
      <c r="D140" s="62">
        <v>8</v>
      </c>
      <c r="E140" s="62">
        <v>15</v>
      </c>
      <c r="F140" s="62">
        <v>2</v>
      </c>
      <c r="G140" s="62">
        <v>4</v>
      </c>
      <c r="H140" s="62">
        <v>0</v>
      </c>
      <c r="M140" s="23">
        <v>1</v>
      </c>
    </row>
    <row r="141" spans="2:13" ht="18">
      <c r="B141" s="62">
        <v>10</v>
      </c>
      <c r="C141" s="62">
        <v>58</v>
      </c>
      <c r="D141" s="62">
        <v>9</v>
      </c>
      <c r="E141" s="62">
        <v>12</v>
      </c>
      <c r="F141" s="62">
        <v>15</v>
      </c>
      <c r="G141" s="62">
        <v>8</v>
      </c>
      <c r="H141" s="62">
        <v>0</v>
      </c>
      <c r="M141" s="23">
        <v>1</v>
      </c>
    </row>
    <row r="142" spans="2:13" ht="18">
      <c r="B142" s="62">
        <v>10</v>
      </c>
      <c r="C142" s="62">
        <v>58</v>
      </c>
      <c r="D142" s="62">
        <v>10</v>
      </c>
      <c r="E142" s="62">
        <v>8</v>
      </c>
      <c r="F142" s="62">
        <v>9</v>
      </c>
      <c r="G142" s="62">
        <v>4</v>
      </c>
      <c r="H142" s="62">
        <v>0</v>
      </c>
      <c r="M142" s="23">
        <v>1</v>
      </c>
    </row>
    <row r="143" spans="2:13" ht="18">
      <c r="B143" s="62">
        <v>10</v>
      </c>
      <c r="C143" s="62">
        <v>58</v>
      </c>
      <c r="D143" s="62">
        <v>11</v>
      </c>
      <c r="E143" s="62">
        <v>18</v>
      </c>
      <c r="F143" s="62">
        <v>6</v>
      </c>
      <c r="G143" s="62">
        <v>2</v>
      </c>
      <c r="H143" s="62">
        <v>0</v>
      </c>
      <c r="M143" s="23">
        <v>1</v>
      </c>
    </row>
    <row r="144" spans="2:13" ht="18">
      <c r="B144" s="62">
        <v>10</v>
      </c>
      <c r="C144" s="62">
        <v>58</v>
      </c>
      <c r="D144" s="62">
        <v>12</v>
      </c>
      <c r="E144" s="62">
        <v>16</v>
      </c>
      <c r="F144" s="62">
        <v>1</v>
      </c>
      <c r="G144" s="62">
        <v>10</v>
      </c>
      <c r="H144" s="62">
        <v>0</v>
      </c>
      <c r="M144" s="23">
        <v>1</v>
      </c>
    </row>
    <row r="145" spans="2:13" ht="18">
      <c r="B145" s="62">
        <v>10</v>
      </c>
      <c r="C145" s="62">
        <v>58</v>
      </c>
      <c r="D145" s="62">
        <v>13</v>
      </c>
      <c r="E145" s="62">
        <v>6</v>
      </c>
      <c r="F145" s="62">
        <v>4</v>
      </c>
      <c r="G145" s="62">
        <v>2</v>
      </c>
      <c r="H145" s="62">
        <v>0</v>
      </c>
      <c r="M145" s="23">
        <v>1</v>
      </c>
    </row>
    <row r="146" spans="2:13" ht="18">
      <c r="B146" s="62">
        <v>10</v>
      </c>
      <c r="C146" s="62">
        <v>58</v>
      </c>
      <c r="D146" s="62">
        <v>13</v>
      </c>
      <c r="E146" s="62">
        <v>6</v>
      </c>
      <c r="F146" s="62">
        <v>4</v>
      </c>
      <c r="G146" s="62">
        <v>2</v>
      </c>
      <c r="H146" s="62">
        <v>0</v>
      </c>
      <c r="M146" s="23">
        <v>1</v>
      </c>
    </row>
    <row r="147" spans="2:13" ht="18">
      <c r="B147" s="62">
        <v>10</v>
      </c>
      <c r="C147" s="62">
        <v>58</v>
      </c>
      <c r="D147" s="62">
        <v>14</v>
      </c>
      <c r="E147" s="62">
        <v>11</v>
      </c>
      <c r="F147" s="62">
        <v>7</v>
      </c>
      <c r="G147" s="62">
        <v>4</v>
      </c>
      <c r="H147" s="62">
        <v>0</v>
      </c>
      <c r="M147" s="23">
        <v>1</v>
      </c>
    </row>
    <row r="148" spans="2:13" ht="18">
      <c r="B148" s="62">
        <v>10</v>
      </c>
      <c r="C148" s="62">
        <v>54</v>
      </c>
      <c r="D148" s="62">
        <v>12</v>
      </c>
      <c r="E148" s="62">
        <v>8</v>
      </c>
      <c r="F148" s="62">
        <v>2</v>
      </c>
      <c r="G148" s="62">
        <v>6</v>
      </c>
      <c r="H148" s="62">
        <v>0</v>
      </c>
      <c r="M148" s="23">
        <v>1</v>
      </c>
    </row>
    <row r="149" spans="2:13" ht="18">
      <c r="B149" s="62">
        <v>10</v>
      </c>
      <c r="C149" s="62">
        <v>54</v>
      </c>
      <c r="D149" s="62">
        <v>13</v>
      </c>
      <c r="E149" s="62">
        <v>7</v>
      </c>
      <c r="F149" s="62">
        <v>4</v>
      </c>
      <c r="G149" s="62">
        <v>3</v>
      </c>
      <c r="H149" s="62">
        <v>0</v>
      </c>
      <c r="M149" s="23">
        <v>1</v>
      </c>
    </row>
    <row r="150" spans="2:13" ht="18">
      <c r="B150" s="62">
        <v>10</v>
      </c>
      <c r="C150" s="62">
        <v>54</v>
      </c>
      <c r="D150" s="62">
        <v>14</v>
      </c>
      <c r="E150" s="62">
        <v>6</v>
      </c>
      <c r="F150" s="62">
        <v>3</v>
      </c>
      <c r="G150" s="62">
        <v>2</v>
      </c>
      <c r="H150" s="62">
        <v>0</v>
      </c>
      <c r="M150" s="23">
        <v>1</v>
      </c>
    </row>
    <row r="151" spans="2:13" ht="18">
      <c r="B151" s="62">
        <v>10</v>
      </c>
      <c r="C151" s="62">
        <v>61</v>
      </c>
      <c r="D151" s="62">
        <v>11</v>
      </c>
      <c r="E151" s="62">
        <v>18</v>
      </c>
      <c r="F151" s="62">
        <v>0</v>
      </c>
      <c r="G151" s="62">
        <v>7</v>
      </c>
      <c r="H151" s="62">
        <v>0</v>
      </c>
      <c r="M151" s="23">
        <v>1</v>
      </c>
    </row>
    <row r="152" spans="2:13" ht="18">
      <c r="B152" s="62">
        <v>10</v>
      </c>
      <c r="C152" s="62">
        <v>61</v>
      </c>
      <c r="D152" s="62">
        <v>12</v>
      </c>
      <c r="E152" s="62">
        <v>6</v>
      </c>
      <c r="F152" s="62">
        <v>3</v>
      </c>
      <c r="G152" s="62">
        <v>13</v>
      </c>
      <c r="H152" s="62">
        <v>0</v>
      </c>
      <c r="M152" s="23">
        <v>1</v>
      </c>
    </row>
    <row r="153" spans="2:13" ht="18">
      <c r="B153" s="62">
        <v>10</v>
      </c>
      <c r="C153" s="62">
        <v>61</v>
      </c>
      <c r="D153" s="62">
        <v>13</v>
      </c>
      <c r="E153" s="62">
        <v>8</v>
      </c>
      <c r="F153" s="62">
        <v>5</v>
      </c>
      <c r="G153" s="62">
        <v>9</v>
      </c>
      <c r="H153" s="62">
        <v>0</v>
      </c>
      <c r="M153" s="23">
        <v>1</v>
      </c>
    </row>
    <row r="154" spans="2:13" ht="18">
      <c r="B154" s="62">
        <v>10</v>
      </c>
      <c r="C154" s="62">
        <v>61</v>
      </c>
      <c r="D154" s="62">
        <v>14</v>
      </c>
      <c r="E154" s="62">
        <v>10</v>
      </c>
      <c r="F154" s="62">
        <v>3</v>
      </c>
      <c r="G154" s="62">
        <v>8</v>
      </c>
      <c r="H154" s="62">
        <v>0</v>
      </c>
      <c r="M154" s="23">
        <v>1</v>
      </c>
    </row>
    <row r="155" spans="2:13" ht="18">
      <c r="B155" s="62">
        <v>10</v>
      </c>
      <c r="C155" s="62">
        <v>50</v>
      </c>
      <c r="D155" s="62">
        <v>13</v>
      </c>
      <c r="E155" s="62">
        <v>12</v>
      </c>
      <c r="F155" s="62">
        <v>8</v>
      </c>
      <c r="G155" s="62">
        <v>5</v>
      </c>
      <c r="H155" s="62">
        <v>0</v>
      </c>
      <c r="M155" s="23">
        <v>1</v>
      </c>
    </row>
    <row r="156" spans="2:13" ht="18">
      <c r="B156" s="62">
        <v>10</v>
      </c>
      <c r="C156" s="62">
        <v>50</v>
      </c>
      <c r="D156" s="62">
        <v>14</v>
      </c>
      <c r="E156" s="62">
        <v>6</v>
      </c>
      <c r="F156" s="62">
        <v>11</v>
      </c>
      <c r="G156" s="62">
        <v>8</v>
      </c>
      <c r="H156" s="62">
        <v>0</v>
      </c>
      <c r="M156" s="23">
        <v>1</v>
      </c>
    </row>
    <row r="157" spans="2:13" ht="18">
      <c r="B157" s="62">
        <v>10</v>
      </c>
      <c r="C157" s="62">
        <v>50</v>
      </c>
      <c r="D157" s="62">
        <v>15</v>
      </c>
      <c r="E157" s="62">
        <v>16</v>
      </c>
      <c r="F157" s="62">
        <v>7</v>
      </c>
      <c r="G157" s="62">
        <v>12</v>
      </c>
      <c r="H157" s="62">
        <v>0</v>
      </c>
      <c r="M157" s="23">
        <v>1</v>
      </c>
    </row>
    <row r="158" spans="2:13" ht="18">
      <c r="B158" s="62">
        <v>10</v>
      </c>
      <c r="C158" s="62">
        <v>52</v>
      </c>
      <c r="D158" s="62">
        <v>13</v>
      </c>
      <c r="E158" s="62">
        <v>15</v>
      </c>
      <c r="F158" s="62">
        <v>6</v>
      </c>
      <c r="G158" s="62">
        <v>10</v>
      </c>
      <c r="H158" s="62">
        <v>0</v>
      </c>
      <c r="M158" s="23">
        <v>1</v>
      </c>
    </row>
    <row r="159" spans="2:13" ht="18">
      <c r="B159" s="62">
        <v>10</v>
      </c>
      <c r="C159" s="62">
        <v>52</v>
      </c>
      <c r="D159" s="62">
        <v>14</v>
      </c>
      <c r="E159" s="62">
        <v>12</v>
      </c>
      <c r="F159" s="62">
        <v>3</v>
      </c>
      <c r="G159" s="62">
        <v>16</v>
      </c>
      <c r="H159" s="62">
        <v>0</v>
      </c>
      <c r="M159" s="23">
        <v>1</v>
      </c>
    </row>
    <row r="160" spans="2:13" ht="18">
      <c r="B160" s="62">
        <v>10</v>
      </c>
      <c r="C160" s="62">
        <v>49</v>
      </c>
      <c r="D160" s="62">
        <v>15</v>
      </c>
      <c r="E160" s="62">
        <v>15</v>
      </c>
      <c r="F160" s="62">
        <v>2</v>
      </c>
      <c r="G160" s="62">
        <v>4</v>
      </c>
      <c r="H160" s="62">
        <v>0</v>
      </c>
      <c r="M160" s="23">
        <v>1</v>
      </c>
    </row>
    <row r="161" spans="2:13" ht="18">
      <c r="B161" s="62">
        <v>10</v>
      </c>
      <c r="C161" s="62">
        <v>63</v>
      </c>
      <c r="D161" s="62">
        <v>14</v>
      </c>
      <c r="E161" s="62">
        <v>7</v>
      </c>
      <c r="F161" s="62">
        <v>1</v>
      </c>
      <c r="G161" s="62">
        <v>12</v>
      </c>
      <c r="H161" s="62">
        <v>0</v>
      </c>
      <c r="M161" s="23">
        <v>1</v>
      </c>
    </row>
    <row r="162" spans="2:13" ht="18">
      <c r="B162" s="62">
        <v>10</v>
      </c>
      <c r="C162" s="62">
        <v>63</v>
      </c>
      <c r="D162" s="62">
        <v>15</v>
      </c>
      <c r="E162" s="62">
        <v>9</v>
      </c>
      <c r="F162" s="62">
        <v>3</v>
      </c>
      <c r="G162" s="62">
        <v>6</v>
      </c>
      <c r="H162" s="62">
        <v>0</v>
      </c>
      <c r="M162" s="23">
        <v>1</v>
      </c>
    </row>
    <row r="163" spans="2:13" ht="18">
      <c r="B163" s="62">
        <v>10</v>
      </c>
      <c r="C163" s="62">
        <v>60</v>
      </c>
      <c r="D163" s="62">
        <v>14</v>
      </c>
      <c r="E163" s="62">
        <v>7</v>
      </c>
      <c r="F163" s="62">
        <v>0</v>
      </c>
      <c r="G163" s="62">
        <v>4</v>
      </c>
      <c r="H163" s="62">
        <v>0</v>
      </c>
      <c r="M163" s="23">
        <v>1</v>
      </c>
    </row>
    <row r="164" spans="2:13" ht="18">
      <c r="B164" s="62">
        <v>10</v>
      </c>
      <c r="C164" s="62">
        <v>60</v>
      </c>
      <c r="D164" s="62">
        <v>15</v>
      </c>
      <c r="E164" s="62">
        <v>13</v>
      </c>
      <c r="F164" s="62">
        <v>0</v>
      </c>
      <c r="G164" s="62">
        <v>4</v>
      </c>
      <c r="H164" s="62">
        <v>0</v>
      </c>
      <c r="M164" s="23">
        <v>1</v>
      </c>
    </row>
    <row r="165" spans="2:13" ht="18">
      <c r="B165" s="62">
        <v>10</v>
      </c>
      <c r="C165" s="62">
        <v>58</v>
      </c>
      <c r="D165" s="62">
        <v>13</v>
      </c>
      <c r="E165" s="62">
        <v>6</v>
      </c>
      <c r="F165" s="62">
        <v>4</v>
      </c>
      <c r="G165" s="62">
        <v>2</v>
      </c>
      <c r="H165" s="62">
        <v>0</v>
      </c>
      <c r="M165" s="23">
        <v>1</v>
      </c>
    </row>
    <row r="166" spans="2:13" ht="18">
      <c r="B166" s="62">
        <v>10</v>
      </c>
      <c r="C166" s="62">
        <v>58</v>
      </c>
      <c r="D166" s="62">
        <v>14</v>
      </c>
      <c r="E166" s="62">
        <v>11</v>
      </c>
      <c r="F166" s="62">
        <v>7</v>
      </c>
      <c r="G166" s="62">
        <v>4</v>
      </c>
      <c r="H166" s="62">
        <v>0</v>
      </c>
      <c r="M166" s="23">
        <v>1</v>
      </c>
    </row>
    <row r="167" spans="2:13" ht="18">
      <c r="B167" s="62">
        <v>10</v>
      </c>
      <c r="C167" s="62">
        <v>58</v>
      </c>
      <c r="D167" s="62">
        <v>15</v>
      </c>
      <c r="E167" s="62">
        <v>9</v>
      </c>
      <c r="F167" s="62">
        <v>6</v>
      </c>
      <c r="G167" s="62">
        <v>10</v>
      </c>
      <c r="H167" s="62">
        <v>0</v>
      </c>
      <c r="M167" s="23">
        <v>1</v>
      </c>
    </row>
    <row r="168" spans="2:13" ht="18">
      <c r="B168" s="62">
        <v>10</v>
      </c>
      <c r="C168" s="62">
        <v>58</v>
      </c>
      <c r="D168" s="62">
        <v>5</v>
      </c>
      <c r="E168" s="62">
        <v>8</v>
      </c>
      <c r="F168" s="62">
        <v>4</v>
      </c>
      <c r="G168" s="62">
        <v>2</v>
      </c>
      <c r="H168" s="62">
        <v>0</v>
      </c>
      <c r="M168" s="23">
        <v>1</v>
      </c>
    </row>
    <row r="169" spans="2:13" ht="18">
      <c r="B169" s="62">
        <v>10</v>
      </c>
      <c r="C169" s="62">
        <v>58</v>
      </c>
      <c r="D169" s="62">
        <v>6</v>
      </c>
      <c r="E169" s="62">
        <v>20</v>
      </c>
      <c r="F169" s="62">
        <v>5</v>
      </c>
      <c r="G169" s="62">
        <v>2</v>
      </c>
      <c r="H169" s="62">
        <v>0</v>
      </c>
      <c r="M169" s="23">
        <v>1</v>
      </c>
    </row>
    <row r="170" spans="2:13" ht="18">
      <c r="B170" s="62">
        <v>10</v>
      </c>
      <c r="C170" s="62">
        <v>58</v>
      </c>
      <c r="D170" s="62">
        <v>7</v>
      </c>
      <c r="E170" s="62">
        <v>15</v>
      </c>
      <c r="F170" s="62">
        <v>4</v>
      </c>
      <c r="G170" s="62">
        <v>2</v>
      </c>
      <c r="H170" s="62">
        <v>0</v>
      </c>
      <c r="M170" s="23">
        <v>1</v>
      </c>
    </row>
    <row r="171" spans="2:13" ht="18">
      <c r="B171" s="62">
        <v>10</v>
      </c>
      <c r="C171" s="62">
        <v>58</v>
      </c>
      <c r="D171" s="62">
        <v>8</v>
      </c>
      <c r="E171" s="62">
        <v>15</v>
      </c>
      <c r="F171" s="62">
        <v>2</v>
      </c>
      <c r="G171" s="62">
        <v>4</v>
      </c>
      <c r="H171" s="62">
        <v>0</v>
      </c>
      <c r="M171" s="23">
        <v>1</v>
      </c>
    </row>
    <row r="172" spans="2:13" ht="18">
      <c r="B172" s="62">
        <v>10</v>
      </c>
      <c r="C172" s="62">
        <v>58</v>
      </c>
      <c r="D172" s="62">
        <v>9</v>
      </c>
      <c r="E172" s="62">
        <v>12</v>
      </c>
      <c r="F172" s="62">
        <v>5</v>
      </c>
      <c r="G172" s="62">
        <v>8</v>
      </c>
      <c r="H172" s="62">
        <v>0</v>
      </c>
      <c r="M172" s="23">
        <v>1</v>
      </c>
    </row>
    <row r="173" spans="2:13" ht="18">
      <c r="B173" s="62">
        <v>10</v>
      </c>
      <c r="C173" s="62">
        <v>58</v>
      </c>
      <c r="D173" s="62">
        <v>10</v>
      </c>
      <c r="E173" s="62">
        <v>8</v>
      </c>
      <c r="F173" s="62">
        <v>9</v>
      </c>
      <c r="G173" s="62">
        <v>4</v>
      </c>
      <c r="H173" s="62">
        <v>0</v>
      </c>
      <c r="M173" s="23">
        <v>1</v>
      </c>
    </row>
    <row r="174" spans="2:13" ht="18">
      <c r="B174" s="62">
        <v>10</v>
      </c>
      <c r="C174" s="62">
        <v>58</v>
      </c>
      <c r="D174" s="62">
        <v>11</v>
      </c>
      <c r="E174" s="62">
        <v>18</v>
      </c>
      <c r="F174" s="62">
        <v>6</v>
      </c>
      <c r="G174" s="62">
        <v>2</v>
      </c>
      <c r="H174" s="62">
        <v>0</v>
      </c>
      <c r="M174" s="23">
        <v>1</v>
      </c>
    </row>
    <row r="175" spans="2:13" ht="18">
      <c r="B175" s="62">
        <v>10</v>
      </c>
      <c r="C175" s="62">
        <v>58</v>
      </c>
      <c r="D175" s="62">
        <v>12</v>
      </c>
      <c r="E175" s="62">
        <v>16</v>
      </c>
      <c r="F175" s="62">
        <v>1</v>
      </c>
      <c r="G175" s="62">
        <v>10</v>
      </c>
      <c r="H175" s="62">
        <v>0</v>
      </c>
      <c r="M175" s="23">
        <v>1</v>
      </c>
    </row>
    <row r="176" spans="2:13" ht="18">
      <c r="B176" s="62">
        <v>10</v>
      </c>
      <c r="C176" s="62">
        <v>53</v>
      </c>
      <c r="D176" s="62">
        <v>14</v>
      </c>
      <c r="E176" s="62">
        <v>18</v>
      </c>
      <c r="F176" s="62">
        <v>0</v>
      </c>
      <c r="G176" s="62">
        <v>13</v>
      </c>
      <c r="H176" s="62">
        <v>0</v>
      </c>
      <c r="M176" s="23">
        <v>1</v>
      </c>
    </row>
    <row r="177" spans="2:13" ht="18">
      <c r="B177" s="62">
        <v>10</v>
      </c>
      <c r="C177" s="62">
        <v>53</v>
      </c>
      <c r="D177" s="62">
        <v>15</v>
      </c>
      <c r="E177" s="62">
        <v>16</v>
      </c>
      <c r="F177" s="62">
        <v>2</v>
      </c>
      <c r="G177" s="62">
        <v>8</v>
      </c>
      <c r="H177" s="62">
        <v>0</v>
      </c>
      <c r="M177" s="23">
        <v>1</v>
      </c>
    </row>
    <row r="178" spans="2:13" ht="18">
      <c r="B178" s="62">
        <v>10</v>
      </c>
      <c r="C178" s="62">
        <v>51</v>
      </c>
      <c r="D178" s="62">
        <v>15</v>
      </c>
      <c r="E178" s="62">
        <v>20</v>
      </c>
      <c r="F178" s="62">
        <v>4</v>
      </c>
      <c r="G178" s="62">
        <v>1</v>
      </c>
      <c r="H178" s="62">
        <v>0</v>
      </c>
      <c r="M178" s="23">
        <v>1</v>
      </c>
    </row>
    <row r="179" spans="2:13" ht="18">
      <c r="B179" s="62">
        <v>10</v>
      </c>
      <c r="C179" s="62">
        <v>51</v>
      </c>
      <c r="D179" s="62">
        <v>14</v>
      </c>
      <c r="E179" s="62">
        <v>17</v>
      </c>
      <c r="F179" s="62">
        <v>3</v>
      </c>
      <c r="G179" s="62">
        <v>0</v>
      </c>
      <c r="H179" s="62">
        <v>0</v>
      </c>
      <c r="M179" s="23">
        <v>1</v>
      </c>
    </row>
    <row r="180" spans="2:13" ht="18">
      <c r="B180" s="62">
        <v>10</v>
      </c>
      <c r="C180" s="62">
        <v>64</v>
      </c>
      <c r="D180" s="62">
        <v>7</v>
      </c>
      <c r="E180" s="62">
        <v>10</v>
      </c>
      <c r="F180" s="62">
        <v>3</v>
      </c>
      <c r="G180" s="62">
        <v>4</v>
      </c>
      <c r="H180" s="62">
        <v>0</v>
      </c>
      <c r="M180" s="23">
        <v>1</v>
      </c>
    </row>
    <row r="181" spans="2:13" ht="18">
      <c r="B181" s="62">
        <v>10</v>
      </c>
      <c r="C181" s="62">
        <v>64</v>
      </c>
      <c r="D181" s="62">
        <v>8</v>
      </c>
      <c r="E181" s="62">
        <v>3</v>
      </c>
      <c r="F181" s="62">
        <v>4</v>
      </c>
      <c r="G181" s="62">
        <v>8</v>
      </c>
      <c r="H181" s="62">
        <v>0</v>
      </c>
      <c r="M181" s="23">
        <v>1</v>
      </c>
    </row>
    <row r="182" spans="2:13" ht="18">
      <c r="B182" s="62">
        <v>10</v>
      </c>
      <c r="C182" s="62">
        <v>64</v>
      </c>
      <c r="D182" s="62">
        <v>9</v>
      </c>
      <c r="E182" s="62">
        <v>12</v>
      </c>
      <c r="F182" s="62">
        <v>5</v>
      </c>
      <c r="G182" s="62">
        <v>10</v>
      </c>
      <c r="H182" s="62">
        <v>0</v>
      </c>
      <c r="M182" s="23">
        <v>1</v>
      </c>
    </row>
    <row r="183" spans="2:13" ht="18">
      <c r="B183" s="62">
        <v>10</v>
      </c>
      <c r="C183" s="62">
        <v>64</v>
      </c>
      <c r="D183" s="62">
        <v>10</v>
      </c>
      <c r="E183" s="62">
        <v>6</v>
      </c>
      <c r="F183" s="62">
        <v>4</v>
      </c>
      <c r="G183" s="62">
        <v>2</v>
      </c>
      <c r="H183" s="62">
        <v>0</v>
      </c>
      <c r="M183" s="23">
        <v>1</v>
      </c>
    </row>
    <row r="184" spans="2:13" ht="18">
      <c r="B184" s="62">
        <v>10</v>
      </c>
      <c r="C184" s="62">
        <v>64</v>
      </c>
      <c r="D184" s="62">
        <v>11</v>
      </c>
      <c r="E184" s="62">
        <v>9</v>
      </c>
      <c r="F184" s="62">
        <v>2</v>
      </c>
      <c r="G184" s="62">
        <v>3</v>
      </c>
      <c r="H184" s="62">
        <v>0</v>
      </c>
      <c r="M184" s="23">
        <v>1</v>
      </c>
    </row>
    <row r="185" spans="2:13" ht="18">
      <c r="B185" s="62">
        <v>10</v>
      </c>
      <c r="C185" s="62">
        <v>64</v>
      </c>
      <c r="D185" s="62">
        <v>12</v>
      </c>
      <c r="E185" s="62">
        <v>8</v>
      </c>
      <c r="F185" s="62">
        <v>3</v>
      </c>
      <c r="G185" s="62">
        <v>0</v>
      </c>
      <c r="H185" s="62">
        <v>0</v>
      </c>
      <c r="M185" s="23">
        <v>1</v>
      </c>
    </row>
    <row r="186" spans="2:13" ht="18">
      <c r="B186" s="62">
        <v>10</v>
      </c>
      <c r="C186" s="62">
        <v>64</v>
      </c>
      <c r="D186" s="62">
        <v>13</v>
      </c>
      <c r="E186" s="62">
        <v>13</v>
      </c>
      <c r="F186" s="62">
        <v>2</v>
      </c>
      <c r="G186" s="62">
        <v>4</v>
      </c>
      <c r="H186" s="62">
        <v>0</v>
      </c>
      <c r="M186" s="23">
        <v>1</v>
      </c>
    </row>
    <row r="187" spans="2:13" ht="18">
      <c r="B187" s="62">
        <v>10</v>
      </c>
      <c r="C187" s="62">
        <v>64</v>
      </c>
      <c r="D187" s="62">
        <v>14</v>
      </c>
      <c r="E187" s="62">
        <v>6</v>
      </c>
      <c r="F187" s="62">
        <v>3</v>
      </c>
      <c r="G187" s="62">
        <v>5</v>
      </c>
      <c r="H187" s="62">
        <v>0</v>
      </c>
      <c r="M187" s="23">
        <v>1</v>
      </c>
    </row>
    <row r="188" spans="2:13" ht="18">
      <c r="B188" s="62">
        <v>10</v>
      </c>
      <c r="C188" s="62">
        <v>64</v>
      </c>
      <c r="D188" s="62">
        <v>15</v>
      </c>
      <c r="E188" s="62">
        <v>10</v>
      </c>
      <c r="F188" s="62">
        <v>13</v>
      </c>
      <c r="G188" s="62">
        <v>4</v>
      </c>
      <c r="H188" s="62">
        <v>0</v>
      </c>
      <c r="M188" s="23">
        <v>1</v>
      </c>
    </row>
    <row r="189" spans="2:13" ht="18">
      <c r="B189" s="62">
        <v>10</v>
      </c>
      <c r="C189" s="62">
        <v>56</v>
      </c>
      <c r="D189" s="62">
        <v>15</v>
      </c>
      <c r="E189" s="62">
        <v>10</v>
      </c>
      <c r="F189" s="62">
        <v>1</v>
      </c>
      <c r="G189" s="62">
        <v>7</v>
      </c>
      <c r="H189" s="62">
        <v>1</v>
      </c>
      <c r="M189" s="23">
        <v>1</v>
      </c>
    </row>
    <row r="190" spans="2:13" ht="18">
      <c r="B190" s="62">
        <v>10</v>
      </c>
      <c r="C190" s="62">
        <v>54</v>
      </c>
      <c r="D190" s="62">
        <v>15</v>
      </c>
      <c r="E190" s="62">
        <v>5</v>
      </c>
      <c r="F190" s="62">
        <v>1</v>
      </c>
      <c r="G190" s="62">
        <v>2</v>
      </c>
      <c r="H190" s="62">
        <v>0</v>
      </c>
      <c r="M190" s="23">
        <v>1</v>
      </c>
    </row>
    <row r="191" spans="2:13" ht="18">
      <c r="B191" s="62">
        <v>10</v>
      </c>
      <c r="C191" s="62">
        <v>54</v>
      </c>
      <c r="D191" s="62">
        <v>6</v>
      </c>
      <c r="E191" s="62">
        <v>3</v>
      </c>
      <c r="F191" s="62">
        <v>0</v>
      </c>
      <c r="G191" s="62">
        <v>2</v>
      </c>
      <c r="H191" s="62">
        <v>0</v>
      </c>
      <c r="M191" s="23">
        <v>1</v>
      </c>
    </row>
    <row r="192" spans="2:13" ht="18">
      <c r="B192" s="62">
        <v>10</v>
      </c>
      <c r="C192" s="62">
        <v>54</v>
      </c>
      <c r="D192" s="62">
        <v>17</v>
      </c>
      <c r="E192" s="62">
        <v>4</v>
      </c>
      <c r="F192" s="62">
        <v>0</v>
      </c>
      <c r="G192" s="62">
        <v>3</v>
      </c>
      <c r="H192" s="62">
        <v>0</v>
      </c>
      <c r="M192" s="23">
        <v>1</v>
      </c>
    </row>
    <row r="193" spans="2:13" ht="18">
      <c r="B193" s="62">
        <v>10</v>
      </c>
      <c r="C193" s="62">
        <v>53</v>
      </c>
      <c r="D193" s="62">
        <v>16</v>
      </c>
      <c r="E193" s="62">
        <v>12</v>
      </c>
      <c r="F193" s="62">
        <v>4</v>
      </c>
      <c r="G193" s="62">
        <v>13</v>
      </c>
      <c r="H193" s="62">
        <v>0</v>
      </c>
      <c r="M193" s="23">
        <v>1</v>
      </c>
    </row>
    <row r="194" spans="2:13" ht="18">
      <c r="B194" s="62">
        <v>10</v>
      </c>
      <c r="C194" s="62">
        <v>61</v>
      </c>
      <c r="D194" s="62">
        <v>15</v>
      </c>
      <c r="E194" s="62">
        <v>10</v>
      </c>
      <c r="F194" s="62">
        <v>3</v>
      </c>
      <c r="G194" s="62">
        <v>8</v>
      </c>
      <c r="H194" s="62">
        <v>0</v>
      </c>
      <c r="M194" s="23">
        <v>1</v>
      </c>
    </row>
    <row r="195" spans="2:13" ht="18">
      <c r="B195" s="62">
        <v>10</v>
      </c>
      <c r="C195" s="62">
        <v>61</v>
      </c>
      <c r="D195" s="62">
        <v>16</v>
      </c>
      <c r="E195" s="62">
        <v>4</v>
      </c>
      <c r="F195" s="62">
        <v>0</v>
      </c>
      <c r="G195" s="62">
        <v>21</v>
      </c>
      <c r="H195" s="62">
        <v>0</v>
      </c>
      <c r="M195" s="23">
        <v>1</v>
      </c>
    </row>
    <row r="196" spans="2:13" ht="18">
      <c r="B196" s="62"/>
      <c r="C196" s="62"/>
      <c r="D196" s="62"/>
      <c r="E196" s="62"/>
      <c r="F196" s="62"/>
      <c r="G196" s="62"/>
      <c r="H196" s="62"/>
      <c r="M196" s="23">
        <v>1</v>
      </c>
    </row>
    <row r="197" spans="2:13" ht="18">
      <c r="B197" s="62"/>
      <c r="C197" s="62"/>
      <c r="D197" s="62"/>
      <c r="E197" s="62"/>
      <c r="F197" s="62"/>
      <c r="G197" s="62"/>
      <c r="H197" s="62"/>
      <c r="M197" s="23">
        <v>1</v>
      </c>
    </row>
    <row r="198" spans="2:13" ht="18">
      <c r="B198" s="62"/>
      <c r="C198" s="62"/>
      <c r="D198" s="62"/>
      <c r="E198" s="62"/>
      <c r="F198" s="62"/>
      <c r="G198" s="62"/>
      <c r="H198" s="62"/>
      <c r="M198" s="23">
        <v>1</v>
      </c>
    </row>
    <row r="199" spans="2:13" ht="18">
      <c r="B199" s="62"/>
      <c r="C199" s="62"/>
      <c r="D199" s="62"/>
      <c r="E199" s="62"/>
      <c r="F199" s="62"/>
      <c r="G199" s="62"/>
      <c r="H199" s="62"/>
      <c r="M199" s="23">
        <v>1</v>
      </c>
    </row>
    <row r="200" spans="2:13" ht="18">
      <c r="B200" s="62"/>
      <c r="C200" s="62"/>
      <c r="D200" s="62"/>
      <c r="E200" s="62"/>
      <c r="F200" s="62"/>
      <c r="G200" s="62"/>
      <c r="H200" s="62"/>
      <c r="M200" s="23">
        <v>1</v>
      </c>
    </row>
    <row r="201" spans="2:13" ht="18">
      <c r="B201" s="62"/>
      <c r="C201" s="62"/>
      <c r="D201" s="62"/>
      <c r="E201" s="62"/>
      <c r="F201" s="62"/>
      <c r="G201" s="62"/>
      <c r="H201" s="62"/>
      <c r="M201" s="23">
        <v>1</v>
      </c>
    </row>
    <row r="202" spans="2:13" ht="18">
      <c r="B202" s="62"/>
      <c r="C202" s="62"/>
      <c r="D202" s="62"/>
      <c r="E202" s="62"/>
      <c r="F202" s="62"/>
      <c r="G202" s="62"/>
      <c r="H202" s="62"/>
      <c r="M202" s="23">
        <v>1</v>
      </c>
    </row>
    <row r="203" spans="2:13" ht="18">
      <c r="B203" s="62"/>
      <c r="C203" s="62"/>
      <c r="D203" s="62"/>
      <c r="E203" s="62"/>
      <c r="F203" s="62"/>
      <c r="G203" s="62"/>
      <c r="H203" s="62"/>
      <c r="M203" s="23">
        <v>1</v>
      </c>
    </row>
    <row r="204" spans="2:13" ht="18">
      <c r="B204" s="62"/>
      <c r="C204" s="62"/>
      <c r="D204" s="62"/>
      <c r="E204" s="62"/>
      <c r="F204" s="62"/>
      <c r="G204" s="62"/>
      <c r="H204" s="62"/>
      <c r="M204" s="23">
        <v>1</v>
      </c>
    </row>
    <row r="205" spans="2:13" ht="18">
      <c r="B205" s="62"/>
      <c r="C205" s="62"/>
      <c r="D205" s="62"/>
      <c r="E205" s="62"/>
      <c r="F205" s="62"/>
      <c r="G205" s="62"/>
      <c r="H205" s="62"/>
      <c r="M205" s="23">
        <v>1</v>
      </c>
    </row>
    <row r="206" spans="2:13" ht="18">
      <c r="B206" s="62"/>
      <c r="C206" s="62"/>
      <c r="D206" s="62"/>
      <c r="E206" s="62"/>
      <c r="F206" s="62"/>
      <c r="G206" s="62"/>
      <c r="H206" s="62"/>
      <c r="M206" s="23">
        <v>1</v>
      </c>
    </row>
    <row r="207" spans="2:13" ht="18">
      <c r="B207" s="62"/>
      <c r="C207" s="62"/>
      <c r="D207" s="62"/>
      <c r="E207" s="62"/>
      <c r="F207" s="62"/>
      <c r="G207" s="62"/>
      <c r="H207" s="62"/>
      <c r="M207" s="23">
        <v>1</v>
      </c>
    </row>
    <row r="208" spans="2:13" ht="18">
      <c r="B208" s="62"/>
      <c r="C208" s="62"/>
      <c r="D208" s="62"/>
      <c r="E208" s="62"/>
      <c r="F208" s="62"/>
      <c r="G208" s="62"/>
      <c r="H208" s="62"/>
      <c r="M208" s="23">
        <v>1</v>
      </c>
    </row>
    <row r="209" spans="2:13" ht="18">
      <c r="B209" s="62"/>
      <c r="C209" s="62"/>
      <c r="D209" s="62"/>
      <c r="E209" s="62"/>
      <c r="F209" s="62"/>
      <c r="G209" s="62"/>
      <c r="H209" s="62"/>
      <c r="M209" s="23">
        <v>1</v>
      </c>
    </row>
    <row r="210" spans="2:13" ht="18">
      <c r="B210" s="62"/>
      <c r="C210" s="62"/>
      <c r="D210" s="62"/>
      <c r="E210" s="62"/>
      <c r="F210" s="62"/>
      <c r="G210" s="62"/>
      <c r="H210" s="62"/>
      <c r="M210" s="23">
        <v>1</v>
      </c>
    </row>
    <row r="211" spans="2:13" ht="18">
      <c r="B211" s="62"/>
      <c r="C211" s="62"/>
      <c r="D211" s="62"/>
      <c r="E211" s="62"/>
      <c r="F211" s="62"/>
      <c r="G211" s="62"/>
      <c r="H211" s="62"/>
      <c r="M211" s="23">
        <v>1</v>
      </c>
    </row>
    <row r="212" spans="2:13" ht="18">
      <c r="B212" s="62"/>
      <c r="C212" s="62"/>
      <c r="D212" s="62"/>
      <c r="E212" s="62"/>
      <c r="F212" s="62"/>
      <c r="G212" s="62"/>
      <c r="H212" s="62"/>
      <c r="M212" s="23">
        <v>1</v>
      </c>
    </row>
    <row r="213" spans="2:13" ht="18">
      <c r="B213" s="62"/>
      <c r="C213" s="62"/>
      <c r="D213" s="62"/>
      <c r="E213" s="62"/>
      <c r="F213" s="62"/>
      <c r="G213" s="62"/>
      <c r="H213" s="62"/>
      <c r="M213" s="23">
        <v>1</v>
      </c>
    </row>
    <row r="214" spans="2:13" ht="18">
      <c r="B214" s="62"/>
      <c r="C214" s="62"/>
      <c r="D214" s="62"/>
      <c r="E214" s="62"/>
      <c r="F214" s="62"/>
      <c r="G214" s="62"/>
      <c r="H214" s="62"/>
      <c r="M214" s="23">
        <v>1</v>
      </c>
    </row>
    <row r="215" spans="2:13" ht="18">
      <c r="B215" s="62"/>
      <c r="C215" s="62"/>
      <c r="D215" s="62"/>
      <c r="E215" s="62"/>
      <c r="F215" s="62"/>
      <c r="G215" s="62"/>
      <c r="H215" s="62"/>
      <c r="M215" s="23">
        <v>1</v>
      </c>
    </row>
    <row r="216" spans="2:13" ht="18">
      <c r="B216" s="62"/>
      <c r="C216" s="62"/>
      <c r="D216" s="62"/>
      <c r="E216" s="62"/>
      <c r="F216" s="62"/>
      <c r="G216" s="62"/>
      <c r="H216" s="62"/>
      <c r="M216" s="23">
        <v>1</v>
      </c>
    </row>
    <row r="217" spans="2:13" ht="18">
      <c r="B217" s="62"/>
      <c r="C217" s="62"/>
      <c r="D217" s="62"/>
      <c r="E217" s="62"/>
      <c r="F217" s="62"/>
      <c r="G217" s="62"/>
      <c r="H217" s="62"/>
      <c r="M217" s="23">
        <v>1</v>
      </c>
    </row>
    <row r="218" spans="2:13" ht="18">
      <c r="B218" s="62"/>
      <c r="C218" s="62"/>
      <c r="D218" s="62"/>
      <c r="E218" s="62"/>
      <c r="F218" s="62"/>
      <c r="G218" s="62"/>
      <c r="H218" s="62"/>
      <c r="M218" s="23">
        <v>1</v>
      </c>
    </row>
    <row r="219" spans="2:13" ht="18">
      <c r="B219" s="62"/>
      <c r="C219" s="62"/>
      <c r="D219" s="62"/>
      <c r="E219" s="62"/>
      <c r="F219" s="62"/>
      <c r="G219" s="62"/>
      <c r="H219" s="62"/>
      <c r="M219" s="23">
        <v>1</v>
      </c>
    </row>
    <row r="220" spans="2:13" ht="18">
      <c r="B220" s="62"/>
      <c r="C220" s="62"/>
      <c r="D220" s="62"/>
      <c r="E220" s="62"/>
      <c r="F220" s="62"/>
      <c r="G220" s="62"/>
      <c r="H220" s="62"/>
      <c r="M220" s="23">
        <v>1</v>
      </c>
    </row>
    <row r="221" spans="2:13" ht="18">
      <c r="B221" s="62"/>
      <c r="C221" s="62"/>
      <c r="D221" s="62"/>
      <c r="E221" s="62"/>
      <c r="F221" s="62"/>
      <c r="G221" s="62"/>
      <c r="H221" s="62"/>
      <c r="M221" s="23">
        <v>1</v>
      </c>
    </row>
    <row r="222" spans="2:13" ht="18">
      <c r="B222" s="62"/>
      <c r="C222" s="62"/>
      <c r="D222" s="62"/>
      <c r="E222" s="62"/>
      <c r="F222" s="62"/>
      <c r="G222" s="62"/>
      <c r="H222" s="62"/>
      <c r="M222" s="23">
        <v>1</v>
      </c>
    </row>
    <row r="223" spans="2:13" ht="18">
      <c r="B223" s="62"/>
      <c r="C223" s="62"/>
      <c r="D223" s="62"/>
      <c r="E223" s="62"/>
      <c r="F223" s="62"/>
      <c r="G223" s="62"/>
      <c r="H223" s="62"/>
      <c r="M223" s="23">
        <v>1</v>
      </c>
    </row>
    <row r="224" spans="2:13" ht="18">
      <c r="B224" s="62"/>
      <c r="C224" s="62"/>
      <c r="D224" s="62"/>
      <c r="E224" s="62"/>
      <c r="F224" s="62"/>
      <c r="G224" s="62"/>
      <c r="H224" s="62"/>
      <c r="M224" s="23">
        <v>1</v>
      </c>
    </row>
    <row r="225" spans="2:13" ht="18">
      <c r="B225" s="62"/>
      <c r="C225" s="62"/>
      <c r="D225" s="62"/>
      <c r="E225" s="62"/>
      <c r="F225" s="62"/>
      <c r="G225" s="62"/>
      <c r="H225" s="62"/>
      <c r="M225" s="23">
        <v>1</v>
      </c>
    </row>
    <row r="226" spans="2:13" ht="18">
      <c r="B226" s="62"/>
      <c r="C226" s="62"/>
      <c r="D226" s="62"/>
      <c r="E226" s="62"/>
      <c r="F226" s="62"/>
      <c r="G226" s="62"/>
      <c r="H226" s="62"/>
      <c r="M226" s="23">
        <v>1</v>
      </c>
    </row>
    <row r="227" spans="2:13" ht="18">
      <c r="B227" s="62"/>
      <c r="C227" s="62"/>
      <c r="D227" s="62"/>
      <c r="E227" s="62"/>
      <c r="F227" s="62"/>
      <c r="G227" s="62"/>
      <c r="H227" s="62"/>
      <c r="M227" s="23">
        <v>1</v>
      </c>
    </row>
    <row r="228" spans="2:13" ht="18">
      <c r="B228" s="62"/>
      <c r="C228" s="62"/>
      <c r="D228" s="62"/>
      <c r="E228" s="62"/>
      <c r="F228" s="62"/>
      <c r="G228" s="62"/>
      <c r="H228" s="62"/>
      <c r="M228" s="23">
        <v>1</v>
      </c>
    </row>
    <row r="229" spans="2:13" ht="18">
      <c r="B229" s="62"/>
      <c r="C229" s="62"/>
      <c r="D229" s="62"/>
      <c r="E229" s="62"/>
      <c r="F229" s="62"/>
      <c r="G229" s="62"/>
      <c r="H229" s="62"/>
      <c r="M229" s="23">
        <v>1</v>
      </c>
    </row>
    <row r="230" spans="2:13" ht="18">
      <c r="B230" s="62"/>
      <c r="C230" s="62"/>
      <c r="D230" s="62"/>
      <c r="E230" s="62"/>
      <c r="F230" s="62"/>
      <c r="G230" s="62"/>
      <c r="H230" s="62"/>
      <c r="M230" s="23">
        <v>1</v>
      </c>
    </row>
    <row r="231" spans="2:13" ht="18">
      <c r="B231" s="62"/>
      <c r="C231" s="62"/>
      <c r="D231" s="62"/>
      <c r="E231" s="62"/>
      <c r="F231" s="62"/>
      <c r="G231" s="62"/>
      <c r="H231" s="62"/>
      <c r="M231" s="23">
        <v>1</v>
      </c>
    </row>
    <row r="232" spans="2:13" ht="18">
      <c r="B232" s="62"/>
      <c r="C232" s="62"/>
      <c r="D232" s="62"/>
      <c r="E232" s="62"/>
      <c r="F232" s="62"/>
      <c r="G232" s="62"/>
      <c r="H232" s="62"/>
      <c r="M232" s="23">
        <v>1</v>
      </c>
    </row>
    <row r="233" spans="2:13" ht="18">
      <c r="B233" s="62"/>
      <c r="C233" s="62"/>
      <c r="D233" s="62"/>
      <c r="E233" s="62"/>
      <c r="F233" s="62"/>
      <c r="G233" s="62"/>
      <c r="H233" s="62"/>
      <c r="M233" s="23">
        <v>1</v>
      </c>
    </row>
    <row r="234" spans="2:13" ht="18">
      <c r="B234" s="62"/>
      <c r="C234" s="62"/>
      <c r="D234" s="62"/>
      <c r="E234" s="62"/>
      <c r="F234" s="62"/>
      <c r="G234" s="62"/>
      <c r="H234" s="62"/>
      <c r="M234" s="23">
        <v>1</v>
      </c>
    </row>
    <row r="235" spans="2:13" ht="18">
      <c r="B235" s="62"/>
      <c r="C235" s="62"/>
      <c r="D235" s="62"/>
      <c r="E235" s="62"/>
      <c r="F235" s="62"/>
      <c r="G235" s="62"/>
      <c r="H235" s="62"/>
      <c r="M235" s="23">
        <v>1</v>
      </c>
    </row>
    <row r="236" spans="2:13" ht="18">
      <c r="B236" s="62"/>
      <c r="C236" s="62"/>
      <c r="D236" s="62"/>
      <c r="E236" s="62"/>
      <c r="F236" s="62"/>
      <c r="G236" s="62"/>
      <c r="H236" s="62"/>
      <c r="M236" s="23">
        <v>1</v>
      </c>
    </row>
    <row r="237" spans="2:13" ht="18">
      <c r="B237" s="62"/>
      <c r="C237" s="62"/>
      <c r="D237" s="62"/>
      <c r="E237" s="62"/>
      <c r="F237" s="62"/>
      <c r="G237" s="62"/>
      <c r="H237" s="62"/>
      <c r="M237" s="23">
        <v>1</v>
      </c>
    </row>
    <row r="238" spans="2:13" ht="18">
      <c r="B238" s="62"/>
      <c r="C238" s="62"/>
      <c r="D238" s="62"/>
      <c r="E238" s="62"/>
      <c r="F238" s="62"/>
      <c r="G238" s="62"/>
      <c r="H238" s="62"/>
      <c r="M238" s="23">
        <v>1</v>
      </c>
    </row>
    <row r="239" spans="2:13" ht="18">
      <c r="B239" s="62"/>
      <c r="C239" s="62"/>
      <c r="D239" s="62"/>
      <c r="E239" s="62"/>
      <c r="F239" s="62"/>
      <c r="G239" s="62"/>
      <c r="H239" s="62"/>
      <c r="M239" s="23">
        <v>1</v>
      </c>
    </row>
    <row r="240" spans="2:13" ht="18">
      <c r="B240" s="62"/>
      <c r="C240" s="62"/>
      <c r="D240" s="62"/>
      <c r="E240" s="62"/>
      <c r="F240" s="62"/>
      <c r="G240" s="62"/>
      <c r="H240" s="62"/>
      <c r="M240" s="23">
        <v>1</v>
      </c>
    </row>
    <row r="241" spans="2:13" ht="18">
      <c r="B241" s="62"/>
      <c r="C241" s="62"/>
      <c r="D241" s="62"/>
      <c r="E241" s="62"/>
      <c r="F241" s="62"/>
      <c r="G241" s="62"/>
      <c r="H241" s="62"/>
      <c r="M241" s="23">
        <v>1</v>
      </c>
    </row>
    <row r="242" spans="2:13" ht="18">
      <c r="B242" s="62"/>
      <c r="C242" s="62"/>
      <c r="D242" s="62"/>
      <c r="E242" s="62"/>
      <c r="F242" s="62"/>
      <c r="G242" s="62"/>
      <c r="H242" s="62"/>
      <c r="M242" s="23">
        <v>1</v>
      </c>
    </row>
    <row r="243" spans="2:13" ht="18">
      <c r="B243" s="62"/>
      <c r="C243" s="62"/>
      <c r="D243" s="62"/>
      <c r="E243" s="62"/>
      <c r="F243" s="62"/>
      <c r="G243" s="62"/>
      <c r="H243" s="62"/>
      <c r="M243" s="23">
        <v>1</v>
      </c>
    </row>
    <row r="244" spans="2:13" ht="18">
      <c r="B244" s="62"/>
      <c r="C244" s="62"/>
      <c r="D244" s="62"/>
      <c r="E244" s="62"/>
      <c r="F244" s="62"/>
      <c r="G244" s="62"/>
      <c r="H244" s="62"/>
      <c r="M244" s="23">
        <v>1</v>
      </c>
    </row>
    <row r="245" spans="2:13" ht="18">
      <c r="B245" s="62"/>
      <c r="C245" s="62"/>
      <c r="D245" s="62"/>
      <c r="E245" s="62"/>
      <c r="F245" s="62"/>
      <c r="G245" s="62"/>
      <c r="H245" s="62"/>
      <c r="M245" s="23">
        <v>1</v>
      </c>
    </row>
    <row r="246" spans="2:13" ht="18">
      <c r="B246" s="62"/>
      <c r="C246" s="62"/>
      <c r="D246" s="62"/>
      <c r="E246" s="62"/>
      <c r="F246" s="62"/>
      <c r="G246" s="62"/>
      <c r="H246" s="62"/>
      <c r="M246" s="23">
        <v>1</v>
      </c>
    </row>
    <row r="247" spans="2:13" ht="18">
      <c r="B247" s="62"/>
      <c r="C247" s="62"/>
      <c r="D247" s="62"/>
      <c r="E247" s="62"/>
      <c r="F247" s="62"/>
      <c r="G247" s="62"/>
      <c r="H247" s="62"/>
      <c r="M247" s="23">
        <v>1</v>
      </c>
    </row>
    <row r="248" spans="2:13" ht="18">
      <c r="B248" s="62"/>
      <c r="C248" s="62"/>
      <c r="D248" s="62"/>
      <c r="E248" s="62"/>
      <c r="F248" s="62"/>
      <c r="G248" s="62"/>
      <c r="H248" s="62"/>
      <c r="M248" s="23">
        <v>1</v>
      </c>
    </row>
    <row r="249" spans="2:13" ht="18">
      <c r="B249" s="62"/>
      <c r="C249" s="62"/>
      <c r="D249" s="62"/>
      <c r="E249" s="62"/>
      <c r="F249" s="62"/>
      <c r="G249" s="62"/>
      <c r="H249" s="62"/>
      <c r="M249" s="23">
        <v>1</v>
      </c>
    </row>
    <row r="250" spans="2:13" ht="18">
      <c r="B250" s="62"/>
      <c r="C250" s="62"/>
      <c r="D250" s="62"/>
      <c r="E250" s="62"/>
      <c r="F250" s="62"/>
      <c r="G250" s="62"/>
      <c r="H250" s="62"/>
      <c r="M250" s="23">
        <v>1</v>
      </c>
    </row>
    <row r="251" spans="2:13" ht="18">
      <c r="B251" s="62"/>
      <c r="C251" s="62"/>
      <c r="D251" s="62"/>
      <c r="E251" s="62"/>
      <c r="F251" s="62"/>
      <c r="G251" s="62"/>
      <c r="H251" s="62"/>
      <c r="M251" s="23">
        <v>1</v>
      </c>
    </row>
    <row r="252" spans="2:13" ht="18">
      <c r="B252" s="62"/>
      <c r="C252" s="62"/>
      <c r="D252" s="62"/>
      <c r="E252" s="62"/>
      <c r="F252" s="62"/>
      <c r="G252" s="62"/>
      <c r="H252" s="62"/>
      <c r="M252" s="23">
        <v>1</v>
      </c>
    </row>
    <row r="253" spans="2:13" ht="18">
      <c r="B253" s="62"/>
      <c r="C253" s="62"/>
      <c r="D253" s="62"/>
      <c r="E253" s="62"/>
      <c r="F253" s="62"/>
      <c r="G253" s="62"/>
      <c r="H253" s="62"/>
      <c r="M253" s="23">
        <v>1</v>
      </c>
    </row>
    <row r="254" spans="2:13" ht="18">
      <c r="B254" s="62"/>
      <c r="C254" s="62"/>
      <c r="D254" s="62"/>
      <c r="E254" s="62"/>
      <c r="F254" s="62"/>
      <c r="G254" s="62"/>
      <c r="H254" s="62"/>
      <c r="M254" s="23">
        <v>1</v>
      </c>
    </row>
    <row r="255" spans="2:13" ht="18">
      <c r="B255" s="62"/>
      <c r="C255" s="62"/>
      <c r="D255" s="62"/>
      <c r="E255" s="62"/>
      <c r="F255" s="62"/>
      <c r="G255" s="62"/>
      <c r="H255" s="62"/>
      <c r="M255" s="23">
        <v>1</v>
      </c>
    </row>
    <row r="256" spans="2:13" ht="18">
      <c r="B256" s="62"/>
      <c r="C256" s="62"/>
      <c r="D256" s="62"/>
      <c r="E256" s="62"/>
      <c r="F256" s="62"/>
      <c r="G256" s="62"/>
      <c r="H256" s="62"/>
      <c r="M256" s="23">
        <v>1</v>
      </c>
    </row>
    <row r="257" spans="2:13" ht="18">
      <c r="B257" s="62"/>
      <c r="C257" s="62"/>
      <c r="D257" s="62"/>
      <c r="E257" s="62"/>
      <c r="F257" s="62"/>
      <c r="G257" s="62"/>
      <c r="H257" s="62"/>
      <c r="M257" s="23">
        <v>1</v>
      </c>
    </row>
    <row r="258" spans="2:13" ht="18">
      <c r="B258" s="62"/>
      <c r="C258" s="62"/>
      <c r="D258" s="62"/>
      <c r="E258" s="62"/>
      <c r="F258" s="62"/>
      <c r="G258" s="62"/>
      <c r="H258" s="62"/>
      <c r="M258" s="23">
        <v>1</v>
      </c>
    </row>
    <row r="259" spans="2:13" ht="18">
      <c r="B259" s="62"/>
      <c r="C259" s="62"/>
      <c r="D259" s="62"/>
      <c r="E259" s="62"/>
      <c r="F259" s="62"/>
      <c r="G259" s="62"/>
      <c r="H259" s="62"/>
      <c r="M259" s="23">
        <v>1</v>
      </c>
    </row>
    <row r="260" spans="2:13" ht="18">
      <c r="B260" s="62"/>
      <c r="C260" s="62"/>
      <c r="D260" s="62"/>
      <c r="E260" s="62"/>
      <c r="F260" s="62"/>
      <c r="G260" s="62"/>
      <c r="H260" s="62"/>
      <c r="M260" s="23">
        <v>1</v>
      </c>
    </row>
    <row r="261" spans="2:13" ht="18">
      <c r="B261" s="62"/>
      <c r="C261" s="62"/>
      <c r="D261" s="62"/>
      <c r="E261" s="62"/>
      <c r="F261" s="62"/>
      <c r="G261" s="62"/>
      <c r="H261" s="62"/>
      <c r="M261" s="23">
        <v>1</v>
      </c>
    </row>
    <row r="262" spans="2:13" ht="18">
      <c r="B262" s="62"/>
      <c r="C262" s="62"/>
      <c r="D262" s="62"/>
      <c r="E262" s="62"/>
      <c r="F262" s="62"/>
      <c r="G262" s="62"/>
      <c r="H262" s="62"/>
      <c r="M262" s="23">
        <v>1</v>
      </c>
    </row>
    <row r="263" spans="2:13" ht="18">
      <c r="B263" s="62"/>
      <c r="C263" s="62"/>
      <c r="D263" s="62"/>
      <c r="E263" s="62"/>
      <c r="F263" s="62"/>
      <c r="G263" s="62"/>
      <c r="H263" s="62"/>
      <c r="M263" s="23">
        <v>1</v>
      </c>
    </row>
    <row r="264" spans="2:13" ht="18">
      <c r="B264" s="62"/>
      <c r="C264" s="62"/>
      <c r="D264" s="62"/>
      <c r="E264" s="62"/>
      <c r="F264" s="62"/>
      <c r="G264" s="62"/>
      <c r="H264" s="62"/>
      <c r="M264" s="23">
        <v>1</v>
      </c>
    </row>
    <row r="265" spans="2:13" ht="18">
      <c r="B265" s="62"/>
      <c r="C265" s="62"/>
      <c r="D265" s="62"/>
      <c r="E265" s="62"/>
      <c r="F265" s="62"/>
      <c r="G265" s="62"/>
      <c r="H265" s="62"/>
      <c r="M265" s="23">
        <v>1</v>
      </c>
    </row>
    <row r="266" spans="2:13" ht="18">
      <c r="B266" s="62"/>
      <c r="C266" s="62"/>
      <c r="D266" s="62"/>
      <c r="E266" s="62"/>
      <c r="F266" s="62"/>
      <c r="G266" s="62"/>
      <c r="H266" s="62"/>
      <c r="M266" s="23">
        <v>1</v>
      </c>
    </row>
    <row r="267" spans="2:13" ht="18">
      <c r="B267" s="62"/>
      <c r="C267" s="62"/>
      <c r="D267" s="62"/>
      <c r="E267" s="62"/>
      <c r="F267" s="62"/>
      <c r="G267" s="62"/>
      <c r="H267" s="62"/>
      <c r="M267" s="23">
        <v>1</v>
      </c>
    </row>
    <row r="268" spans="2:13" ht="18">
      <c r="B268" s="62"/>
      <c r="C268" s="62"/>
      <c r="D268" s="62"/>
      <c r="E268" s="62"/>
      <c r="F268" s="62"/>
      <c r="G268" s="62"/>
      <c r="H268" s="62"/>
      <c r="M268" s="23">
        <v>1</v>
      </c>
    </row>
    <row r="269" spans="2:13" ht="18">
      <c r="B269" s="62"/>
      <c r="C269" s="62"/>
      <c r="D269" s="62"/>
      <c r="E269" s="62"/>
      <c r="F269" s="62"/>
      <c r="G269" s="62"/>
      <c r="H269" s="62"/>
      <c r="M269" s="23">
        <v>1</v>
      </c>
    </row>
    <row r="270" spans="2:13" ht="18">
      <c r="B270" s="62"/>
      <c r="C270" s="62"/>
      <c r="D270" s="62"/>
      <c r="E270" s="62"/>
      <c r="F270" s="62"/>
      <c r="G270" s="62"/>
      <c r="H270" s="62"/>
      <c r="M270" s="23">
        <v>1</v>
      </c>
    </row>
    <row r="271" spans="2:13" ht="18">
      <c r="B271" s="62"/>
      <c r="C271" s="62"/>
      <c r="D271" s="62"/>
      <c r="E271" s="62"/>
      <c r="F271" s="62"/>
      <c r="G271" s="62"/>
      <c r="H271" s="62"/>
      <c r="M271" s="23">
        <v>1</v>
      </c>
    </row>
    <row r="272" spans="2:13" ht="18">
      <c r="B272" s="62"/>
      <c r="C272" s="62"/>
      <c r="D272" s="62"/>
      <c r="E272" s="62"/>
      <c r="F272" s="62"/>
      <c r="G272" s="62"/>
      <c r="H272" s="62"/>
      <c r="M272" s="23">
        <v>1</v>
      </c>
    </row>
    <row r="273" spans="2:13" ht="18">
      <c r="B273" s="62"/>
      <c r="C273" s="62"/>
      <c r="D273" s="62"/>
      <c r="E273" s="62"/>
      <c r="F273" s="62"/>
      <c r="G273" s="62"/>
      <c r="H273" s="62"/>
      <c r="M273" s="23">
        <v>1</v>
      </c>
    </row>
    <row r="274" spans="2:13" ht="18">
      <c r="B274" s="62"/>
      <c r="C274" s="62"/>
      <c r="D274" s="62"/>
      <c r="E274" s="62"/>
      <c r="F274" s="62"/>
      <c r="G274" s="62"/>
      <c r="H274" s="62"/>
      <c r="M274" s="23">
        <v>1</v>
      </c>
    </row>
    <row r="275" spans="2:13" ht="18">
      <c r="B275" s="62"/>
      <c r="C275" s="62"/>
      <c r="D275" s="62"/>
      <c r="E275" s="62"/>
      <c r="F275" s="62"/>
      <c r="G275" s="62"/>
      <c r="H275" s="62"/>
      <c r="M275" s="23">
        <v>1</v>
      </c>
    </row>
    <row r="276" spans="2:13" ht="18">
      <c r="B276" s="62"/>
      <c r="C276" s="62"/>
      <c r="D276" s="62"/>
      <c r="E276" s="62"/>
      <c r="F276" s="62"/>
      <c r="G276" s="62"/>
      <c r="H276" s="62"/>
      <c r="M276" s="23">
        <v>1</v>
      </c>
    </row>
    <row r="277" spans="2:13" ht="18">
      <c r="B277" s="62"/>
      <c r="C277" s="62"/>
      <c r="D277" s="62"/>
      <c r="E277" s="62"/>
      <c r="F277" s="62"/>
      <c r="G277" s="62"/>
      <c r="H277" s="62"/>
      <c r="M277" s="23">
        <v>1</v>
      </c>
    </row>
    <row r="278" spans="2:13" ht="18">
      <c r="B278" s="62"/>
      <c r="C278" s="62"/>
      <c r="D278" s="62"/>
      <c r="E278" s="62"/>
      <c r="F278" s="62"/>
      <c r="G278" s="62"/>
      <c r="H278" s="62"/>
      <c r="M278" s="23">
        <v>1</v>
      </c>
    </row>
    <row r="279" spans="2:13" ht="18">
      <c r="B279" s="62"/>
      <c r="C279" s="62"/>
      <c r="D279" s="62"/>
      <c r="E279" s="62"/>
      <c r="F279" s="62"/>
      <c r="G279" s="62"/>
      <c r="H279" s="62"/>
      <c r="M279" s="23">
        <v>1</v>
      </c>
    </row>
    <row r="280" spans="2:13" ht="18">
      <c r="B280" s="62"/>
      <c r="C280" s="62"/>
      <c r="D280" s="62"/>
      <c r="E280" s="62"/>
      <c r="F280" s="62"/>
      <c r="G280" s="62"/>
      <c r="H280" s="62"/>
      <c r="M280" s="23">
        <v>1</v>
      </c>
    </row>
    <row r="281" spans="2:13" ht="18">
      <c r="B281" s="62"/>
      <c r="C281" s="62"/>
      <c r="D281" s="62"/>
      <c r="E281" s="62"/>
      <c r="F281" s="62"/>
      <c r="G281" s="62"/>
      <c r="H281" s="62"/>
      <c r="M281" s="23">
        <v>1</v>
      </c>
    </row>
    <row r="282" spans="2:13" ht="18">
      <c r="B282" s="62"/>
      <c r="C282" s="62"/>
      <c r="D282" s="62"/>
      <c r="E282" s="62"/>
      <c r="F282" s="62"/>
      <c r="G282" s="62"/>
      <c r="H282" s="62"/>
      <c r="M282" s="23">
        <v>1</v>
      </c>
    </row>
    <row r="283" spans="2:13" ht="18">
      <c r="B283" s="62"/>
      <c r="C283" s="62"/>
      <c r="D283" s="62"/>
      <c r="E283" s="62"/>
      <c r="F283" s="62"/>
      <c r="G283" s="62"/>
      <c r="H283" s="62"/>
      <c r="M283" s="23">
        <v>1</v>
      </c>
    </row>
    <row r="284" spans="2:13" ht="18">
      <c r="B284" s="62"/>
      <c r="C284" s="62"/>
      <c r="D284" s="62"/>
      <c r="E284" s="62"/>
      <c r="F284" s="62"/>
      <c r="G284" s="62"/>
      <c r="H284" s="62"/>
      <c r="M284" s="23">
        <v>1</v>
      </c>
    </row>
    <row r="285" spans="2:13" ht="18">
      <c r="B285" s="62"/>
      <c r="C285" s="62"/>
      <c r="D285" s="62"/>
      <c r="E285" s="62"/>
      <c r="F285" s="62"/>
      <c r="G285" s="62"/>
      <c r="H285" s="62"/>
      <c r="M285" s="23">
        <v>1</v>
      </c>
    </row>
    <row r="286" spans="2:13" ht="18">
      <c r="B286" s="62"/>
      <c r="C286" s="62"/>
      <c r="D286" s="62"/>
      <c r="E286" s="62"/>
      <c r="F286" s="62"/>
      <c r="G286" s="62"/>
      <c r="H286" s="62"/>
      <c r="M286" s="23">
        <v>1</v>
      </c>
    </row>
    <row r="287" spans="2:13" ht="18">
      <c r="B287" s="62"/>
      <c r="C287" s="62"/>
      <c r="D287" s="62"/>
      <c r="E287" s="62"/>
      <c r="F287" s="62"/>
      <c r="G287" s="62"/>
      <c r="H287" s="62"/>
      <c r="M287" s="23">
        <v>1</v>
      </c>
    </row>
    <row r="288" spans="2:13" ht="18">
      <c r="B288" s="62"/>
      <c r="C288" s="62"/>
      <c r="D288" s="62"/>
      <c r="E288" s="62"/>
      <c r="F288" s="62"/>
      <c r="G288" s="62"/>
      <c r="H288" s="62"/>
      <c r="M288" s="23">
        <v>1</v>
      </c>
    </row>
    <row r="289" spans="2:13" ht="18">
      <c r="B289" s="62"/>
      <c r="C289" s="62"/>
      <c r="D289" s="62"/>
      <c r="E289" s="62"/>
      <c r="F289" s="62"/>
      <c r="G289" s="62"/>
      <c r="H289" s="62"/>
      <c r="M289" s="23">
        <v>1</v>
      </c>
    </row>
    <row r="290" spans="2:13" ht="18">
      <c r="B290" s="62"/>
      <c r="C290" s="62"/>
      <c r="D290" s="62"/>
      <c r="E290" s="62"/>
      <c r="F290" s="62"/>
      <c r="G290" s="62"/>
      <c r="H290" s="62"/>
      <c r="M290" s="23">
        <v>1</v>
      </c>
    </row>
    <row r="291" spans="2:13" ht="18">
      <c r="B291" s="62"/>
      <c r="C291" s="62"/>
      <c r="D291" s="62"/>
      <c r="E291" s="62"/>
      <c r="F291" s="62"/>
      <c r="G291" s="62"/>
      <c r="H291" s="62"/>
      <c r="M291" s="23">
        <v>1</v>
      </c>
    </row>
    <row r="292" spans="2:13" ht="18">
      <c r="B292" s="62"/>
      <c r="C292" s="62"/>
      <c r="D292" s="62"/>
      <c r="E292" s="62"/>
      <c r="F292" s="62"/>
      <c r="G292" s="62"/>
      <c r="H292" s="62"/>
      <c r="M292" s="23">
        <v>1</v>
      </c>
    </row>
    <row r="293" spans="2:13" ht="18">
      <c r="B293" s="62"/>
      <c r="C293" s="62"/>
      <c r="D293" s="62"/>
      <c r="E293" s="62"/>
      <c r="F293" s="62"/>
      <c r="G293" s="62"/>
      <c r="H293" s="62"/>
      <c r="M293" s="23">
        <v>1</v>
      </c>
    </row>
    <row r="294" spans="2:13" ht="18">
      <c r="B294" s="62"/>
      <c r="C294" s="62"/>
      <c r="D294" s="62"/>
      <c r="E294" s="62"/>
      <c r="F294" s="62"/>
      <c r="G294" s="62"/>
      <c r="H294" s="62"/>
      <c r="M294" s="23">
        <v>1</v>
      </c>
    </row>
    <row r="295" spans="2:13" ht="18">
      <c r="B295" s="62"/>
      <c r="C295" s="62"/>
      <c r="D295" s="62"/>
      <c r="E295" s="62"/>
      <c r="F295" s="62"/>
      <c r="G295" s="62"/>
      <c r="H295" s="62"/>
      <c r="M295" s="23">
        <v>1</v>
      </c>
    </row>
    <row r="296" spans="2:13" ht="18">
      <c r="B296" s="62"/>
      <c r="C296" s="62"/>
      <c r="D296" s="62"/>
      <c r="E296" s="62"/>
      <c r="F296" s="62"/>
      <c r="G296" s="62"/>
      <c r="H296" s="62"/>
      <c r="M296" s="23">
        <v>1</v>
      </c>
    </row>
    <row r="297" spans="2:13" ht="18">
      <c r="B297" s="62"/>
      <c r="C297" s="62"/>
      <c r="D297" s="62"/>
      <c r="E297" s="62"/>
      <c r="F297" s="62"/>
      <c r="G297" s="62"/>
      <c r="H297" s="62"/>
      <c r="M297" s="23">
        <v>1</v>
      </c>
    </row>
    <row r="298" spans="2:13" ht="18">
      <c r="B298" s="62"/>
      <c r="C298" s="62"/>
      <c r="D298" s="62"/>
      <c r="E298" s="62"/>
      <c r="F298" s="62"/>
      <c r="G298" s="62"/>
      <c r="H298" s="62"/>
      <c r="M298" s="23">
        <v>1</v>
      </c>
    </row>
    <row r="299" spans="2:13" ht="18">
      <c r="B299" s="62"/>
      <c r="C299" s="62"/>
      <c r="D299" s="62"/>
      <c r="E299" s="62"/>
      <c r="F299" s="62"/>
      <c r="G299" s="62"/>
      <c r="H299" s="62"/>
      <c r="M299" s="23">
        <v>1</v>
      </c>
    </row>
    <row r="300" spans="2:13" ht="18">
      <c r="B300" s="62"/>
      <c r="C300" s="62"/>
      <c r="D300" s="62"/>
      <c r="E300" s="62"/>
      <c r="F300" s="62"/>
      <c r="G300" s="62"/>
      <c r="H300" s="62"/>
      <c r="M300" s="23">
        <v>1</v>
      </c>
    </row>
    <row r="301" spans="2:13" ht="18">
      <c r="B301" s="62"/>
      <c r="C301" s="62"/>
      <c r="D301" s="62"/>
      <c r="E301" s="62"/>
      <c r="F301" s="62"/>
      <c r="G301" s="62"/>
      <c r="H301" s="62"/>
      <c r="M301" s="23">
        <v>1</v>
      </c>
    </row>
    <row r="302" spans="2:13" ht="18">
      <c r="B302" s="62"/>
      <c r="C302" s="62"/>
      <c r="D302" s="62"/>
      <c r="E302" s="62"/>
      <c r="F302" s="62"/>
      <c r="G302" s="62"/>
      <c r="H302" s="62"/>
      <c r="M302" s="23">
        <v>1</v>
      </c>
    </row>
    <row r="303" spans="2:13" ht="18">
      <c r="B303" s="62"/>
      <c r="C303" s="62"/>
      <c r="D303" s="62"/>
      <c r="E303" s="62"/>
      <c r="F303" s="62"/>
      <c r="G303" s="62"/>
      <c r="H303" s="62"/>
      <c r="M303" s="23">
        <v>1</v>
      </c>
    </row>
    <row r="304" spans="2:13" ht="18">
      <c r="B304" s="62"/>
      <c r="C304" s="62"/>
      <c r="D304" s="62"/>
      <c r="E304" s="62"/>
      <c r="F304" s="62"/>
      <c r="G304" s="62"/>
      <c r="H304" s="62"/>
      <c r="M304" s="23">
        <v>1</v>
      </c>
    </row>
    <row r="305" spans="2:13" ht="18">
      <c r="B305" s="62"/>
      <c r="C305" s="62"/>
      <c r="D305" s="62"/>
      <c r="E305" s="62"/>
      <c r="F305" s="62"/>
      <c r="G305" s="62"/>
      <c r="H305" s="62"/>
      <c r="M305" s="23">
        <v>1</v>
      </c>
    </row>
    <row r="306" spans="2:13" ht="18">
      <c r="B306" s="62"/>
      <c r="C306" s="62"/>
      <c r="D306" s="62"/>
      <c r="E306" s="62"/>
      <c r="F306" s="62"/>
      <c r="G306" s="62"/>
      <c r="H306" s="62"/>
      <c r="M306" s="23">
        <v>1</v>
      </c>
    </row>
    <row r="307" spans="2:13" ht="18">
      <c r="B307" s="62"/>
      <c r="C307" s="62"/>
      <c r="D307" s="62"/>
      <c r="E307" s="62"/>
      <c r="F307" s="62"/>
      <c r="G307" s="62"/>
      <c r="H307" s="62"/>
      <c r="M307" s="23">
        <v>1</v>
      </c>
    </row>
    <row r="308" spans="2:13" ht="18">
      <c r="B308" s="62"/>
      <c r="C308" s="62"/>
      <c r="D308" s="62"/>
      <c r="E308" s="62"/>
      <c r="F308" s="62"/>
      <c r="G308" s="62"/>
      <c r="H308" s="62"/>
      <c r="M308" s="23">
        <v>1</v>
      </c>
    </row>
    <row r="309" spans="2:13" ht="18">
      <c r="B309" s="62"/>
      <c r="C309" s="62"/>
      <c r="D309" s="62"/>
      <c r="E309" s="62"/>
      <c r="F309" s="62"/>
      <c r="G309" s="62"/>
      <c r="H309" s="62"/>
      <c r="M309" s="23">
        <v>1</v>
      </c>
    </row>
    <row r="310" spans="2:13" ht="18">
      <c r="B310" s="62"/>
      <c r="C310" s="62"/>
      <c r="D310" s="62"/>
      <c r="E310" s="62"/>
      <c r="F310" s="62"/>
      <c r="G310" s="62"/>
      <c r="H310" s="62"/>
      <c r="M310" s="23">
        <v>1</v>
      </c>
    </row>
    <row r="311" spans="2:13" ht="18">
      <c r="B311" s="62"/>
      <c r="C311" s="62"/>
      <c r="D311" s="62"/>
      <c r="E311" s="62"/>
      <c r="F311" s="62"/>
      <c r="G311" s="62"/>
      <c r="H311" s="62"/>
      <c r="M311" s="23">
        <v>1</v>
      </c>
    </row>
    <row r="312" spans="2:13" ht="18">
      <c r="B312" s="62"/>
      <c r="C312" s="62"/>
      <c r="D312" s="62"/>
      <c r="E312" s="62"/>
      <c r="F312" s="62"/>
      <c r="G312" s="62"/>
      <c r="H312" s="62"/>
      <c r="M312" s="23">
        <v>1</v>
      </c>
    </row>
    <row r="313" spans="2:13" ht="18">
      <c r="B313" s="62"/>
      <c r="C313" s="62"/>
      <c r="D313" s="62"/>
      <c r="E313" s="62"/>
      <c r="F313" s="62"/>
      <c r="G313" s="62"/>
      <c r="H313" s="62"/>
      <c r="M313" s="23">
        <v>1</v>
      </c>
    </row>
    <row r="314" spans="2:13" ht="18">
      <c r="B314" s="62"/>
      <c r="C314" s="62"/>
      <c r="D314" s="62"/>
      <c r="E314" s="62"/>
      <c r="F314" s="62"/>
      <c r="G314" s="62"/>
      <c r="H314" s="62"/>
      <c r="M314" s="23">
        <v>1</v>
      </c>
    </row>
    <row r="315" spans="2:13" ht="18">
      <c r="B315" s="62"/>
      <c r="C315" s="62"/>
      <c r="D315" s="62"/>
      <c r="E315" s="62"/>
      <c r="F315" s="62"/>
      <c r="G315" s="62"/>
      <c r="H315" s="62"/>
      <c r="M315" s="23">
        <v>1</v>
      </c>
    </row>
    <row r="316" spans="2:13" ht="18">
      <c r="B316" s="62"/>
      <c r="C316" s="62"/>
      <c r="D316" s="62"/>
      <c r="E316" s="62"/>
      <c r="F316" s="62"/>
      <c r="G316" s="62"/>
      <c r="H316" s="62"/>
      <c r="M316" s="23">
        <v>1</v>
      </c>
    </row>
    <row r="317" spans="2:13" ht="18">
      <c r="B317" s="62"/>
      <c r="C317" s="62"/>
      <c r="D317" s="62"/>
      <c r="E317" s="62"/>
      <c r="F317" s="62"/>
      <c r="G317" s="62"/>
      <c r="H317" s="62"/>
      <c r="M317" s="23">
        <v>1</v>
      </c>
    </row>
    <row r="318" spans="2:13" ht="18">
      <c r="B318" s="62"/>
      <c r="C318" s="62"/>
      <c r="D318" s="62"/>
      <c r="E318" s="62"/>
      <c r="F318" s="62"/>
      <c r="G318" s="62"/>
      <c r="H318" s="62"/>
      <c r="M318" s="23">
        <v>1</v>
      </c>
    </row>
    <row r="319" spans="2:13" ht="18">
      <c r="B319" s="62"/>
      <c r="C319" s="62"/>
      <c r="D319" s="62"/>
      <c r="E319" s="62"/>
      <c r="F319" s="62"/>
      <c r="G319" s="62"/>
      <c r="H319" s="62"/>
      <c r="M319" s="23">
        <v>1</v>
      </c>
    </row>
    <row r="320" spans="2:13" ht="18">
      <c r="B320" s="62"/>
      <c r="C320" s="62"/>
      <c r="D320" s="62"/>
      <c r="E320" s="62"/>
      <c r="F320" s="62"/>
      <c r="G320" s="62"/>
      <c r="H320" s="62"/>
      <c r="M320" s="23">
        <v>1</v>
      </c>
    </row>
    <row r="321" spans="2:13" ht="18">
      <c r="B321" s="62"/>
      <c r="C321" s="62"/>
      <c r="D321" s="62"/>
      <c r="E321" s="62"/>
      <c r="F321" s="62"/>
      <c r="G321" s="62"/>
      <c r="H321" s="62"/>
      <c r="M321" s="23">
        <v>1</v>
      </c>
    </row>
    <row r="322" spans="2:13" ht="18">
      <c r="B322" s="62"/>
      <c r="C322" s="62"/>
      <c r="D322" s="62"/>
      <c r="E322" s="62"/>
      <c r="F322" s="62"/>
      <c r="G322" s="62"/>
      <c r="H322" s="62"/>
      <c r="M322" s="23">
        <v>1</v>
      </c>
    </row>
    <row r="323" spans="2:13" ht="18">
      <c r="B323" s="62"/>
      <c r="C323" s="62"/>
      <c r="D323" s="62"/>
      <c r="E323" s="62"/>
      <c r="F323" s="62"/>
      <c r="G323" s="62"/>
      <c r="H323" s="62"/>
      <c r="M323" s="23">
        <v>1</v>
      </c>
    </row>
    <row r="324" spans="2:13" ht="18">
      <c r="B324" s="62"/>
      <c r="C324" s="62"/>
      <c r="D324" s="62"/>
      <c r="E324" s="62"/>
      <c r="F324" s="62"/>
      <c r="G324" s="62"/>
      <c r="H324" s="62"/>
      <c r="M324" s="23">
        <v>1</v>
      </c>
    </row>
    <row r="325" spans="2:13" ht="18">
      <c r="B325" s="62"/>
      <c r="C325" s="62"/>
      <c r="D325" s="62"/>
      <c r="E325" s="62"/>
      <c r="F325" s="62"/>
      <c r="G325" s="62"/>
      <c r="H325" s="62"/>
      <c r="M325" s="23">
        <v>1</v>
      </c>
    </row>
    <row r="326" spans="2:13" ht="18">
      <c r="B326" s="62"/>
      <c r="C326" s="62"/>
      <c r="D326" s="62"/>
      <c r="E326" s="62"/>
      <c r="F326" s="62"/>
      <c r="G326" s="62"/>
      <c r="H326" s="62"/>
      <c r="M326" s="23">
        <v>1</v>
      </c>
    </row>
    <row r="327" spans="2:13" ht="18">
      <c r="B327" s="62"/>
      <c r="C327" s="62"/>
      <c r="D327" s="62"/>
      <c r="E327" s="62"/>
      <c r="F327" s="62"/>
      <c r="G327" s="62"/>
      <c r="H327" s="62"/>
      <c r="M327" s="23">
        <v>1</v>
      </c>
    </row>
    <row r="328" spans="2:13" ht="18">
      <c r="B328" s="62"/>
      <c r="C328" s="62"/>
      <c r="D328" s="62"/>
      <c r="E328" s="62"/>
      <c r="F328" s="62"/>
      <c r="G328" s="62"/>
      <c r="H328" s="62"/>
      <c r="M328" s="23">
        <v>1</v>
      </c>
    </row>
    <row r="329" spans="2:13" ht="18">
      <c r="B329" s="62"/>
      <c r="C329" s="62"/>
      <c r="D329" s="62"/>
      <c r="E329" s="62"/>
      <c r="F329" s="62"/>
      <c r="G329" s="62"/>
      <c r="H329" s="62"/>
      <c r="M329" s="23">
        <v>1</v>
      </c>
    </row>
    <row r="330" spans="2:13" ht="18">
      <c r="B330" s="62"/>
      <c r="C330" s="62"/>
      <c r="D330" s="62"/>
      <c r="E330" s="62"/>
      <c r="F330" s="62"/>
      <c r="G330" s="62"/>
      <c r="H330" s="62"/>
      <c r="M330" s="23">
        <v>1</v>
      </c>
    </row>
    <row r="331" spans="2:13" ht="18">
      <c r="B331" s="62"/>
      <c r="C331" s="62"/>
      <c r="D331" s="62"/>
      <c r="E331" s="62"/>
      <c r="F331" s="62"/>
      <c r="G331" s="62"/>
      <c r="H331" s="62"/>
      <c r="M331" s="23">
        <v>1</v>
      </c>
    </row>
    <row r="332" spans="2:13" ht="18">
      <c r="B332" s="62"/>
      <c r="C332" s="62"/>
      <c r="D332" s="62"/>
      <c r="E332" s="62"/>
      <c r="F332" s="62"/>
      <c r="G332" s="62"/>
      <c r="H332" s="62"/>
      <c r="M332" s="23">
        <v>1</v>
      </c>
    </row>
    <row r="333" spans="2:13" ht="18">
      <c r="B333" s="62"/>
      <c r="C333" s="62"/>
      <c r="D333" s="62"/>
      <c r="E333" s="62"/>
      <c r="F333" s="62"/>
      <c r="G333" s="62"/>
      <c r="H333" s="62"/>
      <c r="M333" s="23">
        <v>1</v>
      </c>
    </row>
    <row r="334" spans="2:13" ht="18">
      <c r="B334" s="62"/>
      <c r="C334" s="62"/>
      <c r="D334" s="62"/>
      <c r="E334" s="62"/>
      <c r="F334" s="62"/>
      <c r="G334" s="62"/>
      <c r="H334" s="62"/>
      <c r="M334" s="23">
        <v>1</v>
      </c>
    </row>
    <row r="335" spans="2:13" ht="18">
      <c r="B335" s="62"/>
      <c r="C335" s="62"/>
      <c r="D335" s="62"/>
      <c r="E335" s="62"/>
      <c r="F335" s="62"/>
      <c r="G335" s="62"/>
      <c r="H335" s="62"/>
      <c r="M335" s="23">
        <v>1</v>
      </c>
    </row>
    <row r="336" spans="2:13" ht="18">
      <c r="B336" s="62"/>
      <c r="C336" s="62"/>
      <c r="D336" s="62"/>
      <c r="E336" s="62"/>
      <c r="F336" s="62"/>
      <c r="G336" s="62"/>
      <c r="H336" s="62"/>
      <c r="M336" s="23">
        <v>1</v>
      </c>
    </row>
    <row r="337" spans="2:13" ht="18">
      <c r="B337" s="62"/>
      <c r="C337" s="62"/>
      <c r="D337" s="62"/>
      <c r="E337" s="62"/>
      <c r="F337" s="62"/>
      <c r="G337" s="62"/>
      <c r="H337" s="62"/>
      <c r="M337" s="23">
        <v>1</v>
      </c>
    </row>
    <row r="338" spans="2:13" ht="18">
      <c r="B338" s="62"/>
      <c r="C338" s="62"/>
      <c r="D338" s="62"/>
      <c r="E338" s="62"/>
      <c r="F338" s="62"/>
      <c r="G338" s="62"/>
      <c r="H338" s="62"/>
      <c r="M338" s="23">
        <v>1</v>
      </c>
    </row>
    <row r="339" spans="2:13" ht="18">
      <c r="B339" s="62"/>
      <c r="C339" s="62"/>
      <c r="D339" s="62"/>
      <c r="E339" s="62"/>
      <c r="F339" s="62"/>
      <c r="G339" s="62"/>
      <c r="H339" s="62"/>
      <c r="M339" s="23">
        <v>1</v>
      </c>
    </row>
    <row r="340" spans="2:13" ht="18">
      <c r="B340" s="62"/>
      <c r="C340" s="62"/>
      <c r="D340" s="62"/>
      <c r="E340" s="62"/>
      <c r="F340" s="62"/>
      <c r="G340" s="62"/>
      <c r="H340" s="62"/>
      <c r="M340" s="23">
        <v>1</v>
      </c>
    </row>
    <row r="341" spans="2:13" ht="18">
      <c r="B341" s="62"/>
      <c r="C341" s="62"/>
      <c r="D341" s="62"/>
      <c r="E341" s="62"/>
      <c r="F341" s="62"/>
      <c r="G341" s="62"/>
      <c r="H341" s="62"/>
      <c r="M341" s="23">
        <v>1</v>
      </c>
    </row>
    <row r="342" spans="2:13" ht="18">
      <c r="B342" s="62"/>
      <c r="C342" s="62"/>
      <c r="D342" s="62"/>
      <c r="E342" s="62"/>
      <c r="F342" s="62"/>
      <c r="G342" s="62"/>
      <c r="H342" s="62"/>
      <c r="M342" s="23">
        <v>1</v>
      </c>
    </row>
    <row r="343" spans="2:13" ht="18">
      <c r="B343" s="62"/>
      <c r="C343" s="62"/>
      <c r="D343" s="62"/>
      <c r="E343" s="62"/>
      <c r="F343" s="62"/>
      <c r="G343" s="62"/>
      <c r="H343" s="62"/>
      <c r="M343" s="23">
        <v>1</v>
      </c>
    </row>
    <row r="344" spans="2:13" ht="18">
      <c r="B344" s="62"/>
      <c r="C344" s="62"/>
      <c r="D344" s="62"/>
      <c r="E344" s="62"/>
      <c r="F344" s="62"/>
      <c r="G344" s="62"/>
      <c r="H344" s="62"/>
      <c r="M344" s="23">
        <v>1</v>
      </c>
    </row>
    <row r="345" spans="2:13" ht="18">
      <c r="B345" s="62"/>
      <c r="C345" s="62"/>
      <c r="D345" s="62"/>
      <c r="E345" s="62"/>
      <c r="F345" s="62"/>
      <c r="G345" s="62"/>
      <c r="H345" s="62"/>
      <c r="M345" s="23">
        <v>1</v>
      </c>
    </row>
    <row r="346" spans="2:13" ht="18">
      <c r="B346" s="62"/>
      <c r="C346" s="62"/>
      <c r="D346" s="62"/>
      <c r="E346" s="62"/>
      <c r="F346" s="62"/>
      <c r="G346" s="62"/>
      <c r="H346" s="62"/>
      <c r="M346" s="23">
        <v>1</v>
      </c>
    </row>
    <row r="347" spans="2:13" ht="18">
      <c r="B347" s="62"/>
      <c r="C347" s="62"/>
      <c r="D347" s="62"/>
      <c r="E347" s="62"/>
      <c r="F347" s="62"/>
      <c r="G347" s="62"/>
      <c r="H347" s="62"/>
      <c r="M347" s="23">
        <v>1</v>
      </c>
    </row>
    <row r="348" spans="2:13" ht="18">
      <c r="B348" s="62"/>
      <c r="C348" s="62"/>
      <c r="D348" s="62"/>
      <c r="E348" s="62"/>
      <c r="F348" s="62"/>
      <c r="G348" s="62"/>
      <c r="H348" s="62"/>
      <c r="M348" s="23">
        <v>1</v>
      </c>
    </row>
    <row r="349" spans="2:13" ht="27.75" thickBot="1">
      <c r="B349" s="32" t="s">
        <v>3</v>
      </c>
      <c r="C349" s="32" t="s">
        <v>3</v>
      </c>
      <c r="D349" s="32" t="s">
        <v>3</v>
      </c>
      <c r="E349" s="33" t="s">
        <v>3</v>
      </c>
      <c r="F349" s="33" t="s">
        <v>3</v>
      </c>
      <c r="G349" s="33" t="s">
        <v>3</v>
      </c>
      <c r="H349" s="33" t="s">
        <v>3</v>
      </c>
      <c r="M349" s="23" t="s">
        <v>3</v>
      </c>
    </row>
    <row r="350" spans="2:13" ht="13.5" thickTop="1"/>
  </sheetData>
  <sheetProtection sheet="1" objects="1" scenarios="1" selectLockedCells="1"/>
  <customSheetViews>
    <customSheetView guid="{F92CD80A-2F20-447E-84B4-C32E1E2FE9A3}" showGridLines="0" showRowCol="0">
      <pane ySplit="7" topLeftCell="A187" activePane="bottomLeft" state="frozen"/>
      <selection pane="bottomLeft" activeCell="I2" sqref="I2"/>
      <pageMargins left="0.7" right="0.7" top="0.75" bottom="0.75" header="0.3" footer="0.3"/>
    </customSheetView>
    <customSheetView guid="{56AFE396-18B0-4AF5-AE05-5CBE92BF4893}" showGridLines="0" showRowCol="0">
      <pane ySplit="8" topLeftCell="A13" activePane="bottomLeft" state="frozen"/>
      <selection pane="bottomLeft" activeCell="I2" sqref="I2"/>
      <pageMargins left="0.7" right="0.7" top="0.75" bottom="0.75" header="0.3" footer="0.3"/>
    </customSheetView>
    <customSheetView guid="{79B4DA94-8F3B-455B-B3D6-7A15488FD419}" showGridLines="0" showRowCol="0">
      <pane ySplit="8" topLeftCell="A187" activePane="bottomLeft" state="frozen"/>
      <selection pane="bottomLeft" activeCell="I2" sqref="I2"/>
      <pageMargins left="0.7" right="0.7" top="0.75" bottom="0.75" header="0.3" footer="0.3"/>
    </customSheetView>
    <customSheetView guid="{4EA0FCF4-4E92-4FEF-BBB1-FFCF2D2846A6}" showGridLines="0" showRowCol="0">
      <pane ySplit="8" topLeftCell="A39" activePane="bottomLeft" state="frozen"/>
      <selection pane="bottomLeft" activeCell="I2" sqref="I2"/>
      <pageMargins left="0.7" right="0.7" top="0.75" bottom="0.75" header="0.3" footer="0.3"/>
    </customSheetView>
  </customSheetViews>
  <mergeCells count="5">
    <mergeCell ref="N9:O9"/>
    <mergeCell ref="P8:R8"/>
    <mergeCell ref="S8:U8"/>
    <mergeCell ref="V8:X8"/>
    <mergeCell ref="Y8:AA8"/>
  </mergeCells>
  <dataValidations count="4">
    <dataValidation type="list" allowBlank="1" showDropDown="1" showInputMessage="1" showErrorMessage="1" sqref="D9:D348">
      <formula1>$O$10:$O$29</formula1>
    </dataValidation>
    <dataValidation type="list" allowBlank="1" showDropDown="1" showInputMessage="1" showErrorMessage="1" sqref="C9:C348">
      <formula1>$O$32:$O$48</formula1>
    </dataValidation>
    <dataValidation type="list" allowBlank="1" showDropDown="1" showInputMessage="1" showErrorMessage="1" sqref="B9:B348">
      <formula1>$C$6</formula1>
    </dataValidation>
    <dataValidation allowBlank="1" showInputMessage="1" showErrorMessage="1" errorTitle="Dato no valido" error="El valor esta fuera de rango [0,30] o No es un numero" sqref="E9:H348"/>
  </dataValidations>
  <hyperlinks>
    <hyperlink ref="I3" location="Apure!A1" display="1 Apure"/>
    <hyperlink ref="I4" location="Bolivar!A1" display="2 Bolivar"/>
    <hyperlink ref="I5" location="'Delta Amacuro'!A1" display="3 Delta Amacuro"/>
    <hyperlink ref="I2" location="PPrincipal!A1" display="* Pagina Principal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44"/>
  <sheetViews>
    <sheetView tabSelected="1" topLeftCell="A5" workbookViewId="0">
      <selection activeCell="A5" sqref="A1:XFD1048576"/>
    </sheetView>
  </sheetViews>
  <sheetFormatPr baseColWidth="10" defaultColWidth="15.7109375" defaultRowHeight="22.5" customHeight="1"/>
  <cols>
    <col min="1" max="16384" width="15.7109375" style="63"/>
  </cols>
  <sheetData>
    <row r="1" spans="1:10" ht="15" customHeight="1">
      <c r="A1" s="63" t="s">
        <v>76</v>
      </c>
      <c r="J1" s="96"/>
    </row>
    <row r="2" spans="1:10" ht="15" customHeight="1">
      <c r="J2" s="95" t="s">
        <v>39</v>
      </c>
    </row>
    <row r="3" spans="1:10" ht="15" customHeight="1">
      <c r="J3" s="98" t="s">
        <v>64</v>
      </c>
    </row>
    <row r="4" spans="1:10" ht="15" customHeight="1">
      <c r="J4" s="118" t="s">
        <v>61</v>
      </c>
    </row>
    <row r="5" spans="1:10" ht="15" customHeight="1">
      <c r="G5" s="66"/>
      <c r="J5" s="119" t="s">
        <v>62</v>
      </c>
    </row>
    <row r="6" spans="1:10" ht="15" customHeight="1">
      <c r="A6" s="175" t="s">
        <v>29</v>
      </c>
      <c r="B6" s="175"/>
      <c r="C6" s="175"/>
      <c r="D6" s="175"/>
      <c r="E6" s="175"/>
      <c r="F6" s="175"/>
    </row>
    <row r="25" spans="2:7" ht="22.5" customHeight="1">
      <c r="B25" s="175"/>
      <c r="C25" s="175"/>
      <c r="D25" s="175"/>
      <c r="E25" s="175"/>
      <c r="F25" s="175"/>
      <c r="G25" s="175"/>
    </row>
    <row r="44" spans="7:7" ht="22.5" customHeight="1">
      <c r="G44" s="66"/>
    </row>
  </sheetData>
  <customSheetViews>
    <customSheetView guid="{F92CD80A-2F20-447E-84B4-C32E1E2FE9A3}" topLeftCell="A5">
      <selection activeCell="A5" sqref="A1:XFD1048576"/>
      <pageMargins left="0.7" right="0.7" top="0.75" bottom="0.75" header="0.3" footer="0.3"/>
    </customSheetView>
    <customSheetView guid="{56AFE396-18B0-4AF5-AE05-5CBE92BF4893}" showPageBreaks="1" showGridLines="0" showRowCol="0">
      <selection activeCell="J4" sqref="J4"/>
      <pageMargins left="0.70866141732283472" right="0.70866141732283472" top="0.74803149606299213" bottom="0.74803149606299213" header="0.31496062992125984" footer="0.31496062992125984"/>
      <pageSetup scale="49" orientation="landscape" verticalDpi="0" r:id="rId1"/>
    </customSheetView>
    <customSheetView guid="{79B4DA94-8F3B-455B-B3D6-7A15488FD419}" showGridLines="0" showRowCol="0">
      <pageMargins left="0.7" right="0.7" top="0.75" bottom="0.75" header="0.3" footer="0.3"/>
    </customSheetView>
    <customSheetView guid="{4EA0FCF4-4E92-4FEF-BBB1-FFCF2D2846A6}" showGridLines="0" showRowCol="0">
      <pageMargins left="0.7" right="0.7" top="0.75" bottom="0.75" header="0.3" footer="0.3"/>
    </customSheetView>
  </customSheetViews>
  <mergeCells count="2">
    <mergeCell ref="A6:F6"/>
    <mergeCell ref="B25:G25"/>
  </mergeCells>
  <hyperlinks>
    <hyperlink ref="J2" location="PPrincipal!A1" display="* Pagina Principal"/>
    <hyperlink ref="J4" location="GBolivar!A1" display="Graficos de Bolivar"/>
    <hyperlink ref="J5" location="'GDelta Amacuro'!A1" display="Graficos de Delta Amacuro"/>
    <hyperlink ref="J3" location="GApure!A1" display="Graficos de Apure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J32"/>
  <sheetViews>
    <sheetView showGridLines="0" showRowColHeaders="0" workbookViewId="0">
      <selection activeCell="Y2" sqref="Y2"/>
    </sheetView>
  </sheetViews>
  <sheetFormatPr baseColWidth="10" defaultRowHeight="15" customHeight="1"/>
  <cols>
    <col min="1" max="1" width="1.7109375" style="78" customWidth="1"/>
    <col min="2" max="2" width="7.7109375" style="78" customWidth="1"/>
    <col min="3" max="13" width="5.5703125" style="78" customWidth="1"/>
    <col min="14" max="14" width="5.5703125" style="79" customWidth="1"/>
    <col min="15" max="22" width="5.5703125" style="78" customWidth="1"/>
    <col min="23" max="23" width="2.140625" style="78" customWidth="1"/>
    <col min="24" max="24" width="11.5703125" style="78" customWidth="1"/>
    <col min="25" max="25" width="11.28515625" style="78" customWidth="1"/>
    <col min="26" max="26" width="13.140625" style="78" customWidth="1"/>
    <col min="27" max="27" width="11" style="78" customWidth="1"/>
    <col min="28" max="28" width="6.5703125" style="78" customWidth="1"/>
    <col min="29" max="44" width="5" style="78" customWidth="1"/>
    <col min="45" max="45" width="3.140625" style="78" customWidth="1"/>
    <col min="46" max="48" width="11.28515625" style="78" customWidth="1"/>
    <col min="49" max="16384" width="11.42578125" style="78"/>
  </cols>
  <sheetData>
    <row r="1" spans="1:36" ht="31.5" customHeight="1">
      <c r="B1" s="176" t="s">
        <v>60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</row>
    <row r="2" spans="1:36" ht="15" customHeight="1">
      <c r="C2" s="107"/>
      <c r="G2" s="110"/>
      <c r="Y2" s="98" t="s">
        <v>39</v>
      </c>
      <c r="Z2" s="107"/>
      <c r="AA2" s="108"/>
    </row>
    <row r="3" spans="1:36" ht="15" customHeight="1">
      <c r="C3" s="107"/>
      <c r="G3" s="110"/>
      <c r="Y3" s="98" t="s">
        <v>58</v>
      </c>
      <c r="Z3" s="107"/>
      <c r="AA3" s="108"/>
    </row>
    <row r="4" spans="1:36" ht="15" customHeight="1">
      <c r="C4" s="107"/>
      <c r="G4" s="110"/>
      <c r="Y4" s="98" t="s">
        <v>57</v>
      </c>
      <c r="Z4" s="107"/>
      <c r="AA4" s="108"/>
    </row>
    <row r="5" spans="1:36" ht="15" customHeight="1">
      <c r="C5" s="107"/>
      <c r="G5" s="110"/>
      <c r="Y5" s="98" t="s">
        <v>43</v>
      </c>
      <c r="Z5" s="107"/>
      <c r="AA5" s="108"/>
    </row>
    <row r="6" spans="1:36" s="1" customFormat="1" ht="15" customHeight="1" thickBot="1">
      <c r="A6" s="67"/>
      <c r="B6" s="74"/>
      <c r="C6" s="74"/>
      <c r="E6" s="74"/>
      <c r="F6" s="74"/>
      <c r="G6" s="74"/>
      <c r="H6" s="74"/>
      <c r="I6" s="74"/>
      <c r="J6" s="74"/>
      <c r="K6" s="74"/>
      <c r="L6" s="78"/>
      <c r="M6" s="78"/>
      <c r="N6" s="79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</row>
    <row r="7" spans="1:36" s="75" customFormat="1" ht="15" customHeight="1">
      <c r="A7" s="68"/>
      <c r="B7" s="155" t="s">
        <v>0</v>
      </c>
      <c r="C7" s="99">
        <v>0.3125</v>
      </c>
      <c r="D7" s="100">
        <v>0.33333333333333298</v>
      </c>
      <c r="E7" s="100">
        <v>0.35416666666666702</v>
      </c>
      <c r="F7" s="100">
        <v>0.375</v>
      </c>
      <c r="G7" s="100">
        <v>0.39583333333333298</v>
      </c>
      <c r="H7" s="100">
        <v>0.41666666666666702</v>
      </c>
      <c r="I7" s="100">
        <v>0.4375</v>
      </c>
      <c r="J7" s="100">
        <v>0.45833333333333298</v>
      </c>
      <c r="K7" s="100">
        <v>0.47916666666666702</v>
      </c>
      <c r="L7" s="100">
        <v>0.5</v>
      </c>
      <c r="M7" s="100">
        <v>0.52083333333333304</v>
      </c>
      <c r="N7" s="100">
        <v>4.1666666666666664E-2</v>
      </c>
      <c r="O7" s="100">
        <v>6.25E-2</v>
      </c>
      <c r="P7" s="100">
        <v>8.3333333333333329E-2</v>
      </c>
      <c r="Q7" s="100">
        <v>0.104166666666667</v>
      </c>
      <c r="R7" s="100">
        <v>0.125</v>
      </c>
      <c r="S7" s="100">
        <v>0.14583333333333301</v>
      </c>
      <c r="T7" s="100">
        <v>0.16666666666666599</v>
      </c>
      <c r="U7" s="100">
        <v>0.187499999999999</v>
      </c>
      <c r="V7" s="101">
        <v>0.20833333333333201</v>
      </c>
      <c r="W7" s="78"/>
      <c r="X7" s="183" t="s">
        <v>36</v>
      </c>
      <c r="Y7" s="177" t="s">
        <v>20</v>
      </c>
      <c r="Z7" s="177" t="s">
        <v>21</v>
      </c>
      <c r="AA7" s="177" t="s">
        <v>22</v>
      </c>
      <c r="AB7" s="177" t="s">
        <v>9</v>
      </c>
    </row>
    <row r="8" spans="1:36" ht="15" customHeight="1" thickBot="1">
      <c r="B8" s="146" t="s">
        <v>2</v>
      </c>
      <c r="C8" s="112">
        <v>1</v>
      </c>
      <c r="D8" s="113">
        <v>2</v>
      </c>
      <c r="E8" s="113">
        <v>3</v>
      </c>
      <c r="F8" s="113">
        <v>4</v>
      </c>
      <c r="G8" s="113">
        <v>5</v>
      </c>
      <c r="H8" s="113">
        <v>6</v>
      </c>
      <c r="I8" s="113">
        <v>7</v>
      </c>
      <c r="J8" s="113">
        <v>8</v>
      </c>
      <c r="K8" s="113">
        <v>9</v>
      </c>
      <c r="L8" s="113">
        <v>10</v>
      </c>
      <c r="M8" s="113">
        <v>11</v>
      </c>
      <c r="N8" s="113">
        <v>12</v>
      </c>
      <c r="O8" s="113">
        <v>13</v>
      </c>
      <c r="P8" s="113">
        <v>14</v>
      </c>
      <c r="Q8" s="113">
        <v>15</v>
      </c>
      <c r="R8" s="113">
        <v>16</v>
      </c>
      <c r="S8" s="113">
        <v>17</v>
      </c>
      <c r="T8" s="113">
        <v>18</v>
      </c>
      <c r="U8" s="113">
        <v>19</v>
      </c>
      <c r="V8" s="117">
        <v>20</v>
      </c>
      <c r="X8" s="184"/>
      <c r="Y8" s="178"/>
      <c r="Z8" s="178"/>
      <c r="AA8" s="178"/>
      <c r="AB8" s="178"/>
      <c r="AE8" s="79"/>
      <c r="AF8" s="79"/>
      <c r="AG8" s="79"/>
      <c r="AH8" s="79"/>
      <c r="AI8" s="79"/>
      <c r="AJ8" s="79"/>
    </row>
    <row r="9" spans="1:36" ht="15" customHeight="1">
      <c r="B9" s="116">
        <v>48</v>
      </c>
      <c r="C9" s="86">
        <f t="shared" ref="C9:L18" si="0">SUMIFS(SumaGu,CentroGu,$B9,TurnoGu,C$8)</f>
        <v>1</v>
      </c>
      <c r="D9" s="86">
        <f t="shared" si="0"/>
        <v>0</v>
      </c>
      <c r="E9" s="86">
        <f t="shared" si="0"/>
        <v>0</v>
      </c>
      <c r="F9" s="86">
        <f t="shared" si="0"/>
        <v>0</v>
      </c>
      <c r="G9" s="86">
        <f t="shared" si="0"/>
        <v>0</v>
      </c>
      <c r="H9" s="86">
        <f t="shared" si="0"/>
        <v>0</v>
      </c>
      <c r="I9" s="86">
        <f t="shared" si="0"/>
        <v>0</v>
      </c>
      <c r="J9" s="86">
        <f t="shared" si="0"/>
        <v>0</v>
      </c>
      <c r="K9" s="86">
        <f t="shared" si="0"/>
        <v>0</v>
      </c>
      <c r="L9" s="86">
        <f t="shared" si="0"/>
        <v>0</v>
      </c>
      <c r="M9" s="86">
        <f t="shared" ref="M9:V18" si="1">SUMIFS(SumaGu,CentroGu,$B9,TurnoGu,M$8)</f>
        <v>0</v>
      </c>
      <c r="N9" s="86">
        <f t="shared" si="1"/>
        <v>0</v>
      </c>
      <c r="O9" s="86">
        <f t="shared" si="1"/>
        <v>0</v>
      </c>
      <c r="P9" s="86">
        <f t="shared" si="1"/>
        <v>0</v>
      </c>
      <c r="Q9" s="86">
        <f t="shared" si="1"/>
        <v>0</v>
      </c>
      <c r="R9" s="86">
        <f t="shared" si="1"/>
        <v>0</v>
      </c>
      <c r="S9" s="86">
        <f t="shared" si="1"/>
        <v>0</v>
      </c>
      <c r="T9" s="86">
        <f t="shared" si="1"/>
        <v>0</v>
      </c>
      <c r="U9" s="86">
        <f t="shared" si="1"/>
        <v>0</v>
      </c>
      <c r="V9" s="86">
        <f t="shared" si="1"/>
        <v>0</v>
      </c>
      <c r="X9" s="122" t="s">
        <v>70</v>
      </c>
      <c r="Y9" s="126">
        <f t="shared" ref="Y9:Y25" si="2">SUMIF(CentroGu,$B9,Willian_Lara)</f>
        <v>1</v>
      </c>
      <c r="Z9" s="126">
        <f t="shared" ref="Z9:Z25" si="3">SUMIF(CentroGu,$B9,Reinaldo_Armas)</f>
        <v>1</v>
      </c>
      <c r="AA9" s="126">
        <f t="shared" ref="AA9:AA25" si="4">SUMIF(CentroGu,$B9,Lenny_Manuit)</f>
        <v>1</v>
      </c>
      <c r="AB9" s="126">
        <f t="shared" ref="AB9:AB24" si="5">SUMIF(CentroGu,$B9,OtroGu)</f>
        <v>1</v>
      </c>
    </row>
    <row r="10" spans="1:36" ht="15" customHeight="1">
      <c r="B10" s="87">
        <v>49</v>
      </c>
      <c r="C10" s="86">
        <f t="shared" si="0"/>
        <v>1</v>
      </c>
      <c r="D10" s="86">
        <f t="shared" si="0"/>
        <v>1</v>
      </c>
      <c r="E10" s="86">
        <f t="shared" si="0"/>
        <v>1</v>
      </c>
      <c r="F10" s="86">
        <f t="shared" si="0"/>
        <v>1</v>
      </c>
      <c r="G10" s="86">
        <f t="shared" si="0"/>
        <v>1</v>
      </c>
      <c r="H10" s="86">
        <f t="shared" si="0"/>
        <v>1</v>
      </c>
      <c r="I10" s="86">
        <f t="shared" si="0"/>
        <v>1</v>
      </c>
      <c r="J10" s="86">
        <f t="shared" si="0"/>
        <v>1</v>
      </c>
      <c r="K10" s="86">
        <f t="shared" si="0"/>
        <v>1</v>
      </c>
      <c r="L10" s="86">
        <f t="shared" si="0"/>
        <v>1</v>
      </c>
      <c r="M10" s="86">
        <f t="shared" si="1"/>
        <v>1</v>
      </c>
      <c r="N10" s="86">
        <f t="shared" si="1"/>
        <v>1</v>
      </c>
      <c r="O10" s="86">
        <f t="shared" si="1"/>
        <v>1</v>
      </c>
      <c r="P10" s="86">
        <f t="shared" si="1"/>
        <v>1</v>
      </c>
      <c r="Q10" s="86">
        <f t="shared" si="1"/>
        <v>1</v>
      </c>
      <c r="R10" s="86">
        <f t="shared" si="1"/>
        <v>0</v>
      </c>
      <c r="S10" s="86">
        <f t="shared" si="1"/>
        <v>0</v>
      </c>
      <c r="T10" s="86">
        <f t="shared" si="1"/>
        <v>0</v>
      </c>
      <c r="U10" s="86">
        <f t="shared" si="1"/>
        <v>0</v>
      </c>
      <c r="V10" s="86">
        <f t="shared" si="1"/>
        <v>0</v>
      </c>
      <c r="X10" s="123" t="s">
        <v>70</v>
      </c>
      <c r="Y10" s="128">
        <f t="shared" si="2"/>
        <v>173</v>
      </c>
      <c r="Z10" s="128">
        <f t="shared" si="3"/>
        <v>57</v>
      </c>
      <c r="AA10" s="128">
        <f t="shared" si="4"/>
        <v>99</v>
      </c>
      <c r="AB10" s="128">
        <f t="shared" si="5"/>
        <v>7</v>
      </c>
    </row>
    <row r="11" spans="1:36" ht="15" customHeight="1">
      <c r="B11" s="87">
        <v>50</v>
      </c>
      <c r="C11" s="86">
        <f t="shared" si="0"/>
        <v>0</v>
      </c>
      <c r="D11" s="86">
        <f t="shared" si="0"/>
        <v>1</v>
      </c>
      <c r="E11" s="86">
        <f t="shared" si="0"/>
        <v>0</v>
      </c>
      <c r="F11" s="86">
        <f t="shared" si="0"/>
        <v>1</v>
      </c>
      <c r="G11" s="86">
        <f t="shared" si="0"/>
        <v>1</v>
      </c>
      <c r="H11" s="86">
        <f t="shared" si="0"/>
        <v>1</v>
      </c>
      <c r="I11" s="86">
        <f t="shared" si="0"/>
        <v>1</v>
      </c>
      <c r="J11" s="86">
        <f t="shared" si="0"/>
        <v>1</v>
      </c>
      <c r="K11" s="86">
        <f t="shared" si="0"/>
        <v>1</v>
      </c>
      <c r="L11" s="86">
        <f t="shared" si="0"/>
        <v>1</v>
      </c>
      <c r="M11" s="86">
        <f t="shared" si="1"/>
        <v>1</v>
      </c>
      <c r="N11" s="86">
        <f t="shared" si="1"/>
        <v>1</v>
      </c>
      <c r="O11" s="86">
        <f t="shared" si="1"/>
        <v>2</v>
      </c>
      <c r="P11" s="86">
        <f t="shared" si="1"/>
        <v>1</v>
      </c>
      <c r="Q11" s="86">
        <f t="shared" si="1"/>
        <v>1</v>
      </c>
      <c r="R11" s="86">
        <f t="shared" si="1"/>
        <v>0</v>
      </c>
      <c r="S11" s="86">
        <f t="shared" si="1"/>
        <v>0</v>
      </c>
      <c r="T11" s="86">
        <f t="shared" si="1"/>
        <v>0</v>
      </c>
      <c r="U11" s="86">
        <f t="shared" si="1"/>
        <v>0</v>
      </c>
      <c r="V11" s="86">
        <f t="shared" si="1"/>
        <v>0</v>
      </c>
      <c r="X11" s="123" t="s">
        <v>70</v>
      </c>
      <c r="Y11" s="128">
        <f t="shared" si="2"/>
        <v>191</v>
      </c>
      <c r="Z11" s="128">
        <f t="shared" si="3"/>
        <v>117</v>
      </c>
      <c r="AA11" s="128">
        <f t="shared" si="4"/>
        <v>76</v>
      </c>
      <c r="AB11" s="128">
        <f t="shared" si="5"/>
        <v>5</v>
      </c>
    </row>
    <row r="12" spans="1:36" ht="15" customHeight="1">
      <c r="B12" s="87">
        <v>51</v>
      </c>
      <c r="C12" s="86">
        <f t="shared" si="0"/>
        <v>0</v>
      </c>
      <c r="D12" s="86">
        <f t="shared" si="0"/>
        <v>0</v>
      </c>
      <c r="E12" s="86">
        <f t="shared" si="0"/>
        <v>0</v>
      </c>
      <c r="F12" s="86">
        <f t="shared" si="0"/>
        <v>0</v>
      </c>
      <c r="G12" s="86">
        <f t="shared" si="0"/>
        <v>1</v>
      </c>
      <c r="H12" s="86">
        <f t="shared" si="0"/>
        <v>1</v>
      </c>
      <c r="I12" s="86">
        <f t="shared" si="0"/>
        <v>0</v>
      </c>
      <c r="J12" s="86">
        <f t="shared" si="0"/>
        <v>1</v>
      </c>
      <c r="K12" s="86">
        <f t="shared" si="0"/>
        <v>1</v>
      </c>
      <c r="L12" s="86">
        <f t="shared" si="0"/>
        <v>1</v>
      </c>
      <c r="M12" s="86">
        <f t="shared" si="1"/>
        <v>1</v>
      </c>
      <c r="N12" s="86">
        <f t="shared" si="1"/>
        <v>1</v>
      </c>
      <c r="O12" s="86">
        <f t="shared" si="1"/>
        <v>1</v>
      </c>
      <c r="P12" s="86">
        <f t="shared" si="1"/>
        <v>1</v>
      </c>
      <c r="Q12" s="86">
        <f t="shared" si="1"/>
        <v>1</v>
      </c>
      <c r="R12" s="86">
        <f t="shared" si="1"/>
        <v>0</v>
      </c>
      <c r="S12" s="86">
        <f t="shared" si="1"/>
        <v>0</v>
      </c>
      <c r="T12" s="86">
        <f t="shared" si="1"/>
        <v>0</v>
      </c>
      <c r="U12" s="86">
        <f t="shared" si="1"/>
        <v>0</v>
      </c>
      <c r="V12" s="86">
        <f t="shared" si="1"/>
        <v>0</v>
      </c>
      <c r="X12" s="123" t="s">
        <v>70</v>
      </c>
      <c r="Y12" s="128">
        <f t="shared" si="2"/>
        <v>167</v>
      </c>
      <c r="Z12" s="128">
        <f t="shared" si="3"/>
        <v>39</v>
      </c>
      <c r="AA12" s="128">
        <f t="shared" si="4"/>
        <v>33</v>
      </c>
      <c r="AB12" s="128">
        <f t="shared" si="5"/>
        <v>4</v>
      </c>
    </row>
    <row r="13" spans="1:36" ht="15" customHeight="1">
      <c r="B13" s="87">
        <v>52</v>
      </c>
      <c r="C13" s="86">
        <f t="shared" si="0"/>
        <v>1</v>
      </c>
      <c r="D13" s="86">
        <f t="shared" si="0"/>
        <v>0</v>
      </c>
      <c r="E13" s="86">
        <f t="shared" si="0"/>
        <v>0</v>
      </c>
      <c r="F13" s="86">
        <f t="shared" si="0"/>
        <v>0</v>
      </c>
      <c r="G13" s="86">
        <f t="shared" si="0"/>
        <v>0</v>
      </c>
      <c r="H13" s="86">
        <f t="shared" si="0"/>
        <v>0</v>
      </c>
      <c r="I13" s="86">
        <f t="shared" si="0"/>
        <v>0</v>
      </c>
      <c r="J13" s="86">
        <f t="shared" si="0"/>
        <v>0</v>
      </c>
      <c r="K13" s="86">
        <f t="shared" si="0"/>
        <v>0</v>
      </c>
      <c r="L13" s="86">
        <f t="shared" si="0"/>
        <v>1</v>
      </c>
      <c r="M13" s="86">
        <f t="shared" si="1"/>
        <v>1</v>
      </c>
      <c r="N13" s="86">
        <f t="shared" si="1"/>
        <v>1</v>
      </c>
      <c r="O13" s="86">
        <f t="shared" si="1"/>
        <v>1</v>
      </c>
      <c r="P13" s="86">
        <f t="shared" si="1"/>
        <v>1</v>
      </c>
      <c r="Q13" s="86">
        <f t="shared" si="1"/>
        <v>0</v>
      </c>
      <c r="R13" s="86">
        <f t="shared" si="1"/>
        <v>0</v>
      </c>
      <c r="S13" s="86">
        <f t="shared" si="1"/>
        <v>0</v>
      </c>
      <c r="T13" s="86">
        <f t="shared" si="1"/>
        <v>0</v>
      </c>
      <c r="U13" s="86">
        <f t="shared" si="1"/>
        <v>0</v>
      </c>
      <c r="V13" s="86">
        <f t="shared" si="1"/>
        <v>0</v>
      </c>
      <c r="X13" s="123" t="s">
        <v>71</v>
      </c>
      <c r="Y13" s="128">
        <f t="shared" si="2"/>
        <v>72</v>
      </c>
      <c r="Z13" s="128">
        <f t="shared" si="3"/>
        <v>14</v>
      </c>
      <c r="AA13" s="128">
        <f t="shared" si="4"/>
        <v>53</v>
      </c>
      <c r="AB13" s="128">
        <f t="shared" si="5"/>
        <v>4</v>
      </c>
    </row>
    <row r="14" spans="1:36" ht="15" customHeight="1">
      <c r="B14" s="87">
        <v>53</v>
      </c>
      <c r="C14" s="86">
        <f t="shared" si="0"/>
        <v>1</v>
      </c>
      <c r="D14" s="86">
        <f t="shared" si="0"/>
        <v>1</v>
      </c>
      <c r="E14" s="86">
        <f t="shared" si="0"/>
        <v>1</v>
      </c>
      <c r="F14" s="86">
        <f t="shared" si="0"/>
        <v>1</v>
      </c>
      <c r="G14" s="86">
        <f t="shared" si="0"/>
        <v>1</v>
      </c>
      <c r="H14" s="86">
        <f t="shared" si="0"/>
        <v>1</v>
      </c>
      <c r="I14" s="86">
        <f t="shared" si="0"/>
        <v>1</v>
      </c>
      <c r="J14" s="86">
        <f t="shared" si="0"/>
        <v>1</v>
      </c>
      <c r="K14" s="86">
        <f t="shared" si="0"/>
        <v>1</v>
      </c>
      <c r="L14" s="86">
        <f t="shared" si="0"/>
        <v>1</v>
      </c>
      <c r="M14" s="86">
        <f t="shared" si="1"/>
        <v>1</v>
      </c>
      <c r="N14" s="86">
        <f t="shared" si="1"/>
        <v>1</v>
      </c>
      <c r="O14" s="86">
        <f t="shared" si="1"/>
        <v>1</v>
      </c>
      <c r="P14" s="86">
        <f t="shared" si="1"/>
        <v>1</v>
      </c>
      <c r="Q14" s="86">
        <f t="shared" si="1"/>
        <v>1</v>
      </c>
      <c r="R14" s="86">
        <f t="shared" si="1"/>
        <v>1</v>
      </c>
      <c r="S14" s="86">
        <f t="shared" si="1"/>
        <v>0</v>
      </c>
      <c r="T14" s="86">
        <f t="shared" si="1"/>
        <v>0</v>
      </c>
      <c r="U14" s="86">
        <f t="shared" si="1"/>
        <v>0</v>
      </c>
      <c r="V14" s="86">
        <f t="shared" si="1"/>
        <v>0</v>
      </c>
      <c r="X14" s="123" t="s">
        <v>71</v>
      </c>
      <c r="Y14" s="128">
        <f t="shared" si="2"/>
        <v>226</v>
      </c>
      <c r="Z14" s="128">
        <f t="shared" si="3"/>
        <v>33</v>
      </c>
      <c r="AA14" s="128">
        <f t="shared" si="4"/>
        <v>141</v>
      </c>
      <c r="AB14" s="128">
        <f t="shared" si="5"/>
        <v>0</v>
      </c>
    </row>
    <row r="15" spans="1:36" ht="15" customHeight="1">
      <c r="B15" s="87">
        <v>54</v>
      </c>
      <c r="C15" s="86">
        <f t="shared" si="0"/>
        <v>1</v>
      </c>
      <c r="D15" s="86">
        <f t="shared" si="0"/>
        <v>0</v>
      </c>
      <c r="E15" s="86">
        <f t="shared" si="0"/>
        <v>0</v>
      </c>
      <c r="F15" s="86">
        <f t="shared" si="0"/>
        <v>1</v>
      </c>
      <c r="G15" s="86">
        <f t="shared" si="0"/>
        <v>1</v>
      </c>
      <c r="H15" s="86">
        <f t="shared" si="0"/>
        <v>2</v>
      </c>
      <c r="I15" s="86">
        <f t="shared" si="0"/>
        <v>1</v>
      </c>
      <c r="J15" s="86">
        <f t="shared" si="0"/>
        <v>1</v>
      </c>
      <c r="K15" s="86">
        <f t="shared" si="0"/>
        <v>1</v>
      </c>
      <c r="L15" s="86">
        <f t="shared" si="0"/>
        <v>1</v>
      </c>
      <c r="M15" s="86">
        <f t="shared" si="1"/>
        <v>1</v>
      </c>
      <c r="N15" s="86">
        <f t="shared" si="1"/>
        <v>1</v>
      </c>
      <c r="O15" s="86">
        <f t="shared" si="1"/>
        <v>1</v>
      </c>
      <c r="P15" s="86">
        <f t="shared" si="1"/>
        <v>1</v>
      </c>
      <c r="Q15" s="86">
        <f t="shared" si="1"/>
        <v>1</v>
      </c>
      <c r="R15" s="86">
        <f t="shared" si="1"/>
        <v>0</v>
      </c>
      <c r="S15" s="86">
        <f t="shared" si="1"/>
        <v>1</v>
      </c>
      <c r="T15" s="86">
        <f t="shared" si="1"/>
        <v>0</v>
      </c>
      <c r="U15" s="86">
        <f t="shared" si="1"/>
        <v>0</v>
      </c>
      <c r="V15" s="86">
        <f t="shared" si="1"/>
        <v>0</v>
      </c>
      <c r="X15" s="123" t="s">
        <v>71</v>
      </c>
      <c r="Y15" s="128">
        <f t="shared" si="2"/>
        <v>83</v>
      </c>
      <c r="Z15" s="128">
        <f t="shared" si="3"/>
        <v>16</v>
      </c>
      <c r="AA15" s="128">
        <f t="shared" si="4"/>
        <v>45</v>
      </c>
      <c r="AB15" s="128">
        <f t="shared" si="5"/>
        <v>1</v>
      </c>
    </row>
    <row r="16" spans="1:36" ht="15" customHeight="1">
      <c r="B16" s="87">
        <v>55</v>
      </c>
      <c r="C16" s="86">
        <f t="shared" si="0"/>
        <v>0</v>
      </c>
      <c r="D16" s="86">
        <f t="shared" si="0"/>
        <v>0</v>
      </c>
      <c r="E16" s="86">
        <f t="shared" si="0"/>
        <v>0</v>
      </c>
      <c r="F16" s="86">
        <f t="shared" si="0"/>
        <v>0</v>
      </c>
      <c r="G16" s="86">
        <f t="shared" si="0"/>
        <v>2</v>
      </c>
      <c r="H16" s="86">
        <f t="shared" si="0"/>
        <v>1</v>
      </c>
      <c r="I16" s="86">
        <f t="shared" si="0"/>
        <v>1</v>
      </c>
      <c r="J16" s="86">
        <f t="shared" si="0"/>
        <v>1</v>
      </c>
      <c r="K16" s="86">
        <f t="shared" si="0"/>
        <v>1</v>
      </c>
      <c r="L16" s="86">
        <f t="shared" si="0"/>
        <v>1</v>
      </c>
      <c r="M16" s="86">
        <f t="shared" si="1"/>
        <v>1</v>
      </c>
      <c r="N16" s="86">
        <f t="shared" si="1"/>
        <v>1</v>
      </c>
      <c r="O16" s="86">
        <f t="shared" si="1"/>
        <v>1</v>
      </c>
      <c r="P16" s="86">
        <f t="shared" si="1"/>
        <v>0</v>
      </c>
      <c r="Q16" s="86">
        <f t="shared" si="1"/>
        <v>0</v>
      </c>
      <c r="R16" s="86">
        <f t="shared" si="1"/>
        <v>0</v>
      </c>
      <c r="S16" s="86">
        <f t="shared" si="1"/>
        <v>0</v>
      </c>
      <c r="T16" s="86">
        <f t="shared" si="1"/>
        <v>0</v>
      </c>
      <c r="U16" s="86">
        <f t="shared" si="1"/>
        <v>0</v>
      </c>
      <c r="V16" s="86">
        <f t="shared" si="1"/>
        <v>0</v>
      </c>
      <c r="X16" s="123" t="s">
        <v>71</v>
      </c>
      <c r="Y16" s="128">
        <f t="shared" si="2"/>
        <v>162</v>
      </c>
      <c r="Z16" s="128">
        <f t="shared" si="3"/>
        <v>10</v>
      </c>
      <c r="AA16" s="128">
        <f t="shared" si="4"/>
        <v>73</v>
      </c>
      <c r="AB16" s="128">
        <f t="shared" si="5"/>
        <v>2</v>
      </c>
    </row>
    <row r="17" spans="2:28" ht="15" customHeight="1">
      <c r="B17" s="87">
        <v>56</v>
      </c>
      <c r="C17" s="86">
        <f t="shared" si="0"/>
        <v>1</v>
      </c>
      <c r="D17" s="86">
        <f t="shared" si="0"/>
        <v>0</v>
      </c>
      <c r="E17" s="86">
        <f t="shared" si="0"/>
        <v>0</v>
      </c>
      <c r="F17" s="86">
        <f t="shared" si="0"/>
        <v>1</v>
      </c>
      <c r="G17" s="86">
        <f t="shared" si="0"/>
        <v>1</v>
      </c>
      <c r="H17" s="86">
        <f t="shared" si="0"/>
        <v>0</v>
      </c>
      <c r="I17" s="86">
        <f t="shared" si="0"/>
        <v>0</v>
      </c>
      <c r="J17" s="86">
        <f t="shared" si="0"/>
        <v>1</v>
      </c>
      <c r="K17" s="86">
        <f t="shared" si="0"/>
        <v>1</v>
      </c>
      <c r="L17" s="86">
        <f t="shared" si="0"/>
        <v>1</v>
      </c>
      <c r="M17" s="86">
        <f t="shared" si="1"/>
        <v>1</v>
      </c>
      <c r="N17" s="86">
        <f t="shared" si="1"/>
        <v>1</v>
      </c>
      <c r="O17" s="86">
        <f t="shared" si="1"/>
        <v>1</v>
      </c>
      <c r="P17" s="86">
        <f t="shared" si="1"/>
        <v>1</v>
      </c>
      <c r="Q17" s="86">
        <f t="shared" si="1"/>
        <v>1</v>
      </c>
      <c r="R17" s="86">
        <f t="shared" si="1"/>
        <v>0</v>
      </c>
      <c r="S17" s="86">
        <f t="shared" si="1"/>
        <v>0</v>
      </c>
      <c r="T17" s="86">
        <f t="shared" si="1"/>
        <v>0</v>
      </c>
      <c r="U17" s="86">
        <f t="shared" si="1"/>
        <v>0</v>
      </c>
      <c r="V17" s="86">
        <f t="shared" si="1"/>
        <v>0</v>
      </c>
      <c r="X17" s="123" t="s">
        <v>72</v>
      </c>
      <c r="Y17" s="128">
        <f t="shared" si="2"/>
        <v>142</v>
      </c>
      <c r="Z17" s="128">
        <f t="shared" si="3"/>
        <v>47</v>
      </c>
      <c r="AA17" s="128">
        <f t="shared" si="4"/>
        <v>118</v>
      </c>
      <c r="AB17" s="128">
        <f t="shared" si="5"/>
        <v>9</v>
      </c>
    </row>
    <row r="18" spans="2:28" ht="15" customHeight="1">
      <c r="B18" s="87">
        <v>57</v>
      </c>
      <c r="C18" s="86">
        <f t="shared" si="0"/>
        <v>1</v>
      </c>
      <c r="D18" s="86">
        <f t="shared" si="0"/>
        <v>1</v>
      </c>
      <c r="E18" s="86">
        <f t="shared" si="0"/>
        <v>0</v>
      </c>
      <c r="F18" s="86">
        <f t="shared" si="0"/>
        <v>1</v>
      </c>
      <c r="G18" s="86">
        <f t="shared" si="0"/>
        <v>1</v>
      </c>
      <c r="H18" s="86">
        <f t="shared" si="0"/>
        <v>1</v>
      </c>
      <c r="I18" s="86">
        <f t="shared" si="0"/>
        <v>1</v>
      </c>
      <c r="J18" s="86">
        <f t="shared" si="0"/>
        <v>1</v>
      </c>
      <c r="K18" s="86">
        <f t="shared" si="0"/>
        <v>1</v>
      </c>
      <c r="L18" s="86">
        <f t="shared" si="0"/>
        <v>1</v>
      </c>
      <c r="M18" s="86">
        <f t="shared" si="1"/>
        <v>1</v>
      </c>
      <c r="N18" s="86">
        <f t="shared" si="1"/>
        <v>1</v>
      </c>
      <c r="O18" s="86">
        <f t="shared" si="1"/>
        <v>1</v>
      </c>
      <c r="P18" s="86">
        <f t="shared" si="1"/>
        <v>1</v>
      </c>
      <c r="Q18" s="86">
        <f t="shared" si="1"/>
        <v>0</v>
      </c>
      <c r="R18" s="86">
        <f t="shared" si="1"/>
        <v>0</v>
      </c>
      <c r="S18" s="86">
        <f t="shared" si="1"/>
        <v>0</v>
      </c>
      <c r="T18" s="86">
        <f t="shared" si="1"/>
        <v>0</v>
      </c>
      <c r="U18" s="86">
        <f t="shared" si="1"/>
        <v>0</v>
      </c>
      <c r="V18" s="86">
        <f t="shared" si="1"/>
        <v>0</v>
      </c>
      <c r="X18" s="123" t="s">
        <v>72</v>
      </c>
      <c r="Y18" s="128">
        <f t="shared" si="2"/>
        <v>118</v>
      </c>
      <c r="Z18" s="128">
        <f t="shared" si="3"/>
        <v>42</v>
      </c>
      <c r="AA18" s="128">
        <f t="shared" si="4"/>
        <v>59</v>
      </c>
      <c r="AB18" s="128">
        <f t="shared" si="5"/>
        <v>11</v>
      </c>
    </row>
    <row r="19" spans="2:28" ht="15" customHeight="1">
      <c r="B19" s="87">
        <v>58</v>
      </c>
      <c r="C19" s="86">
        <f t="shared" ref="C19:L25" si="6">SUMIFS(SumaGu,CentroGu,$B19,TurnoGu,C$8)</f>
        <v>0</v>
      </c>
      <c r="D19" s="86">
        <f t="shared" si="6"/>
        <v>0</v>
      </c>
      <c r="E19" s="86">
        <f t="shared" si="6"/>
        <v>0</v>
      </c>
      <c r="F19" s="86">
        <f t="shared" si="6"/>
        <v>1</v>
      </c>
      <c r="G19" s="86">
        <f t="shared" si="6"/>
        <v>2</v>
      </c>
      <c r="H19" s="86">
        <f t="shared" si="6"/>
        <v>2</v>
      </c>
      <c r="I19" s="86">
        <f t="shared" si="6"/>
        <v>2</v>
      </c>
      <c r="J19" s="86">
        <f t="shared" si="6"/>
        <v>2</v>
      </c>
      <c r="K19" s="86">
        <f t="shared" si="6"/>
        <v>2</v>
      </c>
      <c r="L19" s="86">
        <f t="shared" si="6"/>
        <v>2</v>
      </c>
      <c r="M19" s="86">
        <f t="shared" ref="M19:V25" si="7">SUMIFS(SumaGu,CentroGu,$B19,TurnoGu,M$8)</f>
        <v>2</v>
      </c>
      <c r="N19" s="86">
        <f t="shared" si="7"/>
        <v>2</v>
      </c>
      <c r="O19" s="86">
        <f t="shared" si="7"/>
        <v>3</v>
      </c>
      <c r="P19" s="86">
        <f t="shared" si="7"/>
        <v>2</v>
      </c>
      <c r="Q19" s="86">
        <f t="shared" si="7"/>
        <v>1</v>
      </c>
      <c r="R19" s="86">
        <f t="shared" si="7"/>
        <v>0</v>
      </c>
      <c r="S19" s="86">
        <f t="shared" si="7"/>
        <v>0</v>
      </c>
      <c r="T19" s="86">
        <f t="shared" si="7"/>
        <v>0</v>
      </c>
      <c r="U19" s="86">
        <f t="shared" si="7"/>
        <v>0</v>
      </c>
      <c r="V19" s="86">
        <f t="shared" si="7"/>
        <v>0</v>
      </c>
      <c r="X19" s="123" t="s">
        <v>73</v>
      </c>
      <c r="Y19" s="128">
        <f t="shared" si="2"/>
        <v>276</v>
      </c>
      <c r="Z19" s="128">
        <f t="shared" si="3"/>
        <v>116</v>
      </c>
      <c r="AA19" s="128">
        <f t="shared" si="4"/>
        <v>93</v>
      </c>
      <c r="AB19" s="128">
        <f t="shared" si="5"/>
        <v>0</v>
      </c>
    </row>
    <row r="20" spans="2:28" ht="15" customHeight="1">
      <c r="B20" s="87">
        <v>59</v>
      </c>
      <c r="C20" s="86">
        <f t="shared" si="6"/>
        <v>0</v>
      </c>
      <c r="D20" s="86">
        <f t="shared" si="6"/>
        <v>0</v>
      </c>
      <c r="E20" s="86">
        <f t="shared" si="6"/>
        <v>0</v>
      </c>
      <c r="F20" s="86">
        <f t="shared" si="6"/>
        <v>0</v>
      </c>
      <c r="G20" s="86">
        <f t="shared" si="6"/>
        <v>0</v>
      </c>
      <c r="H20" s="86">
        <f t="shared" si="6"/>
        <v>0</v>
      </c>
      <c r="I20" s="86">
        <f t="shared" si="6"/>
        <v>0</v>
      </c>
      <c r="J20" s="86">
        <f t="shared" si="6"/>
        <v>0</v>
      </c>
      <c r="K20" s="86">
        <f t="shared" si="6"/>
        <v>0</v>
      </c>
      <c r="L20" s="86">
        <f t="shared" si="6"/>
        <v>0</v>
      </c>
      <c r="M20" s="86">
        <f t="shared" si="7"/>
        <v>0</v>
      </c>
      <c r="N20" s="86">
        <f t="shared" si="7"/>
        <v>0</v>
      </c>
      <c r="O20" s="86">
        <f t="shared" si="7"/>
        <v>0</v>
      </c>
      <c r="P20" s="86">
        <f t="shared" si="7"/>
        <v>0</v>
      </c>
      <c r="Q20" s="86">
        <f t="shared" si="7"/>
        <v>0</v>
      </c>
      <c r="R20" s="86">
        <f t="shared" si="7"/>
        <v>0</v>
      </c>
      <c r="S20" s="86">
        <f t="shared" si="7"/>
        <v>0</v>
      </c>
      <c r="T20" s="86">
        <f t="shared" si="7"/>
        <v>0</v>
      </c>
      <c r="U20" s="86">
        <f t="shared" si="7"/>
        <v>0</v>
      </c>
      <c r="V20" s="86">
        <f t="shared" si="7"/>
        <v>0</v>
      </c>
      <c r="X20" s="123" t="s">
        <v>74</v>
      </c>
      <c r="Y20" s="128">
        <f t="shared" si="2"/>
        <v>0</v>
      </c>
      <c r="Z20" s="128">
        <f t="shared" si="3"/>
        <v>0</v>
      </c>
      <c r="AA20" s="128">
        <f t="shared" si="4"/>
        <v>0</v>
      </c>
      <c r="AB20" s="128">
        <f t="shared" si="5"/>
        <v>0</v>
      </c>
    </row>
    <row r="21" spans="2:28" ht="15" customHeight="1">
      <c r="B21" s="87">
        <v>60</v>
      </c>
      <c r="C21" s="86">
        <f t="shared" si="6"/>
        <v>1</v>
      </c>
      <c r="D21" s="86">
        <f t="shared" si="6"/>
        <v>1</v>
      </c>
      <c r="E21" s="86">
        <f t="shared" si="6"/>
        <v>1</v>
      </c>
      <c r="F21" s="86">
        <f t="shared" si="6"/>
        <v>0</v>
      </c>
      <c r="G21" s="86">
        <f t="shared" si="6"/>
        <v>1</v>
      </c>
      <c r="H21" s="86">
        <f t="shared" si="6"/>
        <v>1</v>
      </c>
      <c r="I21" s="86">
        <f t="shared" si="6"/>
        <v>1</v>
      </c>
      <c r="J21" s="86">
        <f t="shared" si="6"/>
        <v>1</v>
      </c>
      <c r="K21" s="86">
        <f t="shared" si="6"/>
        <v>1</v>
      </c>
      <c r="L21" s="86">
        <f t="shared" si="6"/>
        <v>1</v>
      </c>
      <c r="M21" s="86">
        <f t="shared" si="7"/>
        <v>1</v>
      </c>
      <c r="N21" s="86">
        <f t="shared" si="7"/>
        <v>1</v>
      </c>
      <c r="O21" s="86">
        <f t="shared" si="7"/>
        <v>1</v>
      </c>
      <c r="P21" s="86">
        <f t="shared" si="7"/>
        <v>1</v>
      </c>
      <c r="Q21" s="86">
        <f t="shared" si="7"/>
        <v>1</v>
      </c>
      <c r="R21" s="86">
        <f t="shared" si="7"/>
        <v>0</v>
      </c>
      <c r="S21" s="86">
        <f t="shared" si="7"/>
        <v>0</v>
      </c>
      <c r="T21" s="86">
        <f t="shared" si="7"/>
        <v>0</v>
      </c>
      <c r="U21" s="86">
        <f t="shared" si="7"/>
        <v>0</v>
      </c>
      <c r="V21" s="86">
        <f t="shared" si="7"/>
        <v>0</v>
      </c>
      <c r="X21" s="123" t="s">
        <v>74</v>
      </c>
      <c r="Y21" s="128">
        <f t="shared" si="2"/>
        <v>85</v>
      </c>
      <c r="Z21" s="128">
        <f t="shared" si="3"/>
        <v>2</v>
      </c>
      <c r="AA21" s="128">
        <f t="shared" si="4"/>
        <v>56</v>
      </c>
      <c r="AB21" s="128">
        <f t="shared" si="5"/>
        <v>1</v>
      </c>
    </row>
    <row r="22" spans="2:28" ht="15" customHeight="1">
      <c r="B22" s="87">
        <v>61</v>
      </c>
      <c r="C22" s="86">
        <f t="shared" si="6"/>
        <v>1</v>
      </c>
      <c r="D22" s="86">
        <f t="shared" si="6"/>
        <v>0</v>
      </c>
      <c r="E22" s="86">
        <f t="shared" si="6"/>
        <v>1</v>
      </c>
      <c r="F22" s="86">
        <f t="shared" si="6"/>
        <v>1</v>
      </c>
      <c r="G22" s="86">
        <f t="shared" si="6"/>
        <v>0</v>
      </c>
      <c r="H22" s="86">
        <f t="shared" si="6"/>
        <v>0</v>
      </c>
      <c r="I22" s="86">
        <f t="shared" si="6"/>
        <v>0</v>
      </c>
      <c r="J22" s="86">
        <f t="shared" si="6"/>
        <v>1</v>
      </c>
      <c r="K22" s="86">
        <f t="shared" si="6"/>
        <v>1</v>
      </c>
      <c r="L22" s="86">
        <f t="shared" si="6"/>
        <v>1</v>
      </c>
      <c r="M22" s="86">
        <f t="shared" si="7"/>
        <v>1</v>
      </c>
      <c r="N22" s="86">
        <f t="shared" si="7"/>
        <v>1</v>
      </c>
      <c r="O22" s="86">
        <f t="shared" si="7"/>
        <v>1</v>
      </c>
      <c r="P22" s="86">
        <f t="shared" si="7"/>
        <v>1</v>
      </c>
      <c r="Q22" s="86">
        <f t="shared" si="7"/>
        <v>1</v>
      </c>
      <c r="R22" s="86">
        <f t="shared" si="7"/>
        <v>1</v>
      </c>
      <c r="S22" s="86">
        <f t="shared" si="7"/>
        <v>0</v>
      </c>
      <c r="T22" s="86">
        <f t="shared" si="7"/>
        <v>0</v>
      </c>
      <c r="U22" s="86">
        <f t="shared" si="7"/>
        <v>0</v>
      </c>
      <c r="V22" s="86">
        <f t="shared" si="7"/>
        <v>0</v>
      </c>
      <c r="X22" s="123" t="s">
        <v>74</v>
      </c>
      <c r="Y22" s="128">
        <f t="shared" si="2"/>
        <v>108</v>
      </c>
      <c r="Z22" s="128">
        <f t="shared" si="3"/>
        <v>22</v>
      </c>
      <c r="AA22" s="128">
        <f t="shared" si="4"/>
        <v>115</v>
      </c>
      <c r="AB22" s="128">
        <f t="shared" si="5"/>
        <v>0</v>
      </c>
    </row>
    <row r="23" spans="2:28" ht="15" customHeight="1">
      <c r="B23" s="87">
        <v>62</v>
      </c>
      <c r="C23" s="86">
        <f t="shared" si="6"/>
        <v>0</v>
      </c>
      <c r="D23" s="86">
        <f t="shared" si="6"/>
        <v>1</v>
      </c>
      <c r="E23" s="86">
        <f t="shared" si="6"/>
        <v>0</v>
      </c>
      <c r="F23" s="86">
        <f t="shared" si="6"/>
        <v>0</v>
      </c>
      <c r="G23" s="86">
        <f t="shared" si="6"/>
        <v>0</v>
      </c>
      <c r="H23" s="86">
        <f t="shared" si="6"/>
        <v>0</v>
      </c>
      <c r="I23" s="86">
        <f t="shared" si="6"/>
        <v>0</v>
      </c>
      <c r="J23" s="86">
        <f t="shared" si="6"/>
        <v>0</v>
      </c>
      <c r="K23" s="86">
        <f t="shared" si="6"/>
        <v>0</v>
      </c>
      <c r="L23" s="86">
        <f t="shared" si="6"/>
        <v>0</v>
      </c>
      <c r="M23" s="86">
        <f t="shared" si="7"/>
        <v>0</v>
      </c>
      <c r="N23" s="86">
        <f t="shared" si="7"/>
        <v>0</v>
      </c>
      <c r="O23" s="86">
        <f t="shared" si="7"/>
        <v>0</v>
      </c>
      <c r="P23" s="86">
        <f t="shared" si="7"/>
        <v>0</v>
      </c>
      <c r="Q23" s="86">
        <f t="shared" si="7"/>
        <v>0</v>
      </c>
      <c r="R23" s="86">
        <f t="shared" si="7"/>
        <v>0</v>
      </c>
      <c r="S23" s="86">
        <f t="shared" si="7"/>
        <v>0</v>
      </c>
      <c r="T23" s="86">
        <f t="shared" si="7"/>
        <v>0</v>
      </c>
      <c r="U23" s="86">
        <f t="shared" si="7"/>
        <v>0</v>
      </c>
      <c r="V23" s="86">
        <f t="shared" si="7"/>
        <v>0</v>
      </c>
      <c r="X23" s="123" t="s">
        <v>74</v>
      </c>
      <c r="Y23" s="128">
        <f t="shared" si="2"/>
        <v>12</v>
      </c>
      <c r="Z23" s="128">
        <f t="shared" si="3"/>
        <v>2</v>
      </c>
      <c r="AA23" s="128">
        <f t="shared" si="4"/>
        <v>1</v>
      </c>
      <c r="AB23" s="128">
        <f t="shared" si="5"/>
        <v>0</v>
      </c>
    </row>
    <row r="24" spans="2:28" ht="15" customHeight="1">
      <c r="B24" s="87">
        <v>63</v>
      </c>
      <c r="C24" s="86">
        <f t="shared" si="6"/>
        <v>0</v>
      </c>
      <c r="D24" s="86">
        <f t="shared" si="6"/>
        <v>0</v>
      </c>
      <c r="E24" s="86">
        <f t="shared" si="6"/>
        <v>0</v>
      </c>
      <c r="F24" s="86">
        <f t="shared" si="6"/>
        <v>1</v>
      </c>
      <c r="G24" s="86">
        <f t="shared" si="6"/>
        <v>2</v>
      </c>
      <c r="H24" s="86">
        <f t="shared" si="6"/>
        <v>1</v>
      </c>
      <c r="I24" s="86">
        <f t="shared" si="6"/>
        <v>1</v>
      </c>
      <c r="J24" s="86">
        <f t="shared" si="6"/>
        <v>1</v>
      </c>
      <c r="K24" s="86">
        <f t="shared" si="6"/>
        <v>2</v>
      </c>
      <c r="L24" s="86">
        <f t="shared" si="6"/>
        <v>1</v>
      </c>
      <c r="M24" s="86">
        <f t="shared" si="7"/>
        <v>1</v>
      </c>
      <c r="N24" s="86">
        <f t="shared" si="7"/>
        <v>1</v>
      </c>
      <c r="O24" s="86">
        <f t="shared" si="7"/>
        <v>1</v>
      </c>
      <c r="P24" s="86">
        <f t="shared" si="7"/>
        <v>1</v>
      </c>
      <c r="Q24" s="86">
        <f t="shared" si="7"/>
        <v>1</v>
      </c>
      <c r="R24" s="86">
        <f t="shared" si="7"/>
        <v>0</v>
      </c>
      <c r="S24" s="86">
        <f t="shared" si="7"/>
        <v>0</v>
      </c>
      <c r="T24" s="86">
        <f t="shared" si="7"/>
        <v>0</v>
      </c>
      <c r="U24" s="86">
        <f t="shared" si="7"/>
        <v>0</v>
      </c>
      <c r="V24" s="86">
        <f t="shared" si="7"/>
        <v>0</v>
      </c>
      <c r="X24" s="123" t="s">
        <v>75</v>
      </c>
      <c r="Y24" s="128">
        <f t="shared" si="2"/>
        <v>176</v>
      </c>
      <c r="Z24" s="128">
        <f t="shared" si="3"/>
        <v>54</v>
      </c>
      <c r="AA24" s="128">
        <f t="shared" si="4"/>
        <v>98</v>
      </c>
      <c r="AB24" s="128">
        <f t="shared" si="5"/>
        <v>0</v>
      </c>
    </row>
    <row r="25" spans="2:28" ht="15" customHeight="1" thickBot="1">
      <c r="B25" s="88">
        <v>64</v>
      </c>
      <c r="C25" s="86">
        <f t="shared" si="6"/>
        <v>1</v>
      </c>
      <c r="D25" s="86">
        <f t="shared" si="6"/>
        <v>0</v>
      </c>
      <c r="E25" s="86">
        <f t="shared" si="6"/>
        <v>0</v>
      </c>
      <c r="F25" s="86">
        <f t="shared" si="6"/>
        <v>1</v>
      </c>
      <c r="G25" s="86">
        <f t="shared" si="6"/>
        <v>0</v>
      </c>
      <c r="H25" s="86">
        <f t="shared" si="6"/>
        <v>1</v>
      </c>
      <c r="I25" s="86">
        <f t="shared" si="6"/>
        <v>1</v>
      </c>
      <c r="J25" s="86">
        <f t="shared" si="6"/>
        <v>1</v>
      </c>
      <c r="K25" s="86">
        <f t="shared" si="6"/>
        <v>1</v>
      </c>
      <c r="L25" s="86">
        <f t="shared" si="6"/>
        <v>1</v>
      </c>
      <c r="M25" s="86">
        <f t="shared" si="7"/>
        <v>1</v>
      </c>
      <c r="N25" s="86">
        <f t="shared" si="7"/>
        <v>1</v>
      </c>
      <c r="O25" s="86">
        <f t="shared" si="7"/>
        <v>1</v>
      </c>
      <c r="P25" s="86">
        <f t="shared" si="7"/>
        <v>1</v>
      </c>
      <c r="Q25" s="86">
        <f t="shared" si="7"/>
        <v>1</v>
      </c>
      <c r="R25" s="86">
        <f t="shared" si="7"/>
        <v>0</v>
      </c>
      <c r="S25" s="86">
        <f t="shared" si="7"/>
        <v>0</v>
      </c>
      <c r="T25" s="86">
        <f t="shared" si="7"/>
        <v>0</v>
      </c>
      <c r="U25" s="86">
        <f t="shared" si="7"/>
        <v>0</v>
      </c>
      <c r="V25" s="86">
        <f t="shared" si="7"/>
        <v>0</v>
      </c>
      <c r="X25" s="124" t="s">
        <v>75</v>
      </c>
      <c r="Y25" s="132">
        <f t="shared" si="2"/>
        <v>98</v>
      </c>
      <c r="Z25" s="132">
        <f t="shared" si="3"/>
        <v>42</v>
      </c>
      <c r="AA25" s="132">
        <f t="shared" si="4"/>
        <v>45</v>
      </c>
      <c r="AB25" s="132">
        <f>SUMIF(CentroGu,$B25,Willian_Lara)</f>
        <v>98</v>
      </c>
    </row>
    <row r="26" spans="2:28" ht="15" customHeight="1" thickBot="1"/>
    <row r="27" spans="2:28" ht="15" customHeight="1">
      <c r="X27" s="150" t="s">
        <v>70</v>
      </c>
      <c r="Y27" s="144">
        <f t="shared" ref="Y27:AB32" si="8">SUMIF(MunicipiosGu,$X27,Y$9:Y$25)</f>
        <v>532</v>
      </c>
      <c r="Z27" s="144">
        <f t="shared" si="8"/>
        <v>214</v>
      </c>
      <c r="AA27" s="144">
        <f t="shared" si="8"/>
        <v>209</v>
      </c>
      <c r="AB27" s="145">
        <f t="shared" si="8"/>
        <v>17</v>
      </c>
    </row>
    <row r="28" spans="2:28" ht="15" customHeight="1">
      <c r="X28" s="151" t="s">
        <v>71</v>
      </c>
      <c r="Y28" s="80">
        <f t="shared" si="8"/>
        <v>543</v>
      </c>
      <c r="Z28" s="80">
        <f t="shared" si="8"/>
        <v>73</v>
      </c>
      <c r="AA28" s="80">
        <f t="shared" si="8"/>
        <v>312</v>
      </c>
      <c r="AB28" s="102">
        <f t="shared" si="8"/>
        <v>7</v>
      </c>
    </row>
    <row r="29" spans="2:28" ht="15" customHeight="1">
      <c r="X29" s="151" t="s">
        <v>72</v>
      </c>
      <c r="Y29" s="80">
        <f t="shared" si="8"/>
        <v>260</v>
      </c>
      <c r="Z29" s="80">
        <f t="shared" si="8"/>
        <v>89</v>
      </c>
      <c r="AA29" s="80">
        <f t="shared" si="8"/>
        <v>177</v>
      </c>
      <c r="AB29" s="102">
        <f t="shared" si="8"/>
        <v>20</v>
      </c>
    </row>
    <row r="30" spans="2:28" ht="15" customHeight="1">
      <c r="X30" s="151" t="s">
        <v>73</v>
      </c>
      <c r="Y30" s="80">
        <f t="shared" si="8"/>
        <v>276</v>
      </c>
      <c r="Z30" s="80">
        <f t="shared" si="8"/>
        <v>116</v>
      </c>
      <c r="AA30" s="80">
        <f t="shared" si="8"/>
        <v>93</v>
      </c>
      <c r="AB30" s="102">
        <f t="shared" si="8"/>
        <v>0</v>
      </c>
    </row>
    <row r="31" spans="2:28" ht="15" customHeight="1">
      <c r="X31" s="151" t="s">
        <v>74</v>
      </c>
      <c r="Y31" s="80">
        <f t="shared" si="8"/>
        <v>205</v>
      </c>
      <c r="Z31" s="80">
        <f t="shared" si="8"/>
        <v>26</v>
      </c>
      <c r="AA31" s="80">
        <f t="shared" si="8"/>
        <v>172</v>
      </c>
      <c r="AB31" s="102">
        <f t="shared" si="8"/>
        <v>1</v>
      </c>
    </row>
    <row r="32" spans="2:28" ht="15" customHeight="1" thickBot="1">
      <c r="X32" s="152" t="s">
        <v>75</v>
      </c>
      <c r="Y32" s="114">
        <f t="shared" si="8"/>
        <v>274</v>
      </c>
      <c r="Z32" s="114">
        <f t="shared" si="8"/>
        <v>96</v>
      </c>
      <c r="AA32" s="114">
        <f t="shared" si="8"/>
        <v>143</v>
      </c>
      <c r="AB32" s="115">
        <f t="shared" si="8"/>
        <v>98</v>
      </c>
    </row>
  </sheetData>
  <customSheetViews>
    <customSheetView guid="{F92CD80A-2F20-447E-84B4-C32E1E2FE9A3}" showGridLines="0" showRowCol="0">
      <selection activeCell="Y2" sqref="Y2"/>
      <pageMargins left="0.7" right="0.7" top="0.75" bottom="0.75" header="0.3" footer="0.3"/>
    </customSheetView>
    <customSheetView guid="{56AFE396-18B0-4AF5-AE05-5CBE92BF4893}" showGridLines="0" showRowCol="0">
      <selection activeCell="Y2" sqref="Y2"/>
      <pageMargins left="0.7" right="0.7" top="0.75" bottom="0.75" header="0.3" footer="0.3"/>
    </customSheetView>
    <customSheetView guid="{79B4DA94-8F3B-455B-B3D6-7A15488FD419}" showGridLines="0" showRowCol="0">
      <selection activeCell="Y2" sqref="Y2"/>
      <pageMargins left="0.7" right="0.7" top="0.75" bottom="0.75" header="0.3" footer="0.3"/>
    </customSheetView>
    <customSheetView guid="{4EA0FCF4-4E92-4FEF-BBB1-FFCF2D2846A6}" showGridLines="0" showRowCol="0">
      <selection activeCell="Y2" sqref="Y2"/>
      <pageMargins left="0.7" right="0.7" top="0.75" bottom="0.75" header="0.3" footer="0.3"/>
    </customSheetView>
  </customSheetViews>
  <mergeCells count="6">
    <mergeCell ref="AA7:AA8"/>
    <mergeCell ref="AB7:AB8"/>
    <mergeCell ref="B1:V1"/>
    <mergeCell ref="X7:X8"/>
    <mergeCell ref="Y7:Y8"/>
    <mergeCell ref="Z7:Z8"/>
  </mergeCells>
  <conditionalFormatting sqref="C8:V8 B6:C6 E6:K6">
    <cfRule type="cellIs" dxfId="5" priority="4" stopIfTrue="1" operator="equal">
      <formula>"F"</formula>
    </cfRule>
    <cfRule type="cellIs" dxfId="4" priority="5" stopIfTrue="1" operator="equal">
      <formula>"C"</formula>
    </cfRule>
    <cfRule type="cellIs" dxfId="3" priority="6" stopIfTrue="1" operator="equal">
      <formula>"C"</formula>
    </cfRule>
  </conditionalFormatting>
  <conditionalFormatting sqref="C9:V25">
    <cfRule type="cellIs" dxfId="2" priority="1" stopIfTrue="1" operator="equal">
      <formula>0</formula>
    </cfRule>
    <cfRule type="cellIs" dxfId="1" priority="2" stopIfTrue="1" operator="equal">
      <formula>1</formula>
    </cfRule>
    <cfRule type="cellIs" dxfId="0" priority="3" stopIfTrue="1" operator="greaterThan">
      <formula>1</formula>
    </cfRule>
  </conditionalFormatting>
  <hyperlinks>
    <hyperlink ref="Y2" location="PPrincipal!A1" display="* Pagina Principal"/>
    <hyperlink ref="Y3" location="CApure!A1" display="Sapure"/>
    <hyperlink ref="Y5" location="'CDelta Amacuro'!A1" display="Supervisor de Delta Amacuro"/>
    <hyperlink ref="Y4" location="CBolivar!A1" display="Supervisor de Bolivar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30</vt:i4>
      </vt:variant>
    </vt:vector>
  </HeadingPairs>
  <TitlesOfParts>
    <vt:vector size="43" baseType="lpstr">
      <vt:lpstr>PPrincipal</vt:lpstr>
      <vt:lpstr>Apure</vt:lpstr>
      <vt:lpstr>GApure</vt:lpstr>
      <vt:lpstr>CApure</vt:lpstr>
      <vt:lpstr>Bolivar</vt:lpstr>
      <vt:lpstr>GBolivar</vt:lpstr>
      <vt:lpstr>CBolivar</vt:lpstr>
      <vt:lpstr>Delta Amacuro</vt:lpstr>
      <vt:lpstr>GDelta Amacuro</vt:lpstr>
      <vt:lpstr>CDelta Amacuro</vt:lpstr>
      <vt:lpstr>Guarico</vt:lpstr>
      <vt:lpstr>GGuarico</vt:lpstr>
      <vt:lpstr>CGuarico</vt:lpstr>
      <vt:lpstr>Andres_Velasquez</vt:lpstr>
      <vt:lpstr>Antonio_Rojas_Suarez</vt:lpstr>
      <vt:lpstr>CentroAp</vt:lpstr>
      <vt:lpstr>CentroBO</vt:lpstr>
      <vt:lpstr>CentroDA</vt:lpstr>
      <vt:lpstr>CentroGu</vt:lpstr>
      <vt:lpstr>Francisco_Rangel_Gomez</vt:lpstr>
      <vt:lpstr>Jesus_Aguilarte</vt:lpstr>
      <vt:lpstr>Lenny_Manuit</vt:lpstr>
      <vt:lpstr>Lizeta_Hernandez</vt:lpstr>
      <vt:lpstr>Mirian_de_Montilla</vt:lpstr>
      <vt:lpstr>MunicipiosAP</vt:lpstr>
      <vt:lpstr>MunicipiosBo</vt:lpstr>
      <vt:lpstr>MunicipiosDA</vt:lpstr>
      <vt:lpstr>MunicipiosGu</vt:lpstr>
      <vt:lpstr>OtroAp</vt:lpstr>
      <vt:lpstr>OtroBo</vt:lpstr>
      <vt:lpstr>OtroDA</vt:lpstr>
      <vt:lpstr>OtroGu</vt:lpstr>
      <vt:lpstr>Reinaldo_Armas</vt:lpstr>
      <vt:lpstr>SumaAp</vt:lpstr>
      <vt:lpstr>SumaBo</vt:lpstr>
      <vt:lpstr>SumaDA</vt:lpstr>
      <vt:lpstr>SumaGu</vt:lpstr>
      <vt:lpstr>TurnoAp</vt:lpstr>
      <vt:lpstr>TurnoBo</vt:lpstr>
      <vt:lpstr>TurnoDA</vt:lpstr>
      <vt:lpstr>TurnoGu</vt:lpstr>
      <vt:lpstr>Victor_Cedeño</vt:lpstr>
      <vt:lpstr>Willian_Lara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Hector Capriles</cp:lastModifiedBy>
  <cp:lastPrinted>2008-11-13T18:22:51Z</cp:lastPrinted>
  <dcterms:created xsi:type="dcterms:W3CDTF">2007-11-27T23:12:28Z</dcterms:created>
  <dcterms:modified xsi:type="dcterms:W3CDTF">2010-08-14T03:06:01Z</dcterms:modified>
</cp:coreProperties>
</file>