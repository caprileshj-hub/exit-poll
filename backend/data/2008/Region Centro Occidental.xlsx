
<file path=[Content_Types].xml><?xml version="1.0" encoding="utf-8"?>
<Types xmlns="http://schemas.openxmlformats.org/package/2006/content-types">
  <Override PartName="/xl/revisions/revisionLog89.xml" ContentType="application/vnd.openxmlformats-officedocument.spreadsheetml.revisionLog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revisions/revisionLog67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49.xml" ContentType="application/vnd.openxmlformats-officedocument.spreadsheetml.revisionLog+xml"/>
  <Override PartName="/xl/worksheets/sheet7.xml" ContentType="application/vnd.openxmlformats-officedocument.spreadsheetml.worksheet+xml"/>
  <Override PartName="/xl/revisions/revisionLog85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38.xml" ContentType="application/vnd.openxmlformats-officedocument.spreadsheetml.revisionLog+xml"/>
  <Default Extension="xml" ContentType="application/xml"/>
  <Override PartName="/xl/drawings/drawing2.xml" ContentType="application/vnd.openxmlformats-officedocument.drawing+xml"/>
  <Override PartName="/xl/revisions/revisionLog63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92.xml" ContentType="application/vnd.openxmlformats-officedocument.spreadsheetml.revisionLog+xml"/>
  <Override PartName="/xl/worksheets/sheet3.xml" ContentType="application/vnd.openxmlformats-officedocument.spreadsheetml.worksheet+xml"/>
  <Override PartName="/xl/revisions/revisionLog110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12.xml" ContentType="application/vnd.openxmlformats-officedocument.spreadsheetml.revisionLog+xml"/>
  <Override PartName="/xl/sharedStrings.xml" ContentType="application/vnd.openxmlformats-officedocument.spreadsheetml.sharedStrings+xml"/>
  <Override PartName="/xl/revisions/revisionLog30.xml" ContentType="application/vnd.openxmlformats-officedocument.spreadsheetml.revisionLog+xml"/>
  <Override PartName="/xl/revisions/revisionLog5.xml" ContentType="application/vnd.openxmlformats-officedocument.spreadsheetml.revisionLog+xml"/>
  <Default Extension="bin" ContentType="application/vnd.openxmlformats-officedocument.spreadsheetml.printerSettings"/>
  <Default Extension="png" ContentType="image/png"/>
  <Override PartName="/xl/revisions/revisionLog1.xml" ContentType="application/vnd.openxmlformats-officedocument.spreadsheetml.revisionLog+xml"/>
  <Override PartName="/xl/revisions/revisionLog79.xml" ContentType="application/vnd.openxmlformats-officedocument.spreadsheetml.revisionLo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revisions/revisionLog39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97.xml" ContentType="application/vnd.openxmlformats-officedocument.spreadsheetml.revisionLo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revisions/revisionLog46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75.xml" ContentType="application/vnd.openxmlformats-officedocument.spreadsheetml.revisionLo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revisions/revisionLog82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102.xml" ContentType="application/vnd.openxmlformats-officedocument.spreadsheetml.revisionLog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revisions/revisionHeaders.xml" ContentType="application/vnd.openxmlformats-officedocument.spreadsheetml.revisionHeaders+xml"/>
  <Override PartName="/xl/revisions/revisionLog62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33.xml" ContentType="application/vnd.openxmlformats-officedocument.spreadsheetml.revisionLog+xml"/>
  <Override PartName="/xl/calcChain.xml" ContentType="application/vnd.openxmlformats-officedocument.spreadsheetml.calcChain+xml"/>
  <Override PartName="/xl/revisions/revisionLog31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4.xml" ContentType="application/vnd.openxmlformats-officedocument.spreadsheetml.revisionLog+xml"/>
  <Override PartName="/xl/charts/chart8.xml" ContentType="application/vnd.openxmlformats-officedocument.drawingml.chart+xml"/>
  <Override PartName="/docProps/core.xml" ContentType="application/vnd.openxmlformats-package.core-properties+xml"/>
  <Override PartName="/xl/revisions/revisionLog2.xml" ContentType="application/vnd.openxmlformats-officedocument.spreadsheetml.revisionLog+xml"/>
  <Override PartName="/xl/charts/chart6.xml" ContentType="application/vnd.openxmlformats-officedocument.drawingml.chart+xml"/>
  <Override PartName="/xl/revisions/revisionLog98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109.xml" ContentType="application/vnd.openxmlformats-officedocument.spreadsheetml.revisionLo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revisions/userNames.xml" ContentType="application/vnd.openxmlformats-officedocument.spreadsheetml.userNames+xml"/>
  <Override PartName="/xl/revisions/revisionLog87.xml" ContentType="application/vnd.openxmlformats-officedocument.spreadsheetml.revisionLog+xml"/>
  <Override PartName="/xl/revisions/revisionLog58.xml" ContentType="application/vnd.openxmlformats-officedocument.spreadsheetml.revisionLog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Override PartName="/xl/revisions/revisionLog105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94.xml" ContentType="application/vnd.openxmlformats-officedocument.spreadsheetml.revisionLog+xml"/>
  <Override PartName="/xl/worksheets/sheet5.xml" ContentType="application/vnd.openxmlformats-officedocument.spreadsheetml.worksheet+xml"/>
  <Override PartName="/xl/revisions/revisionLog25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90.xml" ContentType="application/vnd.openxmlformats-officedocument.spreadsheetml.revisionLog+xml"/>
  <Override PartName="/xl/worksheets/sheet1.xml" ContentType="application/vnd.openxmlformats-officedocument.spreadsheetml.worksheet+xml"/>
  <Override PartName="/xl/revisions/revisionLog21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.xml" ContentType="application/vnd.openxmlformats-officedocument.spreadsheetml.revisionLog+xml"/>
  <Override PartName="/xl/charts/chart7.xml" ContentType="application/vnd.openxmlformats-officedocument.drawingml.chart+xml"/>
  <Override PartName="/xl/revisions/revisionLog88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95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showHorizontalScroll="0" showVerticalScroll="0" showSheetTabs="0" xWindow="360" yWindow="360" windowWidth="1845" windowHeight="2235" activeTab="7"/>
  </bookViews>
  <sheets>
    <sheet name="PPrincipal" sheetId="1" r:id="rId1"/>
    <sheet name="Falcón" sheetId="2" r:id="rId2"/>
    <sheet name="GFalcón" sheetId="3" r:id="rId3"/>
    <sheet name="CFalcón" sheetId="4" r:id="rId4"/>
    <sheet name="Lara" sheetId="5" r:id="rId5"/>
    <sheet name="GLara" sheetId="6" r:id="rId6"/>
    <sheet name="CLara" sheetId="7" r:id="rId7"/>
    <sheet name="Portuguesa" sheetId="8" r:id="rId8"/>
    <sheet name="GPortuguesa" sheetId="9" r:id="rId9"/>
    <sheet name="CPortuguesa" sheetId="10" r:id="rId10"/>
    <sheet name="Yaracuy" sheetId="11" r:id="rId11"/>
    <sheet name="GYaracuy" sheetId="12" r:id="rId12"/>
    <sheet name="CYaracuy" sheetId="13" r:id="rId13"/>
  </sheets>
  <definedNames>
    <definedName name="Bella_Petrizzo">Portuguesa!$G$9:$G$388</definedName>
    <definedName name="CentroFA">Falcón!$C$9:$C$448</definedName>
    <definedName name="CentroLA">Lara!$C$9:$C$848</definedName>
    <definedName name="CentroPO">Portuguesa!$C$9:$C$388</definedName>
    <definedName name="CentroYA">Yaracuy!$C$9:$C$288</definedName>
    <definedName name="Edward_Capdevielle">Yaracuy!$F$9:$F$288</definedName>
    <definedName name="Filippo_Lapi">Yaracuy!$G$9:$G$288</definedName>
    <definedName name="Gregorio_Graterol">Falcón!$F$9:$F$448</definedName>
    <definedName name="Henri_Falcon">Lara!$E$9:$E$848</definedName>
    <definedName name="Jobito_Villegas">Portuguesa!$F$9:$F$388</definedName>
    <definedName name="Julio_Leon">Yaracuy!$E$9:$E$288</definedName>
    <definedName name="MunicipioLA">CLara!$X$9:$X$50</definedName>
    <definedName name="MunicipiosFA">CFalcón!$X$9:$X$30</definedName>
    <definedName name="MunicipiosPO">CPortuguesa!$X$9:$X$27</definedName>
    <definedName name="MunicipioYA">CYaracuy!$X$9:$X$22</definedName>
    <definedName name="OtroFA">Falcón!$G$9:$G$448</definedName>
    <definedName name="OtroLA">Lara!$G$9:$G$848</definedName>
    <definedName name="OtroPO">Portuguesa!$H$9:$H$388</definedName>
    <definedName name="OtroYA">Yaracuy!$H$9:$H$288</definedName>
    <definedName name="Pedro_Pablo_Alcantara">Lara!$F$9:$F$848</definedName>
    <definedName name="Stella_Lugo">Falcón!$E$9:$E$448</definedName>
    <definedName name="SumaFA">Falcón!$L$9:$L$448</definedName>
    <definedName name="SumaLA">Lara!$L$9:$L$848</definedName>
    <definedName name="SumaPO">Portuguesa!$N$9:$N$388</definedName>
    <definedName name="SumaYA">Yaracuy!$M$9:$M$288</definedName>
    <definedName name="TurnoFA">Falcón!$D$9:$D$448</definedName>
    <definedName name="TurnoLA">Lara!$D$9:$D$848</definedName>
    <definedName name="TurnoPO">Portuguesa!$D$9:$D$388</definedName>
    <definedName name="TurnoYA">Yaracuy!$D$9:$D$288</definedName>
    <definedName name="Wilmar_Castro">Portuguesa!$E$9:$E$388</definedName>
  </definedNames>
  <calcPr calcId="124519"/>
  <customWorkbookViews>
    <customWorkbookView name="PLM - Vista personalizada" guid="{E103CAA9-E8FB-4228-A076-3C3E3EEEC109}" mergeInterval="0" personalView="1" maximized="1" showHorizontalScroll="0" showVerticalScroll="0" showSheetTabs="0" xWindow="1" yWindow="1" windowWidth="1280" windowHeight="545" activeSheetId="3"/>
    <customWorkbookView name="equipo de trabajo 5 - Vista personalizada" guid="{A77EC4ED-03BF-4540-A476-D8F99E900844}" autoUpdate="1" mergeInterval="5" personalView="1" maximized="1" showHorizontalScroll="0" showVerticalScroll="0" showSheetTabs="0" windowWidth="1020" windowHeight="739" activeSheetId="3" showFormulaBar="0" showStatusbar="0"/>
    <customWorkbookView name="equipo de trabajo4 - Vista personalizada" guid="{71ABA865-EF8A-4EB3-AA45-9433D0EFFA82}" autoUpdate="1" mergeInterval="5" personalView="1" maximized="1" windowWidth="1020" windowHeight="622" activeSheetId="4"/>
    <customWorkbookView name="equipo de trabajo 6 - Vista personalizada" guid="{C985031D-D85E-4FDB-AC65-62493A942234}" autoUpdate="1" mergeInterval="5" personalView="1" maximized="1" windowWidth="1276" windowHeight="622" activeSheetId="4"/>
    <customWorkbookView name="equipo de trabajo 2 - Vista personalizada" guid="{9FEEFF71-DB18-450A-9C46-2600DEBD4C2F}" autoUpdate="1" mergeInterval="5" personalView="1" maximized="1" windowWidth="1276" windowHeight="622" activeSheetId="4"/>
    <customWorkbookView name="equipo de trabajo 1 - Vista personalizada" guid="{CA2040AE-62FD-482F-B99E-D7687506BEE4}" autoUpdate="1" mergeInterval="5" personalView="1" maximized="1" showHorizontalScroll="0" showVerticalScroll="0" showSheetTabs="0" windowWidth="1020" windowHeight="739" activeSheetId="2" showFormulaBar="0" showStatusbar="0"/>
    <customWorkbookView name="lenovo-4 - Vista personalizada" guid="{8533A692-1FDC-4EF0-90A0-99C037A6D79B}" autoUpdate="1" mergeInterval="5" personalView="1" maximized="1" windowWidth="1020" windowHeight="596" activeSheetId="2"/>
    <customWorkbookView name="equipo de trabajo 3 - Vista personalizada" guid="{57DF099C-2F69-48FA-8FC1-A9D4BE3C4B9B}" autoUpdate="1" mergeInterval="5" personalView="1" maximized="1" windowWidth="1020" windowHeight="622" activeSheetId="4"/>
    <customWorkbookView name="equipo de trabajo 8 - Vista personalizada" guid="{6E31FC92-C3FF-4227-932A-BABD82E820B9}" autoUpdate="1" mergeInterval="5" personalView="1" maximized="1" windowWidth="1276" windowHeight="654" activeSheetId="4"/>
    <customWorkbookView name="Usuario - Vista personalizada" guid="{37EA6283-F051-4D0B-81C6-34EEB84CCDF0}" autoUpdate="1" mergeInterval="5" personalView="1" maximized="1" showHorizontalScroll="0" showVerticalScroll="0" showSheetTabs="0" xWindow="1" yWindow="1" windowWidth="952" windowHeight="358" activeSheetId="2"/>
    <customWorkbookView name="  - Vista personalizada" guid="{A6A06E36-D96E-4193-B19F-8D7934C6230C}" autoUpdate="1" mergeInterval="5" personalView="1" maximized="1" showHorizontalScroll="0" showVerticalScroll="0" showSheetTabs="0" xWindow="1" yWindow="1" windowWidth="1280" windowHeight="579" activeSheetId="8"/>
  </customWorkbookViews>
</workbook>
</file>

<file path=xl/calcChain.xml><?xml version="1.0" encoding="utf-8"?>
<calcChain xmlns="http://schemas.openxmlformats.org/spreadsheetml/2006/main">
  <c r="Y10" i="13"/>
  <c r="Z10"/>
  <c r="AA10"/>
  <c r="AB10"/>
  <c r="Y11"/>
  <c r="Z11"/>
  <c r="AA11"/>
  <c r="AB11"/>
  <c r="Y12"/>
  <c r="Z12"/>
  <c r="AA12"/>
  <c r="AB12"/>
  <c r="Y13"/>
  <c r="Z13"/>
  <c r="AA13"/>
  <c r="AB13"/>
  <c r="Y14"/>
  <c r="Z14"/>
  <c r="AA14"/>
  <c r="AB14"/>
  <c r="Y15"/>
  <c r="Z15"/>
  <c r="AA15"/>
  <c r="AB15"/>
  <c r="Y16"/>
  <c r="Z16"/>
  <c r="AA16"/>
  <c r="AB16"/>
  <c r="Y17"/>
  <c r="Z17"/>
  <c r="AA17"/>
  <c r="AB17"/>
  <c r="Y18"/>
  <c r="Z18"/>
  <c r="AA18"/>
  <c r="AB18"/>
  <c r="Y19"/>
  <c r="Z19"/>
  <c r="AA19"/>
  <c r="AB19"/>
  <c r="Y20"/>
  <c r="Z20"/>
  <c r="AA20"/>
  <c r="AB20"/>
  <c r="Y21"/>
  <c r="Z21"/>
  <c r="AA21"/>
  <c r="AB21"/>
  <c r="Y22"/>
  <c r="Z22"/>
  <c r="AA22"/>
  <c r="AB22"/>
  <c r="AA9"/>
  <c r="AA25" s="1"/>
  <c r="Z9"/>
  <c r="Z25" s="1"/>
  <c r="Y9"/>
  <c r="Y25" s="1"/>
  <c r="V11" i="11"/>
  <c r="V12"/>
  <c r="V13"/>
  <c r="V14"/>
  <c r="V15"/>
  <c r="V16"/>
  <c r="V17"/>
  <c r="V18"/>
  <c r="V19"/>
  <c r="V20"/>
  <c r="V21"/>
  <c r="V22"/>
  <c r="X22" s="1"/>
  <c r="V23"/>
  <c r="V24"/>
  <c r="X24" s="1"/>
  <c r="V25"/>
  <c r="V26"/>
  <c r="X26" s="1"/>
  <c r="V27"/>
  <c r="V28"/>
  <c r="X28" s="1"/>
  <c r="V29"/>
  <c r="S11"/>
  <c r="S12"/>
  <c r="S13"/>
  <c r="S14"/>
  <c r="S15"/>
  <c r="S16"/>
  <c r="S17"/>
  <c r="S18"/>
  <c r="S19"/>
  <c r="S20"/>
  <c r="S21"/>
  <c r="S22"/>
  <c r="U22" s="1"/>
  <c r="S23"/>
  <c r="S24"/>
  <c r="U24" s="1"/>
  <c r="S25"/>
  <c r="S26"/>
  <c r="U26" s="1"/>
  <c r="S27"/>
  <c r="S28"/>
  <c r="U28" s="1"/>
  <c r="S29"/>
  <c r="V10"/>
  <c r="V9"/>
  <c r="W9" s="1"/>
  <c r="S10"/>
  <c r="T10" s="1"/>
  <c r="S9"/>
  <c r="P11"/>
  <c r="P12"/>
  <c r="P13"/>
  <c r="P14"/>
  <c r="P15"/>
  <c r="P16"/>
  <c r="P17"/>
  <c r="P18"/>
  <c r="P19"/>
  <c r="P20"/>
  <c r="P21"/>
  <c r="P22"/>
  <c r="R22" s="1"/>
  <c r="P23"/>
  <c r="P24"/>
  <c r="R24" s="1"/>
  <c r="P25"/>
  <c r="P26"/>
  <c r="R26" s="1"/>
  <c r="P27"/>
  <c r="P28"/>
  <c r="R28" s="1"/>
  <c r="P29"/>
  <c r="P10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P9"/>
  <c r="Y10" i="10"/>
  <c r="Z10"/>
  <c r="AA10"/>
  <c r="AB10"/>
  <c r="Y11"/>
  <c r="Z11"/>
  <c r="AA11"/>
  <c r="AB11"/>
  <c r="Y12"/>
  <c r="Z12"/>
  <c r="AA12"/>
  <c r="AB12"/>
  <c r="Y13"/>
  <c r="Y31" s="1"/>
  <c r="Z13"/>
  <c r="Z31" s="1"/>
  <c r="AA13"/>
  <c r="AA31" s="1"/>
  <c r="AB13"/>
  <c r="AB31" s="1"/>
  <c r="Y14"/>
  <c r="Z14"/>
  <c r="AA14"/>
  <c r="AB14"/>
  <c r="Y15"/>
  <c r="Z15"/>
  <c r="AA15"/>
  <c r="AB15"/>
  <c r="Y16"/>
  <c r="Z16"/>
  <c r="AA16"/>
  <c r="AB16"/>
  <c r="Y17"/>
  <c r="Z17"/>
  <c r="AA17"/>
  <c r="AB17"/>
  <c r="Y18"/>
  <c r="Z18"/>
  <c r="AA18"/>
  <c r="AB18"/>
  <c r="Y19"/>
  <c r="Y33" s="1"/>
  <c r="Z19"/>
  <c r="Z33" s="1"/>
  <c r="AA19"/>
  <c r="AA33" s="1"/>
  <c r="AB19"/>
  <c r="AB33" s="1"/>
  <c r="Y20"/>
  <c r="Z20"/>
  <c r="AA20"/>
  <c r="AB20"/>
  <c r="Y21"/>
  <c r="Z21"/>
  <c r="AA21"/>
  <c r="AB21"/>
  <c r="Y22"/>
  <c r="Z22"/>
  <c r="AA22"/>
  <c r="AB22"/>
  <c r="Y23"/>
  <c r="Z23"/>
  <c r="AA23"/>
  <c r="AB23"/>
  <c r="Y24"/>
  <c r="Z24"/>
  <c r="AA24"/>
  <c r="AB24"/>
  <c r="Y25"/>
  <c r="Y35" s="1"/>
  <c r="Z25"/>
  <c r="Z35" s="1"/>
  <c r="AA25"/>
  <c r="AA35" s="1"/>
  <c r="AB25"/>
  <c r="AB35" s="1"/>
  <c r="Y26"/>
  <c r="Z26"/>
  <c r="AA26"/>
  <c r="AB26"/>
  <c r="Y27"/>
  <c r="Z27"/>
  <c r="AA27"/>
  <c r="AB27"/>
  <c r="AA9"/>
  <c r="AA30" s="1"/>
  <c r="Z9"/>
  <c r="Z30" s="1"/>
  <c r="Y9"/>
  <c r="Y30" s="1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W11" i="8"/>
  <c r="W12"/>
  <c r="W13"/>
  <c r="W14"/>
  <c r="W15"/>
  <c r="W16"/>
  <c r="W17"/>
  <c r="W18"/>
  <c r="W19"/>
  <c r="W20"/>
  <c r="W21"/>
  <c r="W22"/>
  <c r="W23"/>
  <c r="W24"/>
  <c r="W25"/>
  <c r="Y25" s="1"/>
  <c r="W26"/>
  <c r="Y26" s="1"/>
  <c r="W27"/>
  <c r="Y27" s="1"/>
  <c r="W28"/>
  <c r="Y28" s="1"/>
  <c r="W29"/>
  <c r="Y29" s="1"/>
  <c r="W10"/>
  <c r="X10" s="1"/>
  <c r="W9"/>
  <c r="T11"/>
  <c r="T12"/>
  <c r="T13"/>
  <c r="T14"/>
  <c r="T15"/>
  <c r="T16"/>
  <c r="T17"/>
  <c r="T18"/>
  <c r="T19"/>
  <c r="T20"/>
  <c r="T21"/>
  <c r="T22"/>
  <c r="T23"/>
  <c r="T24"/>
  <c r="T25"/>
  <c r="T26"/>
  <c r="V26" s="1"/>
  <c r="T27"/>
  <c r="V27" s="1"/>
  <c r="T28"/>
  <c r="V28" s="1"/>
  <c r="T29"/>
  <c r="V29" s="1"/>
  <c r="T10"/>
  <c r="U10" s="1"/>
  <c r="T9"/>
  <c r="U9" s="1"/>
  <c r="Q11"/>
  <c r="Q12"/>
  <c r="Q13"/>
  <c r="Q14"/>
  <c r="Q15"/>
  <c r="Q16"/>
  <c r="Q17"/>
  <c r="Q18"/>
  <c r="Q19"/>
  <c r="Q20"/>
  <c r="Q21"/>
  <c r="Q22"/>
  <c r="Q23"/>
  <c r="Q24"/>
  <c r="Q25"/>
  <c r="Q26"/>
  <c r="S26" s="1"/>
  <c r="Q27"/>
  <c r="S27" s="1"/>
  <c r="Q28"/>
  <c r="S28" s="1"/>
  <c r="Q29"/>
  <c r="S29" s="1"/>
  <c r="Q10"/>
  <c r="R10" s="1"/>
  <c r="R11" s="1"/>
  <c r="Q9"/>
  <c r="Z29"/>
  <c r="AB29" s="1"/>
  <c r="Z28"/>
  <c r="AB28" s="1"/>
  <c r="Z27"/>
  <c r="AB27" s="1"/>
  <c r="Z26"/>
  <c r="AB26" s="1"/>
  <c r="Z25"/>
  <c r="AB25" s="1"/>
  <c r="Z24"/>
  <c r="AB24" s="1"/>
  <c r="Z23"/>
  <c r="AB23" s="1"/>
  <c r="Z22"/>
  <c r="Z21"/>
  <c r="Z20"/>
  <c r="Z19"/>
  <c r="Z18"/>
  <c r="Z17"/>
  <c r="Z16"/>
  <c r="Z15"/>
  <c r="Z14"/>
  <c r="Z13"/>
  <c r="Z12"/>
  <c r="Z11"/>
  <c r="Z10"/>
  <c r="Z9"/>
  <c r="AA9" s="1"/>
  <c r="Y10" i="7"/>
  <c r="Z10"/>
  <c r="Y11"/>
  <c r="Z11"/>
  <c r="Y12"/>
  <c r="Z12"/>
  <c r="Y13"/>
  <c r="Z13"/>
  <c r="Y14"/>
  <c r="Z14"/>
  <c r="Y15"/>
  <c r="Z15"/>
  <c r="Y16"/>
  <c r="Z16"/>
  <c r="Y17"/>
  <c r="Z17"/>
  <c r="Y18"/>
  <c r="Z18"/>
  <c r="Y19"/>
  <c r="Z19"/>
  <c r="Y20"/>
  <c r="Z20"/>
  <c r="Y21"/>
  <c r="Z21"/>
  <c r="Y22"/>
  <c r="Z22"/>
  <c r="Y23"/>
  <c r="Z23"/>
  <c r="Y24"/>
  <c r="Z24"/>
  <c r="Y25"/>
  <c r="Z25"/>
  <c r="Y26"/>
  <c r="Z26"/>
  <c r="Y27"/>
  <c r="Z27"/>
  <c r="Y28"/>
  <c r="Z28"/>
  <c r="Y29"/>
  <c r="Z29"/>
  <c r="Y30"/>
  <c r="Z30"/>
  <c r="Y31"/>
  <c r="Z31"/>
  <c r="Y32"/>
  <c r="Z32"/>
  <c r="Y33"/>
  <c r="Z33"/>
  <c r="Y34"/>
  <c r="Z34"/>
  <c r="Y35"/>
  <c r="Z35"/>
  <c r="Y36"/>
  <c r="Z36"/>
  <c r="Y37"/>
  <c r="Z37"/>
  <c r="Y38"/>
  <c r="Z38"/>
  <c r="Y39"/>
  <c r="Z39"/>
  <c r="Y40"/>
  <c r="Z40"/>
  <c r="Y41"/>
  <c r="Z41"/>
  <c r="Y42"/>
  <c r="Z42"/>
  <c r="Y43"/>
  <c r="Z43"/>
  <c r="Y44"/>
  <c r="Z44"/>
  <c r="Y45"/>
  <c r="Z45"/>
  <c r="Y46"/>
  <c r="Z46"/>
  <c r="Y47"/>
  <c r="Z47"/>
  <c r="Y48"/>
  <c r="Z48"/>
  <c r="Y49"/>
  <c r="Z49"/>
  <c r="Y50"/>
  <c r="Z50"/>
  <c r="Z9"/>
  <c r="Z52" s="1"/>
  <c r="Y9"/>
  <c r="Y52" s="1"/>
  <c r="R11" i="5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10"/>
  <c r="S10" s="1"/>
  <c r="R9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Q28" s="1"/>
  <c r="O29"/>
  <c r="O10"/>
  <c r="O9"/>
  <c r="Y10" i="4"/>
  <c r="Z10"/>
  <c r="Y11"/>
  <c r="Z11"/>
  <c r="Y12"/>
  <c r="Z12"/>
  <c r="Y13"/>
  <c r="Z13"/>
  <c r="Y14"/>
  <c r="Z14"/>
  <c r="Y15"/>
  <c r="Z15"/>
  <c r="Y16"/>
  <c r="Z16"/>
  <c r="Y17"/>
  <c r="Z17"/>
  <c r="Y18"/>
  <c r="Z18"/>
  <c r="Y19"/>
  <c r="Z19"/>
  <c r="Y20"/>
  <c r="Z20"/>
  <c r="Y21"/>
  <c r="Z21"/>
  <c r="Y22"/>
  <c r="Z22"/>
  <c r="Y23"/>
  <c r="Z23"/>
  <c r="Y24"/>
  <c r="Z24"/>
  <c r="Y25"/>
  <c r="Z25"/>
  <c r="Y26"/>
  <c r="Z26"/>
  <c r="Y27"/>
  <c r="Z27"/>
  <c r="Y28"/>
  <c r="Z28"/>
  <c r="Y29"/>
  <c r="Z29"/>
  <c r="Y30"/>
  <c r="Z30"/>
  <c r="Z9"/>
  <c r="Y9"/>
  <c r="R12" i="2"/>
  <c r="R13"/>
  <c r="R14"/>
  <c r="R15"/>
  <c r="R16"/>
  <c r="R17"/>
  <c r="R18"/>
  <c r="R19"/>
  <c r="R20"/>
  <c r="R21"/>
  <c r="R22"/>
  <c r="R23"/>
  <c r="R24"/>
  <c r="R25"/>
  <c r="R26"/>
  <c r="R27"/>
  <c r="R28"/>
  <c r="T28" s="1"/>
  <c r="R29"/>
  <c r="T29" s="1"/>
  <c r="R11"/>
  <c r="R10"/>
  <c r="R9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Q28" s="1"/>
  <c r="O29"/>
  <c r="Q29" s="1"/>
  <c r="O10"/>
  <c r="O9"/>
  <c r="R23" i="11"/>
  <c r="R25"/>
  <c r="R27"/>
  <c r="R29"/>
  <c r="U23"/>
  <c r="U25"/>
  <c r="U27"/>
  <c r="U29"/>
  <c r="X23"/>
  <c r="X25"/>
  <c r="X27"/>
  <c r="X29"/>
  <c r="C13" i="10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AA10" i="7"/>
  <c r="AA11"/>
  <c r="AA12"/>
  <c r="AA13"/>
  <c r="AA14"/>
  <c r="AA15"/>
  <c r="AA16"/>
  <c r="AA17"/>
  <c r="AA18"/>
  <c r="AA19"/>
  <c r="AA20"/>
  <c r="AA21"/>
  <c r="AA22"/>
  <c r="AA23"/>
  <c r="AA24"/>
  <c r="AA25"/>
  <c r="AA26"/>
  <c r="AA27"/>
  <c r="AA28"/>
  <c r="AA29"/>
  <c r="AA30"/>
  <c r="AA31"/>
  <c r="AA32"/>
  <c r="AA33"/>
  <c r="AA34"/>
  <c r="AA35"/>
  <c r="AA36"/>
  <c r="AA37"/>
  <c r="AA38"/>
  <c r="AA39"/>
  <c r="AA40"/>
  <c r="AA41"/>
  <c r="AA42"/>
  <c r="AA43"/>
  <c r="AA44"/>
  <c r="AA45"/>
  <c r="AA46"/>
  <c r="AA47"/>
  <c r="AA48"/>
  <c r="AA49"/>
  <c r="AA50"/>
  <c r="C40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C41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C42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C43"/>
  <c r="D43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C44"/>
  <c r="D44"/>
  <c r="E44"/>
  <c r="F44"/>
  <c r="G44"/>
  <c r="H44"/>
  <c r="I44"/>
  <c r="J44"/>
  <c r="K44"/>
  <c r="L44"/>
  <c r="M44"/>
  <c r="N44"/>
  <c r="O44"/>
  <c r="P44"/>
  <c r="Q44"/>
  <c r="R44"/>
  <c r="S44"/>
  <c r="T44"/>
  <c r="U44"/>
  <c r="V44"/>
  <c r="C45"/>
  <c r="D45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C46"/>
  <c r="D46"/>
  <c r="E46"/>
  <c r="F46"/>
  <c r="G46"/>
  <c r="H46"/>
  <c r="I46"/>
  <c r="J46"/>
  <c r="K46"/>
  <c r="L46"/>
  <c r="M46"/>
  <c r="N46"/>
  <c r="O46"/>
  <c r="P46"/>
  <c r="Q46"/>
  <c r="R46"/>
  <c r="S46"/>
  <c r="T46"/>
  <c r="U46"/>
  <c r="V46"/>
  <c r="C47"/>
  <c r="D47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C48"/>
  <c r="D48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C49"/>
  <c r="D49"/>
  <c r="E49"/>
  <c r="F49"/>
  <c r="G49"/>
  <c r="H49"/>
  <c r="I49"/>
  <c r="J49"/>
  <c r="K49"/>
  <c r="L49"/>
  <c r="M49"/>
  <c r="N49"/>
  <c r="O49"/>
  <c r="P49"/>
  <c r="Q49"/>
  <c r="R49"/>
  <c r="S49"/>
  <c r="T49"/>
  <c r="U49"/>
  <c r="V49"/>
  <c r="C50"/>
  <c r="D50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U11" i="5"/>
  <c r="U12"/>
  <c r="U13"/>
  <c r="U14"/>
  <c r="U15"/>
  <c r="U16"/>
  <c r="U17"/>
  <c r="U18"/>
  <c r="U19"/>
  <c r="U20"/>
  <c r="U21"/>
  <c r="U22"/>
  <c r="U23"/>
  <c r="U24"/>
  <c r="U25"/>
  <c r="U26"/>
  <c r="U27"/>
  <c r="W27" s="1"/>
  <c r="U28"/>
  <c r="W28" s="1"/>
  <c r="U29"/>
  <c r="W29" s="1"/>
  <c r="T27"/>
  <c r="T28"/>
  <c r="T29"/>
  <c r="Q27"/>
  <c r="Q29"/>
  <c r="U10"/>
  <c r="U9"/>
  <c r="AA10" i="4"/>
  <c r="AA11"/>
  <c r="AA12"/>
  <c r="AA13"/>
  <c r="AA14"/>
  <c r="AA15"/>
  <c r="AA16"/>
  <c r="AA17"/>
  <c r="AA18"/>
  <c r="AA19"/>
  <c r="AA20"/>
  <c r="AA21"/>
  <c r="AA22"/>
  <c r="AA23"/>
  <c r="AA24"/>
  <c r="AA25"/>
  <c r="AA26"/>
  <c r="AA27"/>
  <c r="AA28"/>
  <c r="AA29"/>
  <c r="AA30"/>
  <c r="Z34"/>
  <c r="AA9"/>
  <c r="Y34"/>
  <c r="C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U11" i="2"/>
  <c r="U12"/>
  <c r="U13"/>
  <c r="U14"/>
  <c r="U15"/>
  <c r="U16"/>
  <c r="U17"/>
  <c r="U18"/>
  <c r="U19"/>
  <c r="U20"/>
  <c r="U21"/>
  <c r="U22"/>
  <c r="U23"/>
  <c r="U24"/>
  <c r="U25"/>
  <c r="U26"/>
  <c r="U27"/>
  <c r="U28"/>
  <c r="W28" s="1"/>
  <c r="U29"/>
  <c r="W29" s="1"/>
  <c r="U10"/>
  <c r="V10" s="1"/>
  <c r="S10"/>
  <c r="P10"/>
  <c r="P11" s="1"/>
  <c r="P12" s="1"/>
  <c r="U9"/>
  <c r="V9" s="1"/>
  <c r="S9"/>
  <c r="P9"/>
  <c r="AB9" i="13"/>
  <c r="AB25" s="1"/>
  <c r="AB9" i="10"/>
  <c r="AB30" s="1"/>
  <c r="AA9" i="7"/>
  <c r="AA52" s="1"/>
  <c r="C10" i="13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C10" i="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C10" i="7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C31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C32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C33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C35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C36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C37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C38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C39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D9"/>
  <c r="E9"/>
  <c r="F9"/>
  <c r="G9"/>
  <c r="H9"/>
  <c r="I9"/>
  <c r="J9"/>
  <c r="K9"/>
  <c r="L9"/>
  <c r="M9"/>
  <c r="N9"/>
  <c r="O9"/>
  <c r="P9"/>
  <c r="Q9"/>
  <c r="R9"/>
  <c r="S9"/>
  <c r="T9"/>
  <c r="U9"/>
  <c r="V9"/>
  <c r="C9"/>
  <c r="Q9" i="11"/>
  <c r="T9"/>
  <c r="Y9"/>
  <c r="Z9" s="1"/>
  <c r="W10"/>
  <c r="Y10"/>
  <c r="Z10" s="1"/>
  <c r="Y11"/>
  <c r="Y12"/>
  <c r="Y13"/>
  <c r="Y14"/>
  <c r="Y15"/>
  <c r="Y16"/>
  <c r="AA16" s="1"/>
  <c r="Y17"/>
  <c r="Y18"/>
  <c r="AA18" s="1"/>
  <c r="Y19"/>
  <c r="Y20"/>
  <c r="AA20" s="1"/>
  <c r="Y21"/>
  <c r="AA21" s="1"/>
  <c r="Y22"/>
  <c r="AA22" s="1"/>
  <c r="Y23"/>
  <c r="AA23" s="1"/>
  <c r="Y24"/>
  <c r="AA24" s="1"/>
  <c r="Y25"/>
  <c r="AA25" s="1"/>
  <c r="Y26"/>
  <c r="AA26" s="1"/>
  <c r="Y27"/>
  <c r="AA27" s="1"/>
  <c r="Y28"/>
  <c r="AA28" s="1"/>
  <c r="Y29"/>
  <c r="AA29" s="1"/>
  <c r="X9" i="8"/>
  <c r="P9" i="5"/>
  <c r="S9"/>
  <c r="V9"/>
  <c r="P10"/>
  <c r="P11" s="1"/>
  <c r="P12" s="1"/>
  <c r="P13" s="1"/>
  <c r="P14" s="1"/>
  <c r="P15" s="1"/>
  <c r="V10"/>
  <c r="V11" s="1"/>
  <c r="V12" s="1"/>
  <c r="V13" s="1"/>
  <c r="V14" s="1"/>
  <c r="T11" i="11" l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S11" i="5"/>
  <c r="S12" s="1"/>
  <c r="S13" s="1"/>
  <c r="S14" s="1"/>
  <c r="T14" s="1"/>
  <c r="AA55" i="7"/>
  <c r="AA54"/>
  <c r="Q27" i="11"/>
  <c r="Q28" s="1"/>
  <c r="Q29" s="1"/>
  <c r="Q13" i="5"/>
  <c r="S9" i="8"/>
  <c r="Y9"/>
  <c r="R4" s="1"/>
  <c r="AA36" i="10"/>
  <c r="Y36"/>
  <c r="AA34"/>
  <c r="Y34"/>
  <c r="AA32"/>
  <c r="Y32"/>
  <c r="AB36"/>
  <c r="Z36"/>
  <c r="AB34"/>
  <c r="Z34"/>
  <c r="AB32"/>
  <c r="Z32"/>
  <c r="AA57" i="7"/>
  <c r="Y57"/>
  <c r="Y56"/>
  <c r="Y55"/>
  <c r="Y54"/>
  <c r="AA56"/>
  <c r="Z57"/>
  <c r="Z56"/>
  <c r="Z55"/>
  <c r="Z54"/>
  <c r="AA30" i="13"/>
  <c r="Y30"/>
  <c r="AA29"/>
  <c r="Y29"/>
  <c r="AA28"/>
  <c r="Y28"/>
  <c r="AA27"/>
  <c r="Y27"/>
  <c r="AA26"/>
  <c r="Y26"/>
  <c r="AB30"/>
  <c r="Z30"/>
  <c r="AB29"/>
  <c r="Z29"/>
  <c r="AB28"/>
  <c r="Z28"/>
  <c r="AB27"/>
  <c r="Z27"/>
  <c r="AB26"/>
  <c r="Z26"/>
  <c r="V9" i="8"/>
  <c r="AB9"/>
  <c r="R5" s="1"/>
  <c r="T10" i="2"/>
  <c r="V10" i="8"/>
  <c r="Y10"/>
  <c r="AA10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R2"/>
  <c r="AA53" i="7"/>
  <c r="Y53"/>
  <c r="Z53"/>
  <c r="AA34" i="4"/>
  <c r="W9" i="2"/>
  <c r="P4" s="1"/>
  <c r="Q10"/>
  <c r="Q9"/>
  <c r="P2" s="1"/>
  <c r="T9"/>
  <c r="P3" s="1"/>
  <c r="W10"/>
  <c r="V1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AA9" i="11"/>
  <c r="Q5" s="1"/>
  <c r="Y33" i="4"/>
  <c r="Y32"/>
  <c r="AA33"/>
  <c r="Z33"/>
  <c r="AA32"/>
  <c r="Z32"/>
  <c r="Y35"/>
  <c r="AA35"/>
  <c r="Z35"/>
  <c r="X11" i="8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AA10" i="11"/>
  <c r="W9" i="5"/>
  <c r="P4" s="1"/>
  <c r="T9"/>
  <c r="P3" s="1"/>
  <c r="Q9"/>
  <c r="P2" s="1"/>
  <c r="Z11" i="1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W11"/>
  <c r="W12" s="1"/>
  <c r="W13" s="1"/>
  <c r="X10"/>
  <c r="U10"/>
  <c r="R10"/>
  <c r="U9"/>
  <c r="Q3" s="1"/>
  <c r="X9"/>
  <c r="Q4" s="1"/>
  <c r="R9"/>
  <c r="Q2" s="1"/>
  <c r="R12" i="8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U11"/>
  <c r="V11" s="1"/>
  <c r="R3"/>
  <c r="T10" i="5"/>
  <c r="Q10"/>
  <c r="W10"/>
  <c r="V15"/>
  <c r="P16"/>
  <c r="P17" s="1"/>
  <c r="P13" i="2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S11"/>
  <c r="R9" i="8"/>
  <c r="Q12" i="5" l="1"/>
  <c r="W12"/>
  <c r="AA13" i="11"/>
  <c r="W11" i="5"/>
  <c r="W13"/>
  <c r="T12"/>
  <c r="S15"/>
  <c r="T15" s="1"/>
  <c r="T11"/>
  <c r="Q11"/>
  <c r="Q14"/>
  <c r="T13"/>
  <c r="W14"/>
  <c r="W15"/>
  <c r="U13" i="11"/>
  <c r="W14"/>
  <c r="AA14" s="1"/>
  <c r="X13"/>
  <c r="R13"/>
  <c r="Y24" i="8"/>
  <c r="S10"/>
  <c r="AB10"/>
  <c r="AB11"/>
  <c r="S11"/>
  <c r="Y11"/>
  <c r="R12" i="11"/>
  <c r="U12" i="8"/>
  <c r="AB12" s="1"/>
  <c r="W11" i="2"/>
  <c r="Q11"/>
  <c r="T11"/>
  <c r="AA11" i="11"/>
  <c r="R11"/>
  <c r="X11"/>
  <c r="AA12"/>
  <c r="U11"/>
  <c r="U12"/>
  <c r="X12"/>
  <c r="V16" i="5"/>
  <c r="P18"/>
  <c r="S12" i="2"/>
  <c r="Q15" i="5" l="1"/>
  <c r="S16"/>
  <c r="W16" s="1"/>
  <c r="W15" i="11"/>
  <c r="AA15" s="1"/>
  <c r="U14"/>
  <c r="X14"/>
  <c r="R14"/>
  <c r="Y12" i="8"/>
  <c r="U13"/>
  <c r="V12"/>
  <c r="S12"/>
  <c r="W12" i="2"/>
  <c r="Q12"/>
  <c r="T12"/>
  <c r="V17" i="5"/>
  <c r="P19"/>
  <c r="S13" i="2"/>
  <c r="W13" s="1"/>
  <c r="S17" i="5" l="1"/>
  <c r="W17" s="1"/>
  <c r="T16"/>
  <c r="Q16"/>
  <c r="W16" i="11"/>
  <c r="X15"/>
  <c r="U15"/>
  <c r="R15"/>
  <c r="Y13" i="8"/>
  <c r="AB13"/>
  <c r="S14" i="2"/>
  <c r="W14" s="1"/>
  <c r="T13"/>
  <c r="Q13"/>
  <c r="U14" i="8"/>
  <c r="V13"/>
  <c r="S13"/>
  <c r="V18" i="5"/>
  <c r="P20"/>
  <c r="S18" l="1"/>
  <c r="T18" s="1"/>
  <c r="T17"/>
  <c r="Q17"/>
  <c r="W17" i="11"/>
  <c r="AA17" s="1"/>
  <c r="U16"/>
  <c r="X16"/>
  <c r="R16"/>
  <c r="W18"/>
  <c r="W18" i="5"/>
  <c r="Q18"/>
  <c r="Y14" i="8"/>
  <c r="AB14"/>
  <c r="S15" i="2"/>
  <c r="W15" s="1"/>
  <c r="T14"/>
  <c r="Q14"/>
  <c r="U15" i="8"/>
  <c r="AB15" s="1"/>
  <c r="V14"/>
  <c r="S14"/>
  <c r="S19" i="5"/>
  <c r="V19"/>
  <c r="P21"/>
  <c r="U17" i="11" l="1"/>
  <c r="R17"/>
  <c r="X17"/>
  <c r="W19"/>
  <c r="U19" s="1"/>
  <c r="U18"/>
  <c r="X18"/>
  <c r="R18"/>
  <c r="W20"/>
  <c r="T19" i="5"/>
  <c r="Q19"/>
  <c r="W19"/>
  <c r="S16" i="2"/>
  <c r="W16" s="1"/>
  <c r="T15"/>
  <c r="Q15"/>
  <c r="S15" i="8"/>
  <c r="Y15"/>
  <c r="U16"/>
  <c r="V15"/>
  <c r="V20" i="5"/>
  <c r="S20"/>
  <c r="P22"/>
  <c r="X19" i="11" l="1"/>
  <c r="AA19"/>
  <c r="W21"/>
  <c r="U20"/>
  <c r="X20"/>
  <c r="R20"/>
  <c r="W20" i="5"/>
  <c r="T20"/>
  <c r="Q20"/>
  <c r="R19" i="11"/>
  <c r="S17" i="2"/>
  <c r="W17" s="1"/>
  <c r="T16"/>
  <c r="Q16"/>
  <c r="Y16" i="8"/>
  <c r="AB16"/>
  <c r="U17"/>
  <c r="V16"/>
  <c r="S16"/>
  <c r="S21" i="5"/>
  <c r="V21"/>
  <c r="P23"/>
  <c r="W21" l="1"/>
  <c r="T21"/>
  <c r="Q21"/>
  <c r="W22" i="11"/>
  <c r="W23" s="1"/>
  <c r="W24" s="1"/>
  <c r="W25" s="1"/>
  <c r="W26" s="1"/>
  <c r="W27" s="1"/>
  <c r="W28" s="1"/>
  <c r="W29" s="1"/>
  <c r="X21"/>
  <c r="U21"/>
  <c r="R21"/>
  <c r="Y17" i="8"/>
  <c r="AB17"/>
  <c r="S18" i="2"/>
  <c r="W18" s="1"/>
  <c r="T17"/>
  <c r="Q17"/>
  <c r="U18" i="8"/>
  <c r="V17"/>
  <c r="S17"/>
  <c r="V22" i="5"/>
  <c r="S22"/>
  <c r="P24"/>
  <c r="W22" l="1"/>
  <c r="T22"/>
  <c r="Q22"/>
  <c r="Y18" i="8"/>
  <c r="AB18"/>
  <c r="U19"/>
  <c r="V18"/>
  <c r="S18"/>
  <c r="S19" i="2"/>
  <c r="W19" s="1"/>
  <c r="T18"/>
  <c r="Q18"/>
  <c r="S23" i="5"/>
  <c r="V23"/>
  <c r="P25"/>
  <c r="T23" l="1"/>
  <c r="Q23"/>
  <c r="W23"/>
  <c r="Y19" i="8"/>
  <c r="AB19"/>
  <c r="S20" i="2"/>
  <c r="W20" s="1"/>
  <c r="T19"/>
  <c r="Q19"/>
  <c r="U20" i="8"/>
  <c r="V19"/>
  <c r="S19"/>
  <c r="V24" i="5"/>
  <c r="S24"/>
  <c r="P26"/>
  <c r="T24" l="1"/>
  <c r="Q24"/>
  <c r="W24"/>
  <c r="S21" i="2"/>
  <c r="W21" s="1"/>
  <c r="T20"/>
  <c r="Q20"/>
  <c r="AB20" i="8"/>
  <c r="Y20"/>
  <c r="U21"/>
  <c r="V20"/>
  <c r="S20"/>
  <c r="V24"/>
  <c r="S24"/>
  <c r="S25" i="5"/>
  <c r="V25"/>
  <c r="P27"/>
  <c r="W25" l="1"/>
  <c r="T25"/>
  <c r="Q25"/>
  <c r="Y21" i="8"/>
  <c r="AB21"/>
  <c r="U22"/>
  <c r="V21"/>
  <c r="S21"/>
  <c r="S22" i="2"/>
  <c r="W22" s="1"/>
  <c r="T21"/>
  <c r="Q21"/>
  <c r="V25" i="8"/>
  <c r="S25"/>
  <c r="V26" i="5"/>
  <c r="S26"/>
  <c r="P28"/>
  <c r="T26" l="1"/>
  <c r="Q26"/>
  <c r="W26"/>
  <c r="Y22" i="8"/>
  <c r="AB22"/>
  <c r="S23" i="2"/>
  <c r="W23" s="1"/>
  <c r="T22"/>
  <c r="Q22"/>
  <c r="U23" i="8"/>
  <c r="Y23" s="1"/>
  <c r="V22"/>
  <c r="S22"/>
  <c r="S27" i="5"/>
  <c r="V27"/>
  <c r="P29"/>
  <c r="S24" i="2" l="1"/>
  <c r="W24" s="1"/>
  <c r="T23"/>
  <c r="Q23"/>
  <c r="U24" i="8"/>
  <c r="U25" s="1"/>
  <c r="U26" s="1"/>
  <c r="U27" s="1"/>
  <c r="U28" s="1"/>
  <c r="V23"/>
  <c r="S23"/>
  <c r="V28" i="5"/>
  <c r="S28"/>
  <c r="S25" i="2" l="1"/>
  <c r="W25" s="1"/>
  <c r="T24"/>
  <c r="Q24"/>
  <c r="U29" i="8"/>
  <c r="S29" i="5"/>
  <c r="V29"/>
  <c r="S26" i="2" l="1"/>
  <c r="W26" s="1"/>
  <c r="T25"/>
  <c r="Q25"/>
  <c r="S27" l="1"/>
  <c r="W27" s="1"/>
  <c r="T26"/>
  <c r="Q26"/>
  <c r="S28" l="1"/>
  <c r="S29" s="1"/>
  <c r="T27"/>
  <c r="Q27"/>
</calcChain>
</file>

<file path=xl/sharedStrings.xml><?xml version="1.0" encoding="utf-8"?>
<sst xmlns="http://schemas.openxmlformats.org/spreadsheetml/2006/main" count="317" uniqueCount="80">
  <si>
    <t>Turno</t>
  </si>
  <si>
    <t>Entidad</t>
  </si>
  <si>
    <t>Centro</t>
  </si>
  <si>
    <t>.</t>
  </si>
  <si>
    <t>Otro</t>
  </si>
  <si>
    <t>Exit Poll Regional Noviembre 2.008</t>
  </si>
  <si>
    <t xml:space="preserve"> </t>
  </si>
  <si>
    <t>Municipio</t>
  </si>
  <si>
    <t>Pagina Principal</t>
  </si>
  <si>
    <t>MIRANDA</t>
  </si>
  <si>
    <t>SUCRE</t>
  </si>
  <si>
    <t>INDEPENDENCIA</t>
  </si>
  <si>
    <t>ZAMORA</t>
  </si>
  <si>
    <t>Parroquia</t>
  </si>
  <si>
    <t>Jorge Rodriguez</t>
  </si>
  <si>
    <t>Stalin Gonzalez</t>
  </si>
  <si>
    <t>Claudio Fermin</t>
  </si>
  <si>
    <t>|</t>
  </si>
  <si>
    <t>Region Centro Occidental</t>
  </si>
  <si>
    <t>Transcripción Falcón</t>
  </si>
  <si>
    <t>Supervisor Falcón</t>
  </si>
  <si>
    <t>Gráficos de Falcón</t>
  </si>
  <si>
    <t>Transcripción Lara</t>
  </si>
  <si>
    <t>Supervisor de Lara</t>
  </si>
  <si>
    <t>Gráficos de Lara</t>
  </si>
  <si>
    <t>Transcripción Portuguesa</t>
  </si>
  <si>
    <t>Supervisor de Portuguesa</t>
  </si>
  <si>
    <t>Gráficos de Portuguesa</t>
  </si>
  <si>
    <t>Transcripción Yaracuy</t>
  </si>
  <si>
    <t>Supervisor de Yaracuy</t>
  </si>
  <si>
    <t>Gráficos de Yaracuy</t>
  </si>
  <si>
    <t>Falcón</t>
  </si>
  <si>
    <t>FALCON</t>
  </si>
  <si>
    <t>FALCÓN</t>
  </si>
  <si>
    <t>Lara</t>
  </si>
  <si>
    <t>GOBERNACION DE LARA</t>
  </si>
  <si>
    <t>LARA</t>
  </si>
  <si>
    <t>Estado Portuguesa</t>
  </si>
  <si>
    <t>GOBERNACION DE PORTUGUESA</t>
  </si>
  <si>
    <t>PORTUGUESA</t>
  </si>
  <si>
    <t>GOBERNACIÓN DE YARACUY</t>
  </si>
  <si>
    <t>YARACUY</t>
  </si>
  <si>
    <t>Estado Lara</t>
  </si>
  <si>
    <t>GOBERNACION DE FALCON</t>
  </si>
  <si>
    <t>Estado Falcón</t>
  </si>
  <si>
    <t>Stella Lugo</t>
  </si>
  <si>
    <t>Gregorio Graterol</t>
  </si>
  <si>
    <t>SumaFA</t>
  </si>
  <si>
    <t>CARIRUBANA</t>
  </si>
  <si>
    <t>Henri Falcon</t>
  </si>
  <si>
    <t>Pedro Pablo Alcantara</t>
  </si>
  <si>
    <t>SumaLA</t>
  </si>
  <si>
    <t>CRESPO</t>
  </si>
  <si>
    <t>IRIBARREN</t>
  </si>
  <si>
    <t>JIMENEZ</t>
  </si>
  <si>
    <t>MORAN</t>
  </si>
  <si>
    <t>PALAVECINO</t>
  </si>
  <si>
    <t>TORRES</t>
  </si>
  <si>
    <t>SumaPO</t>
  </si>
  <si>
    <t>Wilmar Castro</t>
  </si>
  <si>
    <t>Jobito Villegas</t>
  </si>
  <si>
    <t>Bella Petrizzo</t>
  </si>
  <si>
    <t>ARAURE</t>
  </si>
  <si>
    <t>ESTELLER</t>
  </si>
  <si>
    <t>GUANARE</t>
  </si>
  <si>
    <t>OSPINO</t>
  </si>
  <si>
    <t>PAEZ</t>
  </si>
  <si>
    <t>TUREN</t>
  </si>
  <si>
    <t>Estado Yaracuy</t>
  </si>
  <si>
    <t>Julio Leon</t>
  </si>
  <si>
    <t>Edward Capdevielle</t>
  </si>
  <si>
    <t>Filippo Lapi</t>
  </si>
  <si>
    <t>SumaYA</t>
  </si>
  <si>
    <t>BRUZUAL</t>
  </si>
  <si>
    <t>COCOROTE</t>
  </si>
  <si>
    <t>NIRGUA</t>
  </si>
  <si>
    <t>PEÑA</t>
  </si>
  <si>
    <t>SAN FELIPE</t>
  </si>
  <si>
    <t>Portuguesa</t>
  </si>
  <si>
    <t>Yaracuy</t>
  </si>
</sst>
</file>

<file path=xl/styles.xml><?xml version="1.0" encoding="utf-8"?>
<styleSheet xmlns="http://schemas.openxmlformats.org/spreadsheetml/2006/main">
  <numFmts count="1">
    <numFmt numFmtId="164" formatCode="0.0%"/>
  </numFmts>
  <fonts count="36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4"/>
      <name val="Arial"/>
      <family val="2"/>
    </font>
    <font>
      <sz val="22"/>
      <name val="Arial"/>
      <family val="2"/>
    </font>
    <font>
      <b/>
      <sz val="11"/>
      <name val="Arial"/>
      <family val="2"/>
    </font>
    <font>
      <b/>
      <i/>
      <u/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i/>
      <sz val="10"/>
      <color rgb="FF006600"/>
      <name val="Arial"/>
      <family val="2"/>
    </font>
    <font>
      <i/>
      <sz val="26"/>
      <color rgb="FF7030A0"/>
      <name val="Arial"/>
      <family val="2"/>
    </font>
    <font>
      <i/>
      <sz val="26"/>
      <color rgb="FFFF0000"/>
      <name val="Arial"/>
      <family val="2"/>
    </font>
    <font>
      <i/>
      <sz val="26"/>
      <color theme="9" tint="-0.249977111117893"/>
      <name val="Arial"/>
      <family val="2"/>
    </font>
    <font>
      <i/>
      <sz val="26"/>
      <color rgb="FF00B05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i/>
      <sz val="20"/>
      <color theme="3" tint="-0.249977111117893"/>
      <name val="Arial"/>
      <family val="2"/>
    </font>
    <font>
      <i/>
      <sz val="18"/>
      <color theme="3" tint="-0.249977111117893"/>
      <name val="Arial"/>
      <family val="2"/>
    </font>
    <font>
      <i/>
      <sz val="10"/>
      <color theme="9" tint="-0.249977111117893"/>
      <name val="Arial"/>
      <family val="2"/>
    </font>
    <font>
      <b/>
      <sz val="11"/>
      <color theme="3" tint="-0.249977111117893"/>
      <name val="Arial"/>
      <family val="2"/>
    </font>
    <font>
      <b/>
      <i/>
      <sz val="11"/>
      <color theme="3" tint="-0.249977111117893"/>
      <name val="Arial"/>
      <family val="2"/>
    </font>
    <font>
      <sz val="36"/>
      <color theme="3" tint="-0.249977111117893"/>
      <name val="Arial"/>
      <family val="2"/>
    </font>
    <font>
      <b/>
      <i/>
      <sz val="10"/>
      <color rgb="FF009900"/>
      <name val="Arial"/>
      <family val="2"/>
    </font>
    <font>
      <b/>
      <i/>
      <u/>
      <sz val="10"/>
      <color rgb="FF009900"/>
      <name val="Arial"/>
      <family val="2"/>
    </font>
    <font>
      <sz val="10"/>
      <color rgb="FF002060"/>
      <name val="Arial"/>
      <family val="2"/>
    </font>
    <font>
      <b/>
      <i/>
      <u/>
      <sz val="11"/>
      <color rgb="FF002060"/>
      <name val="Arial"/>
      <family val="2"/>
    </font>
    <font>
      <b/>
      <sz val="11"/>
      <color rgb="FF002060"/>
      <name val="Arial"/>
      <family val="2"/>
    </font>
    <font>
      <i/>
      <sz val="16"/>
      <color rgb="FF002060"/>
      <name val="Arial"/>
      <family val="2"/>
    </font>
    <font>
      <b/>
      <i/>
      <sz val="11"/>
      <color rgb="FF002060"/>
      <name val="Arial"/>
      <family val="2"/>
    </font>
    <font>
      <b/>
      <i/>
      <u/>
      <sz val="10"/>
      <color rgb="FFFF0000"/>
      <name val="Arial"/>
      <family val="2"/>
    </font>
    <font>
      <b/>
      <i/>
      <sz val="22"/>
      <color rgb="FF002060"/>
      <name val="Arial"/>
      <family val="2"/>
    </font>
    <font>
      <i/>
      <sz val="36"/>
      <color rgb="FF002060"/>
      <name val="Arial"/>
      <family val="2"/>
    </font>
    <font>
      <b/>
      <i/>
      <sz val="20"/>
      <color rgb="FFFF0000"/>
      <name val="Arial"/>
      <family val="2"/>
    </font>
    <font>
      <i/>
      <sz val="26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5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dashed">
        <color indexed="64"/>
      </bottom>
      <diagonal/>
    </border>
    <border>
      <left style="medium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76">
    <xf numFmtId="0" fontId="0" fillId="0" borderId="0" xfId="0"/>
    <xf numFmtId="1" fontId="2" fillId="0" borderId="0" xfId="0" applyNumberFormat="1" applyFont="1" applyBorder="1" applyAlignment="1">
      <alignment horizontal="center" vertical="center" wrapText="1"/>
    </xf>
    <xf numFmtId="1" fontId="3" fillId="0" borderId="0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 indent="1"/>
    </xf>
    <xf numFmtId="1" fontId="0" fillId="0" borderId="2" xfId="0" applyNumberFormat="1" applyBorder="1" applyAlignment="1">
      <alignment horizontal="right" vertical="center" indent="1"/>
    </xf>
    <xf numFmtId="1" fontId="0" fillId="0" borderId="0" xfId="0" applyNumberFormat="1" applyBorder="1" applyAlignment="1">
      <alignment horizontal="right" vertical="center" indent="1"/>
    </xf>
    <xf numFmtId="20" fontId="0" fillId="0" borderId="0" xfId="0" applyNumberFormat="1" applyAlignment="1">
      <alignment vertical="center"/>
    </xf>
    <xf numFmtId="1" fontId="0" fillId="0" borderId="3" xfId="0" applyNumberFormat="1" applyBorder="1" applyAlignment="1">
      <alignment horizontal="right" vertical="center" indent="1"/>
    </xf>
    <xf numFmtId="1" fontId="0" fillId="0" borderId="4" xfId="0" applyNumberFormat="1" applyBorder="1" applyAlignment="1">
      <alignment horizontal="right" vertical="center" indent="1"/>
    </xf>
    <xf numFmtId="2" fontId="0" fillId="0" borderId="5" xfId="0" applyNumberFormat="1" applyBorder="1" applyAlignment="1">
      <alignment horizontal="right" vertical="center" indent="1"/>
    </xf>
    <xf numFmtId="2" fontId="0" fillId="0" borderId="0" xfId="0" applyNumberFormat="1" applyBorder="1" applyAlignment="1">
      <alignment horizontal="right" vertical="center" indent="1"/>
    </xf>
    <xf numFmtId="2" fontId="0" fillId="0" borderId="4" xfId="0" applyNumberFormat="1" applyBorder="1" applyAlignment="1">
      <alignment horizontal="right" vertical="center" indent="1"/>
    </xf>
    <xf numFmtId="0" fontId="7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9" fontId="6" fillId="3" borderId="7" xfId="0" applyNumberFormat="1" applyFont="1" applyFill="1" applyBorder="1" applyAlignment="1" applyProtection="1">
      <alignment horizontal="center" vertical="center"/>
      <protection locked="0"/>
    </xf>
    <xf numFmtId="0" fontId="6" fillId="3" borderId="7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5" fillId="0" borderId="0" xfId="0" applyFont="1" applyAlignment="1">
      <alignment horizontal="right" vertical="center"/>
    </xf>
    <xf numFmtId="0" fontId="7" fillId="2" borderId="6" xfId="0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6" fillId="5" borderId="7" xfId="0" applyNumberFormat="1" applyFont="1" applyFill="1" applyBorder="1" applyAlignment="1" applyProtection="1">
      <alignment horizontal="center" vertical="center"/>
      <protection locked="0"/>
    </xf>
    <xf numFmtId="0" fontId="6" fillId="5" borderId="7" xfId="0" applyNumberFormat="1" applyFont="1" applyFill="1" applyBorder="1" applyAlignment="1" applyProtection="1">
      <alignment horizontal="center" vertical="center"/>
      <protection locked="0"/>
    </xf>
    <xf numFmtId="1" fontId="5" fillId="3" borderId="10" xfId="0" applyNumberFormat="1" applyFont="1" applyFill="1" applyBorder="1" applyAlignment="1" applyProtection="1">
      <alignment horizontal="right" vertical="center" indent="2"/>
      <protection locked="0"/>
    </xf>
    <xf numFmtId="1" fontId="5" fillId="3" borderId="11" xfId="0" applyNumberFormat="1" applyFont="1" applyFill="1" applyBorder="1" applyAlignment="1" applyProtection="1">
      <alignment horizontal="right" vertical="center" indent="2"/>
      <protection locked="0"/>
    </xf>
    <xf numFmtId="1" fontId="0" fillId="0" borderId="12" xfId="0" quotePrefix="1" applyNumberFormat="1" applyBorder="1" applyAlignment="1">
      <alignment horizontal="right" vertical="center" indent="1"/>
    </xf>
    <xf numFmtId="1" fontId="0" fillId="0" borderId="13" xfId="0" quotePrefix="1" applyNumberFormat="1" applyBorder="1" applyAlignment="1">
      <alignment horizontal="right" vertical="center" indent="1"/>
    </xf>
    <xf numFmtId="2" fontId="0" fillId="0" borderId="13" xfId="0" applyNumberFormat="1" applyBorder="1" applyAlignment="1">
      <alignment horizontal="right" vertical="center" indent="1"/>
    </xf>
    <xf numFmtId="2" fontId="0" fillId="0" borderId="14" xfId="0" applyNumberFormat="1" applyBorder="1" applyAlignment="1">
      <alignment horizontal="right" vertical="center" inden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" fontId="5" fillId="6" borderId="10" xfId="0" applyNumberFormat="1" applyFont="1" applyFill="1" applyBorder="1" applyAlignment="1" applyProtection="1">
      <alignment horizontal="right" vertical="center" indent="2"/>
      <protection locked="0"/>
    </xf>
    <xf numFmtId="1" fontId="5" fillId="6" borderId="11" xfId="0" applyNumberFormat="1" applyFont="1" applyFill="1" applyBorder="1" applyAlignment="1" applyProtection="1">
      <alignment horizontal="right" vertical="center" indent="2"/>
      <protection locked="0"/>
    </xf>
    <xf numFmtId="49" fontId="6" fillId="6" borderId="7" xfId="0" applyNumberFormat="1" applyFont="1" applyFill="1" applyBorder="1" applyAlignment="1" applyProtection="1">
      <alignment horizontal="right" vertical="center" indent="2"/>
      <protection locked="0"/>
    </xf>
    <xf numFmtId="0" fontId="6" fillId="6" borderId="7" xfId="0" applyNumberFormat="1" applyFont="1" applyFill="1" applyBorder="1" applyAlignment="1" applyProtection="1">
      <alignment horizontal="right" vertical="center" indent="2"/>
      <protection locked="0"/>
    </xf>
    <xf numFmtId="0" fontId="6" fillId="6" borderId="9" xfId="0" applyNumberFormat="1" applyFont="1" applyFill="1" applyBorder="1" applyAlignment="1" applyProtection="1">
      <alignment horizontal="right" vertical="center" indent="2"/>
      <protection locked="0"/>
    </xf>
    <xf numFmtId="1" fontId="5" fillId="6" borderId="15" xfId="0" applyNumberFormat="1" applyFont="1" applyFill="1" applyBorder="1" applyAlignment="1" applyProtection="1">
      <alignment horizontal="right" vertical="center" indent="2"/>
      <protection locked="0"/>
    </xf>
    <xf numFmtId="1" fontId="5" fillId="6" borderId="16" xfId="0" applyNumberFormat="1" applyFont="1" applyFill="1" applyBorder="1" applyAlignment="1" applyProtection="1">
      <alignment horizontal="right" vertical="center" indent="2"/>
      <protection locked="0"/>
    </xf>
    <xf numFmtId="1" fontId="7" fillId="2" borderId="6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1" fontId="7" fillId="2" borderId="6" xfId="0" applyNumberFormat="1" applyFont="1" applyFill="1" applyBorder="1" applyAlignment="1">
      <alignment horizontal="center" vertical="center" wrapText="1"/>
    </xf>
    <xf numFmtId="1" fontId="5" fillId="4" borderId="11" xfId="0" applyNumberFormat="1" applyFont="1" applyFill="1" applyBorder="1" applyAlignment="1" applyProtection="1">
      <alignment horizontal="right" vertical="center" indent="2"/>
      <protection locked="0"/>
    </xf>
    <xf numFmtId="1" fontId="5" fillId="5" borderId="10" xfId="0" applyNumberFormat="1" applyFont="1" applyFill="1" applyBorder="1" applyAlignment="1" applyProtection="1">
      <alignment horizontal="right" vertical="center" indent="2"/>
      <protection locked="0"/>
    </xf>
    <xf numFmtId="1" fontId="5" fillId="5" borderId="11" xfId="0" applyNumberFormat="1" applyFont="1" applyFill="1" applyBorder="1" applyAlignment="1" applyProtection="1">
      <alignment horizontal="right" vertical="center" indent="2"/>
      <protection locked="0"/>
    </xf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1"/>
    </xf>
    <xf numFmtId="0" fontId="2" fillId="0" borderId="0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NumberFormat="1" applyFont="1" applyBorder="1" applyAlignment="1">
      <alignment vertical="center"/>
    </xf>
    <xf numFmtId="164" fontId="3" fillId="0" borderId="0" xfId="2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" fontId="3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 wrapText="1"/>
    </xf>
    <xf numFmtId="20" fontId="3" fillId="0" borderId="0" xfId="0" applyNumberFormat="1" applyFont="1" applyBorder="1" applyAlignment="1">
      <alignment vertical="center"/>
    </xf>
    <xf numFmtId="0" fontId="3" fillId="0" borderId="0" xfId="0" applyFont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3" fillId="0" borderId="17" xfId="0" applyFont="1" applyBorder="1" applyAlignment="1" applyProtection="1">
      <alignment horizontal="center"/>
      <protection locked="0"/>
    </xf>
    <xf numFmtId="0" fontId="3" fillId="0" borderId="18" xfId="0" applyFont="1" applyBorder="1" applyAlignment="1" applyProtection="1">
      <alignment horizontal="center"/>
      <protection locked="0"/>
    </xf>
    <xf numFmtId="1" fontId="3" fillId="7" borderId="21" xfId="0" applyNumberFormat="1" applyFont="1" applyFill="1" applyBorder="1" applyAlignment="1">
      <alignment horizontal="center" vertical="center"/>
    </xf>
    <xf numFmtId="0" fontId="3" fillId="0" borderId="23" xfId="0" applyFont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Border="1" applyAlignment="1" applyProtection="1">
      <alignment horizontal="center"/>
      <protection locked="0"/>
    </xf>
    <xf numFmtId="0" fontId="25" fillId="0" borderId="0" xfId="1" applyFont="1" applyAlignment="1" applyProtection="1">
      <alignment vertical="center"/>
    </xf>
    <xf numFmtId="20" fontId="3" fillId="0" borderId="24" xfId="0" applyNumberFormat="1" applyFont="1" applyBorder="1" applyAlignment="1">
      <alignment horizontal="center" vertical="center"/>
    </xf>
    <xf numFmtId="20" fontId="3" fillId="0" borderId="25" xfId="0" applyNumberFormat="1" applyFont="1" applyBorder="1" applyAlignment="1">
      <alignment horizontal="center" vertical="center"/>
    </xf>
    <xf numFmtId="20" fontId="3" fillId="0" borderId="26" xfId="0" applyNumberFormat="1" applyFont="1" applyBorder="1" applyAlignment="1">
      <alignment horizontal="center" vertical="center"/>
    </xf>
    <xf numFmtId="0" fontId="3" fillId="0" borderId="19" xfId="0" applyFont="1" applyBorder="1" applyAlignment="1" applyProtection="1">
      <alignment horizontal="center"/>
      <protection locked="0"/>
    </xf>
    <xf numFmtId="1" fontId="25" fillId="0" borderId="0" xfId="0" applyNumberFormat="1" applyFont="1" applyBorder="1" applyAlignment="1">
      <alignment horizontal="center" vertical="center" wrapText="1"/>
    </xf>
    <xf numFmtId="0" fontId="25" fillId="0" borderId="0" xfId="0" applyFont="1" applyBorder="1" applyAlignment="1" applyProtection="1">
      <alignment horizontal="center"/>
      <protection locked="0"/>
    </xf>
    <xf numFmtId="0" fontId="25" fillId="0" borderId="0" xfId="0" applyFont="1" applyAlignment="1">
      <alignment vertical="center"/>
    </xf>
    <xf numFmtId="0" fontId="2" fillId="0" borderId="0" xfId="0" applyFont="1" applyBorder="1" applyAlignment="1" applyProtection="1">
      <alignment horizont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28" xfId="0" applyFont="1" applyBorder="1" applyAlignment="1" applyProtection="1">
      <alignment horizontal="center"/>
      <protection locked="0"/>
    </xf>
    <xf numFmtId="0" fontId="3" fillId="0" borderId="29" xfId="0" applyFont="1" applyBorder="1" applyAlignment="1" applyProtection="1">
      <alignment horizontal="center"/>
      <protection locked="0"/>
    </xf>
    <xf numFmtId="20" fontId="0" fillId="0" borderId="0" xfId="0" applyNumberFormat="1" applyAlignment="1">
      <alignment horizontal="center" vertical="center"/>
    </xf>
    <xf numFmtId="0" fontId="10" fillId="0" borderId="23" xfId="0" applyFont="1" applyBorder="1" applyAlignment="1">
      <alignment horizontal="left" indent="1"/>
    </xf>
    <xf numFmtId="0" fontId="10" fillId="0" borderId="22" xfId="0" applyFont="1" applyBorder="1" applyAlignment="1">
      <alignment horizontal="left" indent="1"/>
    </xf>
    <xf numFmtId="0" fontId="3" fillId="0" borderId="22" xfId="0" applyFont="1" applyBorder="1" applyAlignment="1">
      <alignment horizontal="center"/>
    </xf>
    <xf numFmtId="2" fontId="3" fillId="0" borderId="0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7" fillId="0" borderId="0" xfId="1" applyFont="1" applyAlignment="1" applyProtection="1">
      <alignment vertical="center"/>
    </xf>
    <xf numFmtId="0" fontId="30" fillId="0" borderId="0" xfId="0" applyFont="1" applyAlignment="1">
      <alignment vertical="center"/>
    </xf>
    <xf numFmtId="0" fontId="25" fillId="0" borderId="0" xfId="0" applyFont="1" applyBorder="1"/>
    <xf numFmtId="0" fontId="3" fillId="0" borderId="25" xfId="0" applyFont="1" applyBorder="1" applyAlignment="1" applyProtection="1">
      <alignment horizontal="center"/>
      <protection locked="0"/>
    </xf>
    <xf numFmtId="0" fontId="3" fillId="0" borderId="26" xfId="0" applyFont="1" applyBorder="1" applyAlignment="1" applyProtection="1">
      <alignment horizontal="center"/>
      <protection locked="0"/>
    </xf>
    <xf numFmtId="0" fontId="31" fillId="0" borderId="0" xfId="0" applyFont="1" applyAlignment="1">
      <alignment vertical="center"/>
    </xf>
    <xf numFmtId="0" fontId="10" fillId="0" borderId="32" xfId="0" applyFont="1" applyBorder="1" applyAlignment="1">
      <alignment horizontal="left" indent="1"/>
    </xf>
    <xf numFmtId="0" fontId="10" fillId="0" borderId="18" xfId="0" applyFont="1" applyBorder="1" applyAlignment="1">
      <alignment horizontal="left" indent="1"/>
    </xf>
    <xf numFmtId="0" fontId="10" fillId="0" borderId="20" xfId="0" applyFont="1" applyBorder="1" applyAlignment="1">
      <alignment horizontal="left" indent="1"/>
    </xf>
    <xf numFmtId="0" fontId="3" fillId="0" borderId="23" xfId="0" applyFont="1" applyBorder="1" applyAlignment="1" applyProtection="1">
      <alignment horizontal="center"/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3" fillId="0" borderId="17" xfId="0" applyFont="1" applyBorder="1" applyAlignment="1">
      <alignment horizontal="center"/>
    </xf>
    <xf numFmtId="20" fontId="3" fillId="0" borderId="34" xfId="0" applyNumberFormat="1" applyFont="1" applyBorder="1" applyAlignment="1">
      <alignment horizontal="center" vertical="center"/>
    </xf>
    <xf numFmtId="20" fontId="3" fillId="0" borderId="35" xfId="0" applyNumberFormat="1" applyFont="1" applyBorder="1" applyAlignment="1">
      <alignment horizontal="center" vertical="center"/>
    </xf>
    <xf numFmtId="20" fontId="3" fillId="0" borderId="36" xfId="0" applyNumberFormat="1" applyFont="1" applyBorder="1" applyAlignment="1">
      <alignment horizontal="center" vertical="center"/>
    </xf>
    <xf numFmtId="1" fontId="3" fillId="0" borderId="25" xfId="0" applyNumberFormat="1" applyFont="1" applyFill="1" applyBorder="1" applyAlignment="1">
      <alignment horizontal="center" vertical="center"/>
    </xf>
    <xf numFmtId="1" fontId="3" fillId="0" borderId="26" xfId="0" applyNumberFormat="1" applyFont="1" applyFill="1" applyBorder="1" applyAlignment="1">
      <alignment horizontal="center" vertical="center"/>
    </xf>
    <xf numFmtId="1" fontId="3" fillId="7" borderId="17" xfId="0" applyNumberFormat="1" applyFont="1" applyFill="1" applyBorder="1" applyAlignment="1">
      <alignment horizontal="center" vertical="center"/>
    </xf>
    <xf numFmtId="0" fontId="3" fillId="0" borderId="0" xfId="0" applyFont="1" applyBorder="1" applyAlignment="1" applyProtection="1">
      <alignment horizontal="left"/>
      <protection locked="0"/>
    </xf>
    <xf numFmtId="1" fontId="2" fillId="0" borderId="0" xfId="0" applyNumberFormat="1" applyFont="1" applyBorder="1" applyAlignment="1">
      <alignment horizontal="left" vertical="center" wrapText="1"/>
    </xf>
    <xf numFmtId="1" fontId="5" fillId="4" borderId="37" xfId="0" applyNumberFormat="1" applyFont="1" applyFill="1" applyBorder="1" applyAlignment="1" applyProtection="1">
      <alignment horizontal="right" vertical="center" indent="2"/>
      <protection locked="0"/>
    </xf>
    <xf numFmtId="0" fontId="3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" fontId="5" fillId="4" borderId="38" xfId="0" applyNumberFormat="1" applyFont="1" applyFill="1" applyBorder="1" applyAlignment="1" applyProtection="1">
      <alignment horizontal="right" vertical="center" indent="2"/>
      <protection locked="0"/>
    </xf>
    <xf numFmtId="1" fontId="5" fillId="4" borderId="39" xfId="0" applyNumberFormat="1" applyFont="1" applyFill="1" applyBorder="1" applyAlignment="1" applyProtection="1">
      <alignment horizontal="right" vertical="center" indent="2"/>
      <protection locked="0"/>
    </xf>
    <xf numFmtId="49" fontId="6" fillId="4" borderId="40" xfId="0" applyNumberFormat="1" applyFont="1" applyFill="1" applyBorder="1" applyAlignment="1" applyProtection="1">
      <alignment horizontal="center" vertical="center"/>
      <protection locked="0"/>
    </xf>
    <xf numFmtId="0" fontId="6" fillId="4" borderId="40" xfId="0" applyNumberFormat="1" applyFont="1" applyFill="1" applyBorder="1" applyAlignment="1" applyProtection="1">
      <alignment horizontal="center" vertical="center"/>
      <protection locked="0"/>
    </xf>
    <xf numFmtId="0" fontId="6" fillId="4" borderId="41" xfId="0" applyNumberFormat="1" applyFont="1" applyFill="1" applyBorder="1" applyAlignment="1" applyProtection="1">
      <alignment horizontal="center" vertical="center"/>
      <protection locked="0"/>
    </xf>
    <xf numFmtId="0" fontId="10" fillId="0" borderId="18" xfId="0" applyFont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3" fillId="0" borderId="19" xfId="0" applyFont="1" applyBorder="1" applyAlignment="1">
      <alignment horizontal="center"/>
    </xf>
    <xf numFmtId="0" fontId="10" fillId="0" borderId="32" xfId="0" applyFont="1" applyBorder="1" applyAlignment="1">
      <alignment horizontal="left"/>
    </xf>
    <xf numFmtId="1" fontId="3" fillId="0" borderId="24" xfId="0" applyNumberFormat="1" applyFont="1" applyFill="1" applyBorder="1" applyAlignment="1">
      <alignment horizontal="center" vertical="center"/>
    </xf>
    <xf numFmtId="0" fontId="3" fillId="0" borderId="6" xfId="0" applyFont="1" applyBorder="1" applyAlignment="1" applyProtection="1">
      <alignment horizontal="center"/>
      <protection locked="0"/>
    </xf>
    <xf numFmtId="1" fontId="3" fillId="7" borderId="42" xfId="0" applyNumberFormat="1" applyFont="1" applyFill="1" applyBorder="1" applyAlignment="1">
      <alignment horizontal="center" vertical="center"/>
    </xf>
    <xf numFmtId="1" fontId="3" fillId="7" borderId="43" xfId="0" applyNumberFormat="1" applyFont="1" applyFill="1" applyBorder="1" applyAlignment="1">
      <alignment horizontal="center" vertical="center"/>
    </xf>
    <xf numFmtId="1" fontId="3" fillId="7" borderId="5" xfId="0" applyNumberFormat="1" applyFont="1" applyFill="1" applyBorder="1" applyAlignment="1">
      <alignment horizontal="center" vertical="center"/>
    </xf>
    <xf numFmtId="0" fontId="3" fillId="0" borderId="44" xfId="0" applyFont="1" applyBorder="1" applyAlignment="1" applyProtection="1">
      <alignment horizontal="center"/>
      <protection locked="0"/>
    </xf>
    <xf numFmtId="1" fontId="3" fillId="0" borderId="45" xfId="0" applyNumberFormat="1" applyFont="1" applyFill="1" applyBorder="1" applyAlignment="1">
      <alignment horizontal="center" vertical="center"/>
    </xf>
    <xf numFmtId="1" fontId="3" fillId="0" borderId="46" xfId="0" applyNumberFormat="1" applyFont="1" applyFill="1" applyBorder="1" applyAlignment="1">
      <alignment horizontal="center" vertical="center"/>
    </xf>
    <xf numFmtId="1" fontId="3" fillId="0" borderId="47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/>
    </xf>
    <xf numFmtId="1" fontId="3" fillId="7" borderId="24" xfId="0" applyNumberFormat="1" applyFont="1" applyFill="1" applyBorder="1" applyAlignment="1">
      <alignment horizontal="center" vertical="center"/>
    </xf>
    <xf numFmtId="1" fontId="3" fillId="7" borderId="48" xfId="0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1" fontId="5" fillId="6" borderId="49" xfId="0" applyNumberFormat="1" applyFont="1" applyFill="1" applyBorder="1" applyAlignment="1" applyProtection="1">
      <alignment horizontal="right" vertical="center" indent="2"/>
      <protection locked="0"/>
    </xf>
    <xf numFmtId="1" fontId="5" fillId="6" borderId="50" xfId="0" applyNumberFormat="1" applyFont="1" applyFill="1" applyBorder="1" applyAlignment="1" applyProtection="1">
      <alignment horizontal="right" vertical="center" indent="2"/>
      <protection locked="0"/>
    </xf>
    <xf numFmtId="0" fontId="6" fillId="6" borderId="51" xfId="0" applyNumberFormat="1" applyFont="1" applyFill="1" applyBorder="1" applyAlignment="1" applyProtection="1">
      <alignment horizontal="right" vertical="center" indent="2"/>
      <protection locked="0"/>
    </xf>
    <xf numFmtId="0" fontId="3" fillId="0" borderId="52" xfId="0" applyFont="1" applyBorder="1" applyAlignment="1" applyProtection="1">
      <alignment horizontal="center"/>
      <protection locked="0"/>
    </xf>
    <xf numFmtId="0" fontId="3" fillId="0" borderId="53" xfId="0" applyFont="1" applyBorder="1" applyAlignment="1" applyProtection="1">
      <alignment horizontal="center" vertical="center"/>
      <protection locked="0"/>
    </xf>
    <xf numFmtId="0" fontId="25" fillId="0" borderId="0" xfId="1" applyFont="1" applyAlignment="1" applyProtection="1">
      <alignment vertical="center"/>
      <protection locked="0"/>
    </xf>
    <xf numFmtId="0" fontId="0" fillId="0" borderId="0" xfId="0" applyFill="1" applyAlignment="1" applyProtection="1">
      <alignment vertical="center"/>
    </xf>
    <xf numFmtId="0" fontId="24" fillId="0" borderId="0" xfId="0" applyFont="1" applyFill="1" applyAlignment="1" applyProtection="1">
      <alignment vertical="center"/>
    </xf>
    <xf numFmtId="0" fontId="11" fillId="0" borderId="0" xfId="0" applyFont="1" applyFill="1" applyAlignment="1" applyProtection="1">
      <alignment vertical="center"/>
    </xf>
    <xf numFmtId="0" fontId="0" fillId="0" borderId="0" xfId="0" applyFill="1" applyProtection="1"/>
    <xf numFmtId="0" fontId="7" fillId="0" borderId="0" xfId="0" applyFont="1" applyFill="1" applyBorder="1" applyAlignment="1" applyProtection="1">
      <alignment horizontal="center" vertical="center" wrapText="1"/>
    </xf>
    <xf numFmtId="1" fontId="5" fillId="0" borderId="0" xfId="0" applyNumberFormat="1" applyFont="1" applyFill="1" applyBorder="1" applyAlignment="1" applyProtection="1">
      <alignment horizontal="right" vertical="center" indent="2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0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31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34" fillId="0" borderId="0" xfId="0" applyFont="1" applyBorder="1" applyAlignment="1" applyProtection="1">
      <alignment horizontal="center"/>
      <protection locked="0"/>
    </xf>
    <xf numFmtId="0" fontId="10" fillId="0" borderId="32" xfId="0" applyNumberFormat="1" applyFont="1" applyBorder="1" applyAlignment="1">
      <alignment horizontal="center" vertical="center" wrapText="1"/>
    </xf>
    <xf numFmtId="0" fontId="10" fillId="0" borderId="18" xfId="0" applyNumberFormat="1" applyFont="1" applyBorder="1" applyAlignment="1">
      <alignment horizontal="center" vertical="center" wrapText="1"/>
    </xf>
    <xf numFmtId="0" fontId="10" fillId="0" borderId="26" xfId="0" applyNumberFormat="1" applyFont="1" applyBorder="1" applyAlignment="1">
      <alignment horizontal="center" vertical="center" wrapText="1"/>
    </xf>
    <xf numFmtId="0" fontId="10" fillId="0" borderId="19" xfId="0" applyNumberFormat="1" applyFont="1" applyBorder="1" applyAlignment="1">
      <alignment horizontal="center" vertical="center" wrapText="1"/>
    </xf>
    <xf numFmtId="0" fontId="10" fillId="0" borderId="12" xfId="0" applyNumberFormat="1" applyFont="1" applyBorder="1" applyAlignment="1">
      <alignment horizontal="center" vertical="center" wrapText="1"/>
    </xf>
    <xf numFmtId="0" fontId="10" fillId="0" borderId="3" xfId="0" applyNumberFormat="1" applyFont="1" applyBorder="1" applyAlignment="1">
      <alignment horizontal="center" vertical="center" wrapText="1"/>
    </xf>
  </cellXfs>
  <cellStyles count="3">
    <cellStyle name="Hipervínculo" xfId="1" builtinId="8"/>
    <cellStyle name="Normal" xfId="0" builtinId="0"/>
    <cellStyle name="Porcentual" xfId="2" builtinId="5"/>
  </cellStyles>
  <dxfs count="24"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  <name val="Cambria"/>
        <scheme val="none"/>
      </font>
      <fill>
        <patternFill>
          <bgColor rgb="FFFFFF00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21" Type="http://schemas.openxmlformats.org/officeDocument/2006/relationships/usernames" Target="revisions/userNam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51"/>
        </c:manualLayout>
      </c:layout>
      <c:lineChart>
        <c:grouping val="standard"/>
        <c:ser>
          <c:idx val="0"/>
          <c:order val="0"/>
          <c:tx>
            <c:strRef>
              <c:f>Falcón!$O$8:$Q$8</c:f>
              <c:strCache>
                <c:ptCount val="1"/>
                <c:pt idx="0">
                  <c:v>Stella Lugo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Lara!$M$10:$M$29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Falcón!$Q$10:$Q$29</c:f>
              <c:numCache>
                <c:formatCode>0.00</c:formatCode>
                <c:ptCount val="20"/>
                <c:pt idx="0">
                  <c:v>0.49532710280373832</c:v>
                </c:pt>
                <c:pt idx="1">
                  <c:v>0.47539975399753998</c:v>
                </c:pt>
                <c:pt idx="2">
                  <c:v>0.47389720760825577</c:v>
                </c:pt>
                <c:pt idx="3">
                  <c:v>0.47400955324529365</c:v>
                </c:pt>
                <c:pt idx="4">
                  <c:v>0.47994467496542187</c:v>
                </c:pt>
                <c:pt idx="5">
                  <c:v>0.48339768339768341</c:v>
                </c:pt>
                <c:pt idx="6">
                  <c:v>0.48335265860526749</c:v>
                </c:pt>
                <c:pt idx="7">
                  <c:v>0.48633323640593196</c:v>
                </c:pt>
                <c:pt idx="8">
                  <c:v>0.49537916191923026</c:v>
                </c:pt>
                <c:pt idx="9">
                  <c:v>0.4941867157822033</c:v>
                </c:pt>
                <c:pt idx="10">
                  <c:v>0.49546666666666667</c:v>
                </c:pt>
                <c:pt idx="11">
                  <c:v>0.49438760305950136</c:v>
                </c:pt>
                <c:pt idx="12">
                  <c:v>0.49377068327817791</c:v>
                </c:pt>
                <c:pt idx="13">
                  <c:v>0.49319957557634803</c:v>
                </c:pt>
                <c:pt idx="14">
                  <c:v>0.49290099769762086</c:v>
                </c:pt>
                <c:pt idx="15">
                  <c:v>0.49288239228050063</c:v>
                </c:pt>
                <c:pt idx="16">
                  <c:v>0.49305423406279736</c:v>
                </c:pt>
                <c:pt idx="17">
                  <c:v>0.49274812778462412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Falcón!$R$8:$T$8</c:f>
              <c:strCache>
                <c:ptCount val="1"/>
                <c:pt idx="0">
                  <c:v>Gregorio Graterol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Lara!$M$10:$M$29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Falcón!$T$10:$T$29</c:f>
              <c:numCache>
                <c:formatCode>0.00</c:formatCode>
                <c:ptCount val="20"/>
                <c:pt idx="0">
                  <c:v>0.47930574098798395</c:v>
                </c:pt>
                <c:pt idx="1">
                  <c:v>0.49753997539975398</c:v>
                </c:pt>
                <c:pt idx="2">
                  <c:v>0.50343990287333062</c:v>
                </c:pt>
                <c:pt idx="3">
                  <c:v>0.50519808935094124</c:v>
                </c:pt>
                <c:pt idx="4">
                  <c:v>0.50138312586445366</c:v>
                </c:pt>
                <c:pt idx="5">
                  <c:v>0.49864864864864866</c:v>
                </c:pt>
                <c:pt idx="6">
                  <c:v>0.49693556402186517</c:v>
                </c:pt>
                <c:pt idx="7">
                  <c:v>0.49316661820296598</c:v>
                </c:pt>
                <c:pt idx="8">
                  <c:v>0.48373211798961896</c:v>
                </c:pt>
                <c:pt idx="9">
                  <c:v>0.48302060550247494</c:v>
                </c:pt>
                <c:pt idx="10">
                  <c:v>0.48277333333333333</c:v>
                </c:pt>
                <c:pt idx="11">
                  <c:v>0.48435482268799046</c:v>
                </c:pt>
                <c:pt idx="12">
                  <c:v>0.48413470897410943</c:v>
                </c:pt>
                <c:pt idx="13">
                  <c:v>0.48471110253689592</c:v>
                </c:pt>
                <c:pt idx="14">
                  <c:v>0.48503453568687643</c:v>
                </c:pt>
                <c:pt idx="15">
                  <c:v>0.48495270851246775</c:v>
                </c:pt>
                <c:pt idx="16">
                  <c:v>0.48477640342530925</c:v>
                </c:pt>
                <c:pt idx="17">
                  <c:v>0.48497487913546306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3"/>
          <c:order val="2"/>
          <c:tx>
            <c:strRef>
              <c:f>Falcón!$U$8:$W$8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7030A0"/>
              </a:solidFill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val>
            <c:numRef>
              <c:f>Falcón!$W$10:$W$29</c:f>
              <c:numCache>
                <c:formatCode>0.00</c:formatCode>
                <c:ptCount val="20"/>
                <c:pt idx="0">
                  <c:v>2.5367156208277702E-2</c:v>
                </c:pt>
                <c:pt idx="1">
                  <c:v>2.7060270602706028E-2</c:v>
                </c:pt>
                <c:pt idx="2">
                  <c:v>2.2662889518413599E-2</c:v>
                </c:pt>
                <c:pt idx="3">
                  <c:v>2.0792357403765102E-2</c:v>
                </c:pt>
                <c:pt idx="4">
                  <c:v>1.8672199170124481E-2</c:v>
                </c:pt>
                <c:pt idx="5">
                  <c:v>1.7953667953667953E-2</c:v>
                </c:pt>
                <c:pt idx="6">
                  <c:v>1.9711777372867317E-2</c:v>
                </c:pt>
                <c:pt idx="7">
                  <c:v>2.0500145391102065E-2</c:v>
                </c:pt>
                <c:pt idx="8">
                  <c:v>2.0888720091150777E-2</c:v>
                </c:pt>
                <c:pt idx="9">
                  <c:v>2.2792678715321747E-2</c:v>
                </c:pt>
                <c:pt idx="10">
                  <c:v>2.1760000000000002E-2</c:v>
                </c:pt>
                <c:pt idx="11">
                  <c:v>2.1257574252508196E-2</c:v>
                </c:pt>
                <c:pt idx="12">
                  <c:v>2.2094607747712672E-2</c:v>
                </c:pt>
                <c:pt idx="13">
                  <c:v>2.2089321886756053E-2</c:v>
                </c:pt>
                <c:pt idx="14">
                  <c:v>2.2064466615502685E-2</c:v>
                </c:pt>
                <c:pt idx="15">
                  <c:v>2.2164899207031623E-2</c:v>
                </c:pt>
                <c:pt idx="16">
                  <c:v>2.2169362511893435E-2</c:v>
                </c:pt>
                <c:pt idx="17">
                  <c:v>2.2276993079912787E-2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</c:ser>
        <c:marker val="1"/>
        <c:axId val="91794432"/>
        <c:axId val="91812992"/>
      </c:lineChart>
      <c:catAx>
        <c:axId val="91794432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91812992"/>
        <c:crosses val="autoZero"/>
        <c:auto val="1"/>
        <c:lblAlgn val="ctr"/>
        <c:lblOffset val="100"/>
      </c:catAx>
      <c:valAx>
        <c:axId val="91812992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ES"/>
          </a:p>
        </c:txPr>
        <c:crossAx val="917944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ES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244" r="0.75000000000000244" t="1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0000FF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Lbls>
            <c:dLbl>
              <c:idx val="0"/>
              <c:layout>
                <c:manualLayout>
                  <c:x val="3.5381750465549406E-3"/>
                  <c:y val="-0.22631800092233603"/>
                </c:manualLayout>
              </c:layout>
              <c:showVal val="1"/>
            </c:dLbl>
            <c:dLbl>
              <c:idx val="1"/>
              <c:layout>
                <c:manualLayout>
                  <c:x val="2.9629629629629679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53"/>
                </c:manualLayout>
              </c:layout>
              <c:showVal val="1"/>
            </c:dLbl>
            <c:dLbl>
              <c:idx val="3"/>
              <c:layout>
                <c:manualLayout>
                  <c:x val="1.4897579143389218E-2"/>
                  <c:y val="-0.21717047841904788"/>
                </c:manualLayout>
              </c:layout>
              <c:showVal val="1"/>
            </c:dLbl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ES"/>
              </a:p>
            </c:txPr>
            <c:showVal val="1"/>
          </c:dLbls>
          <c:cat>
            <c:strRef>
              <c:f>Falcón!$O$2:$O$4</c:f>
              <c:strCache>
                <c:ptCount val="3"/>
                <c:pt idx="0">
                  <c:v>Stella Lugo</c:v>
                </c:pt>
                <c:pt idx="1">
                  <c:v>Gregorio Graterol</c:v>
                </c:pt>
                <c:pt idx="2">
                  <c:v>Otro</c:v>
                </c:pt>
              </c:strCache>
            </c:strRef>
          </c:cat>
          <c:val>
            <c:numRef>
              <c:f>Falcón!$P$2:$P$4</c:f>
              <c:numCache>
                <c:formatCode>0.0%</c:formatCode>
                <c:ptCount val="3"/>
                <c:pt idx="0">
                  <c:v>0.49274812778462412</c:v>
                </c:pt>
                <c:pt idx="1">
                  <c:v>0.48497487913546306</c:v>
                </c:pt>
                <c:pt idx="2">
                  <c:v>2.2276993079912787E-2</c:v>
                </c:pt>
              </c:numCache>
            </c:numRef>
          </c:val>
        </c:ser>
        <c:dLbls>
          <c:showVal val="1"/>
        </c:dLbls>
        <c:gapWidth val="75"/>
        <c:shape val="box"/>
        <c:axId val="91860992"/>
        <c:axId val="91862528"/>
        <c:axId val="0"/>
      </c:bar3DChart>
      <c:catAx>
        <c:axId val="9186099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1862528"/>
        <c:crosses val="autoZero"/>
        <c:auto val="1"/>
        <c:lblAlgn val="ctr"/>
        <c:lblOffset val="100"/>
      </c:catAx>
      <c:valAx>
        <c:axId val="91862528"/>
        <c:scaling>
          <c:orientation val="minMax"/>
          <c:max val="1"/>
          <c:min val="0"/>
        </c:scaling>
        <c:axPos val="l"/>
        <c:numFmt formatCode="0.0%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18609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4"/>
        </c:manualLayout>
      </c:layout>
      <c:lineChart>
        <c:grouping val="standard"/>
        <c:ser>
          <c:idx val="0"/>
          <c:order val="0"/>
          <c:tx>
            <c:strRef>
              <c:f>Lara!$E$8</c:f>
              <c:strCache>
                <c:ptCount val="1"/>
                <c:pt idx="0">
                  <c:v>Henri Falcon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Lara!$M$10:$M$29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Lara!$Q$10:$Q$29</c:f>
              <c:numCache>
                <c:formatCode>0.00</c:formatCode>
                <c:ptCount val="20"/>
                <c:pt idx="0">
                  <c:v>0.62644415917843388</c:v>
                </c:pt>
                <c:pt idx="1">
                  <c:v>0.65152420800956368</c:v>
                </c:pt>
                <c:pt idx="2">
                  <c:v>0.66058532877232989</c:v>
                </c:pt>
                <c:pt idx="3">
                  <c:v>0.67003650659926983</c:v>
                </c:pt>
                <c:pt idx="4">
                  <c:v>0.66357411089021423</c:v>
                </c:pt>
                <c:pt idx="5">
                  <c:v>0.66306976744186041</c:v>
                </c:pt>
                <c:pt idx="6">
                  <c:v>0.66090952305498341</c:v>
                </c:pt>
                <c:pt idx="7">
                  <c:v>0.65857694429123004</c:v>
                </c:pt>
                <c:pt idx="8">
                  <c:v>0.65562101129111439</c:v>
                </c:pt>
                <c:pt idx="9">
                  <c:v>0.64949361514751214</c:v>
                </c:pt>
                <c:pt idx="10">
                  <c:v>0.64665661136249375</c:v>
                </c:pt>
                <c:pt idx="11">
                  <c:v>0.64330377974801678</c:v>
                </c:pt>
                <c:pt idx="12">
                  <c:v>0.64040404040404042</c:v>
                </c:pt>
                <c:pt idx="13">
                  <c:v>0.63898191560616213</c:v>
                </c:pt>
                <c:pt idx="14">
                  <c:v>0.63755494058277717</c:v>
                </c:pt>
                <c:pt idx="15">
                  <c:v>0.63741320846116578</c:v>
                </c:pt>
                <c:pt idx="16">
                  <c:v>0.63667095943335483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Lara!$F$8</c:f>
              <c:strCache>
                <c:ptCount val="1"/>
                <c:pt idx="0">
                  <c:v>Pedro Pablo Alcantara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Lara!$M$10:$M$29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Lara!$T$10:$T$29</c:f>
              <c:numCache>
                <c:formatCode>0.00</c:formatCode>
                <c:ptCount val="20"/>
                <c:pt idx="0">
                  <c:v>0.22464698331193839</c:v>
                </c:pt>
                <c:pt idx="1">
                  <c:v>0.22295277943813507</c:v>
                </c:pt>
                <c:pt idx="2">
                  <c:v>0.22234891676168758</c:v>
                </c:pt>
                <c:pt idx="3">
                  <c:v>0.21370401572591968</c:v>
                </c:pt>
                <c:pt idx="4">
                  <c:v>0.21449083278109124</c:v>
                </c:pt>
                <c:pt idx="5">
                  <c:v>0.21302325581395348</c:v>
                </c:pt>
                <c:pt idx="6">
                  <c:v>0.21137696086198701</c:v>
                </c:pt>
                <c:pt idx="7">
                  <c:v>0.2127688913403199</c:v>
                </c:pt>
                <c:pt idx="8">
                  <c:v>0.21305841924398625</c:v>
                </c:pt>
                <c:pt idx="9">
                  <c:v>0.21411272567151035</c:v>
                </c:pt>
                <c:pt idx="10">
                  <c:v>0.21588738059326296</c:v>
                </c:pt>
                <c:pt idx="11">
                  <c:v>0.21941203919738683</c:v>
                </c:pt>
                <c:pt idx="12">
                  <c:v>0.22160737812911727</c:v>
                </c:pt>
                <c:pt idx="13">
                  <c:v>0.22496651038178164</c:v>
                </c:pt>
                <c:pt idx="14">
                  <c:v>0.22668077486570079</c:v>
                </c:pt>
                <c:pt idx="15">
                  <c:v>0.22678830938155983</c:v>
                </c:pt>
                <c:pt idx="16">
                  <c:v>0.22778493238892467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Lara!$G$8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numRef>
              <c:f>Lara!$M$10:$M$29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Lara!$W$10:$W$29</c:f>
              <c:numCache>
                <c:formatCode>0.00</c:formatCode>
                <c:ptCount val="20"/>
                <c:pt idx="0">
                  <c:v>0.14890885750962773</c:v>
                </c:pt>
                <c:pt idx="1">
                  <c:v>0.12552301255230125</c:v>
                </c:pt>
                <c:pt idx="2">
                  <c:v>0.11706575446598251</c:v>
                </c:pt>
                <c:pt idx="3">
                  <c:v>0.11625947767481044</c:v>
                </c:pt>
                <c:pt idx="4">
                  <c:v>0.1219350563286945</c:v>
                </c:pt>
                <c:pt idx="5">
                  <c:v>0.12390697674418605</c:v>
                </c:pt>
                <c:pt idx="6">
                  <c:v>0.12771351608302964</c:v>
                </c:pt>
                <c:pt idx="7">
                  <c:v>0.12865416436845009</c:v>
                </c:pt>
                <c:pt idx="8">
                  <c:v>0.13132056946489937</c:v>
                </c:pt>
                <c:pt idx="9">
                  <c:v>0.13639365918097754</c:v>
                </c:pt>
                <c:pt idx="10">
                  <c:v>0.13745600804424335</c:v>
                </c:pt>
                <c:pt idx="11">
                  <c:v>0.13728418105459636</c:v>
                </c:pt>
                <c:pt idx="12">
                  <c:v>0.13798858146684234</c:v>
                </c:pt>
                <c:pt idx="13">
                  <c:v>0.13605157401205625</c:v>
                </c:pt>
                <c:pt idx="14">
                  <c:v>0.13576428455152206</c:v>
                </c:pt>
                <c:pt idx="15">
                  <c:v>0.13579848215727433</c:v>
                </c:pt>
                <c:pt idx="16">
                  <c:v>0.13554410817772053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marker val="1"/>
        <c:axId val="92978176"/>
        <c:axId val="93062272"/>
      </c:lineChart>
      <c:catAx>
        <c:axId val="92978176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93062272"/>
        <c:crosses val="autoZero"/>
        <c:auto val="1"/>
        <c:lblAlgn val="ctr"/>
        <c:lblOffset val="100"/>
      </c:catAx>
      <c:valAx>
        <c:axId val="93062272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ES"/>
          </a:p>
        </c:txPr>
        <c:crossAx val="929781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ES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222" r="0.75000000000000222" t="1" header="0" footer="0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32"/>
          <c:y val="3.1007751937984489E-2"/>
          <c:w val="0.78564876317834575"/>
          <c:h val="0.83650924184159869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Lbls>
            <c:dLbl>
              <c:idx val="0"/>
              <c:layout>
                <c:manualLayout>
                  <c:x val="1.0986964618249571E-2"/>
                  <c:y val="-0.22832980972515857"/>
                </c:manualLayout>
              </c:layout>
              <c:showVal val="1"/>
            </c:dLbl>
            <c:dLbl>
              <c:idx val="1"/>
              <c:layout>
                <c:manualLayout>
                  <c:x val="2.9629629629629672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64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11"/>
                </c:manualLayout>
              </c:layout>
              <c:showVal val="1"/>
            </c:dLbl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ES"/>
              </a:p>
            </c:txPr>
            <c:showVal val="1"/>
          </c:dLbls>
          <c:cat>
            <c:strRef>
              <c:f>Lara!$O$2:$O$4</c:f>
              <c:strCache>
                <c:ptCount val="3"/>
                <c:pt idx="0">
                  <c:v>Henri Falcon</c:v>
                </c:pt>
                <c:pt idx="1">
                  <c:v>Pedro Pablo Alcantara</c:v>
                </c:pt>
                <c:pt idx="2">
                  <c:v>Otro</c:v>
                </c:pt>
              </c:strCache>
            </c:strRef>
          </c:cat>
          <c:val>
            <c:numRef>
              <c:f>Lara!$P$2:$P$4</c:f>
              <c:numCache>
                <c:formatCode>0.0%</c:formatCode>
                <c:ptCount val="3"/>
                <c:pt idx="0">
                  <c:v>0.63667095943335483</c:v>
                </c:pt>
                <c:pt idx="1">
                  <c:v>0.22778493238892467</c:v>
                </c:pt>
                <c:pt idx="2">
                  <c:v>0.13554410817772053</c:v>
                </c:pt>
              </c:numCache>
            </c:numRef>
          </c:val>
        </c:ser>
        <c:dLbls>
          <c:showVal val="1"/>
        </c:dLbls>
        <c:gapWidth val="75"/>
        <c:shape val="box"/>
        <c:axId val="93088768"/>
        <c:axId val="93090560"/>
        <c:axId val="0"/>
      </c:bar3DChart>
      <c:catAx>
        <c:axId val="930887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3090560"/>
        <c:crosses val="autoZero"/>
        <c:auto val="1"/>
        <c:lblAlgn val="ctr"/>
        <c:lblOffset val="100"/>
      </c:catAx>
      <c:valAx>
        <c:axId val="93090560"/>
        <c:scaling>
          <c:orientation val="minMax"/>
          <c:max val="1"/>
          <c:min val="0"/>
        </c:scaling>
        <c:axPos val="l"/>
        <c:numFmt formatCode="0.0%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30887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51"/>
        </c:manualLayout>
      </c:layout>
      <c:lineChart>
        <c:grouping val="standard"/>
        <c:ser>
          <c:idx val="0"/>
          <c:order val="0"/>
          <c:tx>
            <c:strRef>
              <c:f>Portuguesa!$E$8</c:f>
              <c:strCache>
                <c:ptCount val="1"/>
                <c:pt idx="0">
                  <c:v>Wilmar Castro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Portuguesa!$O$10:$O$29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Portuguesa!$S$10:$S$29</c:f>
              <c:numCache>
                <c:formatCode>0.00</c:formatCode>
                <c:ptCount val="20"/>
                <c:pt idx="0">
                  <c:v>0.40452261306532661</c:v>
                </c:pt>
                <c:pt idx="1">
                  <c:v>0.44622093023255816</c:v>
                </c:pt>
                <c:pt idx="2">
                  <c:v>0.47274529236868185</c:v>
                </c:pt>
                <c:pt idx="3">
                  <c:v>0.49467275494672752</c:v>
                </c:pt>
                <c:pt idx="4">
                  <c:v>0.50186567164179108</c:v>
                </c:pt>
                <c:pt idx="5">
                  <c:v>0.49893503727369543</c:v>
                </c:pt>
                <c:pt idx="6">
                  <c:v>0.49812030075187969</c:v>
                </c:pt>
                <c:pt idx="7">
                  <c:v>0.48903330625507718</c:v>
                </c:pt>
                <c:pt idx="8">
                  <c:v>0.48588192152548587</c:v>
                </c:pt>
                <c:pt idx="9">
                  <c:v>0.47720364741641336</c:v>
                </c:pt>
                <c:pt idx="10">
                  <c:v>0.46767708011135167</c:v>
                </c:pt>
                <c:pt idx="11">
                  <c:v>0.46580295269659538</c:v>
                </c:pt>
                <c:pt idx="12">
                  <c:v>0.46398809523809526</c:v>
                </c:pt>
                <c:pt idx="13">
                  <c:v>0.46345072506658774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Portuguesa!$F$8</c:f>
              <c:strCache>
                <c:ptCount val="1"/>
                <c:pt idx="0">
                  <c:v>Jobito Villegas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Portuguesa!$O$10:$O$29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Portuguesa!$V$10:$V$29</c:f>
              <c:numCache>
                <c:formatCode>0.00</c:formatCode>
                <c:ptCount val="20"/>
                <c:pt idx="0">
                  <c:v>0.31955922865013775</c:v>
                </c:pt>
                <c:pt idx="1">
                  <c:v>0.26308139534883723</c:v>
                </c:pt>
                <c:pt idx="2">
                  <c:v>0.25569871159563923</c:v>
                </c:pt>
                <c:pt idx="3">
                  <c:v>0.23363774733637746</c:v>
                </c:pt>
                <c:pt idx="4">
                  <c:v>0.2332089552238806</c:v>
                </c:pt>
                <c:pt idx="5">
                  <c:v>0.23695420660276889</c:v>
                </c:pt>
                <c:pt idx="6">
                  <c:v>0.23966165413533835</c:v>
                </c:pt>
                <c:pt idx="7">
                  <c:v>0.24573517465475223</c:v>
                </c:pt>
                <c:pt idx="8">
                  <c:v>0.24679134580124679</c:v>
                </c:pt>
                <c:pt idx="9">
                  <c:v>0.24924012158054712</c:v>
                </c:pt>
                <c:pt idx="10">
                  <c:v>0.25610887720383546</c:v>
                </c:pt>
                <c:pt idx="11">
                  <c:v>0.25971678216330218</c:v>
                </c:pt>
                <c:pt idx="12">
                  <c:v>0.2630952380952381</c:v>
                </c:pt>
                <c:pt idx="13">
                  <c:v>0.2639834270494229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Portuguesa!$H$8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numRef>
              <c:f>Portuguesa!$O$10:$O$29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Portuguesa!$Y$10:$Y$29</c:f>
              <c:numCache>
                <c:formatCode>0.00</c:formatCode>
                <c:ptCount val="20"/>
                <c:pt idx="0">
                  <c:v>0.23691460055096419</c:v>
                </c:pt>
                <c:pt idx="1">
                  <c:v>0.22529069767441862</c:v>
                </c:pt>
                <c:pt idx="2">
                  <c:v>0.21308225966303271</c:v>
                </c:pt>
                <c:pt idx="3">
                  <c:v>0.21993911719939116</c:v>
                </c:pt>
                <c:pt idx="4">
                  <c:v>0.21703980099502487</c:v>
                </c:pt>
                <c:pt idx="5">
                  <c:v>0.21938232161874335</c:v>
                </c:pt>
                <c:pt idx="6">
                  <c:v>0.21663533834586465</c:v>
                </c:pt>
                <c:pt idx="7">
                  <c:v>0.22217709179528838</c:v>
                </c:pt>
                <c:pt idx="8">
                  <c:v>0.22478914558122479</c:v>
                </c:pt>
                <c:pt idx="9">
                  <c:v>0.23134076325565686</c:v>
                </c:pt>
                <c:pt idx="10">
                  <c:v>0.23476647077018251</c:v>
                </c:pt>
                <c:pt idx="11">
                  <c:v>0.23290147634829769</c:v>
                </c:pt>
                <c:pt idx="12">
                  <c:v>0.23154761904761906</c:v>
                </c:pt>
                <c:pt idx="13">
                  <c:v>0.23142941698727434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marker val="1"/>
        <c:axId val="93178496"/>
        <c:axId val="93192960"/>
      </c:lineChart>
      <c:catAx>
        <c:axId val="93178496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93192960"/>
        <c:crosses val="autoZero"/>
        <c:auto val="1"/>
        <c:lblAlgn val="ctr"/>
        <c:lblOffset val="100"/>
      </c:catAx>
      <c:valAx>
        <c:axId val="93192960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ES"/>
          </a:p>
        </c:txPr>
        <c:crossAx val="931784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ES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244" r="0.75000000000000244" t="1" header="0" footer="0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43"/>
          <c:y val="3.1007751937984489E-2"/>
          <c:w val="0.78564876317834575"/>
          <c:h val="0.83650924184159869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Lbls>
            <c:dLbl>
              <c:idx val="0"/>
              <c:layout>
                <c:manualLayout>
                  <c:x val="1.8435754189944135E-2"/>
                  <c:y val="-0.22833003168472871"/>
                </c:manualLayout>
              </c:layout>
              <c:showVal val="1"/>
            </c:dLbl>
            <c:dLbl>
              <c:idx val="1"/>
              <c:layout>
                <c:manualLayout>
                  <c:x val="2.9629629629629679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53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09"/>
                </c:manualLayout>
              </c:layout>
              <c:showVal val="1"/>
            </c:dLbl>
            <c:numFmt formatCode="0.0%" sourceLinked="0"/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ES"/>
              </a:p>
            </c:txPr>
            <c:showVal val="1"/>
          </c:dLbls>
          <c:cat>
            <c:strRef>
              <c:f>Portuguesa!$Q$2:$Q$4</c:f>
              <c:strCache>
                <c:ptCount val="3"/>
                <c:pt idx="0">
                  <c:v>Wilmar Castro</c:v>
                </c:pt>
                <c:pt idx="1">
                  <c:v>Jobito Villegas</c:v>
                </c:pt>
                <c:pt idx="2">
                  <c:v>Bella Petrizzo</c:v>
                </c:pt>
              </c:strCache>
            </c:strRef>
          </c:cat>
          <c:val>
            <c:numRef>
              <c:f>Portuguesa!$R$2:$R$4</c:f>
              <c:numCache>
                <c:formatCode>0.00</c:formatCode>
                <c:ptCount val="3"/>
                <c:pt idx="0">
                  <c:v>0.46345072506658774</c:v>
                </c:pt>
                <c:pt idx="1">
                  <c:v>0.2639834270494229</c:v>
                </c:pt>
                <c:pt idx="2">
                  <c:v>0.23142941698727434</c:v>
                </c:pt>
              </c:numCache>
            </c:numRef>
          </c:val>
        </c:ser>
        <c:dLbls>
          <c:showVal val="1"/>
        </c:dLbls>
        <c:gapWidth val="75"/>
        <c:shape val="box"/>
        <c:axId val="93235840"/>
        <c:axId val="93254016"/>
        <c:axId val="0"/>
      </c:bar3DChart>
      <c:catAx>
        <c:axId val="932358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3254016"/>
        <c:crosses val="autoZero"/>
        <c:auto val="1"/>
        <c:lblAlgn val="ctr"/>
        <c:lblOffset val="100"/>
      </c:catAx>
      <c:valAx>
        <c:axId val="93254016"/>
        <c:scaling>
          <c:orientation val="minMax"/>
          <c:max val="1"/>
          <c:min val="0"/>
        </c:scaling>
        <c:axPos val="l"/>
        <c:numFmt formatCode="0.00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32358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0.18663604968995814"/>
          <c:y val="0.19403020425862189"/>
          <c:w val="0.82027695913117393"/>
          <c:h val="0.41044850900862451"/>
        </c:manualLayout>
      </c:layout>
      <c:lineChart>
        <c:grouping val="standard"/>
        <c:ser>
          <c:idx val="0"/>
          <c:order val="0"/>
          <c:tx>
            <c:strRef>
              <c:f>Yaracuy!$E$8</c:f>
              <c:strCache>
                <c:ptCount val="1"/>
                <c:pt idx="0">
                  <c:v>Julio Leon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spPr>
              <a:ln w="38100">
                <a:solidFill>
                  <a:srgbClr val="FF0000"/>
                </a:solidFill>
                <a:prstDash val="solid"/>
              </a:ln>
            </c:spPr>
          </c:dPt>
          <c:cat>
            <c:numRef>
              <c:f>Yaracuy!$N$10:$N$29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Yaracuy!$R$10:$R$29</c:f>
              <c:numCache>
                <c:formatCode>0.00</c:formatCode>
                <c:ptCount val="20"/>
                <c:pt idx="0">
                  <c:v>0.5337078651685393</c:v>
                </c:pt>
                <c:pt idx="1">
                  <c:v>0.46416382252559729</c:v>
                </c:pt>
                <c:pt idx="2">
                  <c:v>0.46370023419203749</c:v>
                </c:pt>
                <c:pt idx="3">
                  <c:v>0.48417132216014896</c:v>
                </c:pt>
                <c:pt idx="4">
                  <c:v>0.44919786096256686</c:v>
                </c:pt>
                <c:pt idx="5">
                  <c:v>0.43982494529540483</c:v>
                </c:pt>
                <c:pt idx="6">
                  <c:v>0.43499511241446726</c:v>
                </c:pt>
                <c:pt idx="7">
                  <c:v>0.42152466367713004</c:v>
                </c:pt>
                <c:pt idx="8">
                  <c:v>0.41738382099827881</c:v>
                </c:pt>
                <c:pt idx="9">
                  <c:v>0.41353383458646614</c:v>
                </c:pt>
                <c:pt idx="10">
                  <c:v>0.41078509119746232</c:v>
                </c:pt>
                <c:pt idx="11">
                  <c:v>0.41029523088569264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Yaracuy!$F$8</c:f>
              <c:strCache>
                <c:ptCount val="1"/>
                <c:pt idx="0">
                  <c:v>Edward Capdevielle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Yaracuy!$N$10:$N$29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Yaracuy!$U$10:$U$29</c:f>
              <c:numCache>
                <c:formatCode>0.00</c:formatCode>
                <c:ptCount val="20"/>
                <c:pt idx="0">
                  <c:v>0.1853932584269663</c:v>
                </c:pt>
                <c:pt idx="1">
                  <c:v>0.22866894197952217</c:v>
                </c:pt>
                <c:pt idx="2">
                  <c:v>0.24355971896955503</c:v>
                </c:pt>
                <c:pt idx="3">
                  <c:v>0.2532588454376164</c:v>
                </c:pt>
                <c:pt idx="4">
                  <c:v>0.28074866310160429</c:v>
                </c:pt>
                <c:pt idx="5">
                  <c:v>0.2975929978118162</c:v>
                </c:pt>
                <c:pt idx="6">
                  <c:v>0.30889540566959922</c:v>
                </c:pt>
                <c:pt idx="7">
                  <c:v>0.32107623318385653</c:v>
                </c:pt>
                <c:pt idx="8">
                  <c:v>0.32013769363166955</c:v>
                </c:pt>
                <c:pt idx="9">
                  <c:v>0.31495405179615704</c:v>
                </c:pt>
                <c:pt idx="10">
                  <c:v>0.31720856463124503</c:v>
                </c:pt>
                <c:pt idx="11">
                  <c:v>0.31642694928084786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Yaracuy!$G$8</c:f>
              <c:strCache>
                <c:ptCount val="1"/>
                <c:pt idx="0">
                  <c:v>Filippo Lapi</c:v>
                </c:pt>
              </c:strCache>
            </c:strRef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cat>
            <c:numRef>
              <c:f>Yaracuy!$N$10:$N$29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Yaracuy!$X$10:$X$29</c:f>
              <c:numCache>
                <c:formatCode>0.00</c:formatCode>
                <c:ptCount val="20"/>
                <c:pt idx="0">
                  <c:v>0.24719101123595505</c:v>
                </c:pt>
                <c:pt idx="1">
                  <c:v>0.23208191126279865</c:v>
                </c:pt>
                <c:pt idx="2">
                  <c:v>0.23419203747072601</c:v>
                </c:pt>
                <c:pt idx="3">
                  <c:v>0.21415270018621974</c:v>
                </c:pt>
                <c:pt idx="4">
                  <c:v>0.22459893048128343</c:v>
                </c:pt>
                <c:pt idx="5">
                  <c:v>0.21663019693654267</c:v>
                </c:pt>
                <c:pt idx="6">
                  <c:v>0.21505376344086022</c:v>
                </c:pt>
                <c:pt idx="7">
                  <c:v>0.21883408071748878</c:v>
                </c:pt>
                <c:pt idx="8">
                  <c:v>0.22547332185886404</c:v>
                </c:pt>
                <c:pt idx="9">
                  <c:v>0.23391812865497075</c:v>
                </c:pt>
                <c:pt idx="10">
                  <c:v>0.23632038065027755</c:v>
                </c:pt>
                <c:pt idx="11">
                  <c:v>0.23921271763815291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Yaracuy!$H$8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7030A0"/>
              </a:solidFill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numRef>
              <c:f>Yaracuy!$N$10:$N$29</c:f>
              <c:numCache>
                <c:formatCode>hh:mm</c:formatCode>
                <c:ptCount val="20"/>
                <c:pt idx="0">
                  <c:v>0.3125</c:v>
                </c:pt>
                <c:pt idx="1">
                  <c:v>0.33333333333333298</c:v>
                </c:pt>
                <c:pt idx="2">
                  <c:v>0.35416666666666702</c:v>
                </c:pt>
                <c:pt idx="3">
                  <c:v>0.375</c:v>
                </c:pt>
                <c:pt idx="4">
                  <c:v>0.39583333333333298</c:v>
                </c:pt>
                <c:pt idx="5">
                  <c:v>0.41666666666666702</c:v>
                </c:pt>
                <c:pt idx="6">
                  <c:v>0.4375</c:v>
                </c:pt>
                <c:pt idx="7">
                  <c:v>0.45833333333333298</c:v>
                </c:pt>
                <c:pt idx="8">
                  <c:v>0.47916666666666702</c:v>
                </c:pt>
                <c:pt idx="9">
                  <c:v>0.5</c:v>
                </c:pt>
                <c:pt idx="10">
                  <c:v>0.52083333333333304</c:v>
                </c:pt>
                <c:pt idx="11">
                  <c:v>4.1666666666666664E-2</c:v>
                </c:pt>
                <c:pt idx="12">
                  <c:v>6.25E-2</c:v>
                </c:pt>
                <c:pt idx="13">
                  <c:v>8.3333333333333329E-2</c:v>
                </c:pt>
                <c:pt idx="14">
                  <c:v>0.104166666666667</c:v>
                </c:pt>
                <c:pt idx="15">
                  <c:v>0.125</c:v>
                </c:pt>
                <c:pt idx="16">
                  <c:v>0.14583333333333301</c:v>
                </c:pt>
                <c:pt idx="17">
                  <c:v>0.16666666666666599</c:v>
                </c:pt>
                <c:pt idx="18">
                  <c:v>0.187499999999999</c:v>
                </c:pt>
                <c:pt idx="19">
                  <c:v>0.20833333333333201</c:v>
                </c:pt>
              </c:numCache>
            </c:numRef>
          </c:cat>
          <c:val>
            <c:numRef>
              <c:f>Yaracuy!$AA$10:$AA$29</c:f>
              <c:numCache>
                <c:formatCode>0.00</c:formatCode>
                <c:ptCount val="20"/>
                <c:pt idx="0">
                  <c:v>3.3707865168539325E-2</c:v>
                </c:pt>
                <c:pt idx="1">
                  <c:v>7.5085324232081918E-2</c:v>
                </c:pt>
                <c:pt idx="2">
                  <c:v>5.8548009367681501E-2</c:v>
                </c:pt>
                <c:pt idx="3">
                  <c:v>4.8417132216014895E-2</c:v>
                </c:pt>
                <c:pt idx="4">
                  <c:v>4.5454545454545456E-2</c:v>
                </c:pt>
                <c:pt idx="5">
                  <c:v>4.5951859956236324E-2</c:v>
                </c:pt>
                <c:pt idx="6">
                  <c:v>#N/A</c:v>
                </c:pt>
                <c:pt idx="7">
                  <c:v>3.8565022421524667E-2</c:v>
                </c:pt>
                <c:pt idx="8">
                  <c:v>#N/A</c:v>
                </c:pt>
                <c:pt idx="9">
                  <c:v>3.7593984962406013E-2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1"/>
        </c:ser>
        <c:marker val="1"/>
        <c:axId val="93596288"/>
        <c:axId val="93610752"/>
      </c:lineChart>
      <c:catAx>
        <c:axId val="93596288"/>
        <c:scaling>
          <c:orientation val="minMax"/>
        </c:scaling>
        <c:axPos val="b"/>
        <c:numFmt formatCode="hh:mm;@" sourceLinked="0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93610752"/>
        <c:crosses val="autoZero"/>
        <c:auto val="1"/>
        <c:lblAlgn val="ctr"/>
        <c:lblOffset val="100"/>
      </c:catAx>
      <c:valAx>
        <c:axId val="93610752"/>
        <c:scaling>
          <c:orientation val="minMax"/>
        </c:scaling>
        <c:axPos val="l"/>
        <c:majorGridlines/>
        <c:numFmt formatCode="#,##0.00" sourceLinked="0"/>
        <c:tickLblPos val="nextTo"/>
        <c:txPr>
          <a:bodyPr rot="0" vert="horz"/>
          <a:lstStyle/>
          <a:p>
            <a:pPr>
              <a:defRPr sz="800"/>
            </a:pPr>
            <a:endParaRPr lang="es-ES"/>
          </a:p>
        </c:txPr>
        <c:crossAx val="935962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/>
            </a:pPr>
            <a:endParaRPr lang="es-ES"/>
          </a:p>
        </c:txPr>
      </c:dTable>
      <c:spPr>
        <a:noFill/>
        <a:ln w="25400">
          <a:noFill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244" r="0.75000000000000244" t="1" header="0" footer="0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view3D>
      <c:depthPercent val="100"/>
      <c:rAngAx val="1"/>
    </c:view3D>
    <c:plotArea>
      <c:layout>
        <c:manualLayout>
          <c:layoutTarget val="inner"/>
          <c:xMode val="edge"/>
          <c:yMode val="edge"/>
          <c:x val="0.17338289417733443"/>
          <c:y val="3.1007751937984489E-2"/>
          <c:w val="0.78564876317834575"/>
          <c:h val="0.83650924184159869"/>
        </c:manualLayout>
      </c:layout>
      <c:bar3DChart>
        <c:barDir val="col"/>
        <c:grouping val="stacked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Pt>
            <c:idx val="3"/>
            <c:spPr>
              <a:solidFill>
                <a:srgbClr val="7030A0"/>
              </a:solidFill>
            </c:spPr>
          </c:dPt>
          <c:dLbls>
            <c:dLbl>
              <c:idx val="0"/>
              <c:layout>
                <c:manualLayout>
                  <c:x val="3.333333333333334E-2"/>
                  <c:y val="-0.19450321441920709"/>
                </c:manualLayout>
              </c:layout>
              <c:showVal val="1"/>
            </c:dLbl>
            <c:dLbl>
              <c:idx val="1"/>
              <c:layout>
                <c:manualLayout>
                  <c:x val="2.9629629629629679E-2"/>
                  <c:y val="-0.17477100426073686"/>
                </c:manualLayout>
              </c:layout>
              <c:showVal val="1"/>
            </c:dLbl>
            <c:dLbl>
              <c:idx val="2"/>
              <c:layout>
                <c:manualLayout>
                  <c:x val="4.0740740740740772E-2"/>
                  <c:y val="-0.16067656843325753"/>
                </c:manualLayout>
              </c:layout>
              <c:showVal val="1"/>
            </c:dLbl>
            <c:dLbl>
              <c:idx val="3"/>
              <c:layout>
                <c:manualLayout>
                  <c:x val="1.11731843575419E-2"/>
                  <c:y val="-0.10147993795784709"/>
                </c:manualLayout>
              </c:layout>
              <c:showVal val="1"/>
            </c:dLbl>
            <c:spPr>
              <a:ln w="12700"/>
            </c:spPr>
            <c:txPr>
              <a:bodyPr anchor="t" anchorCtr="0"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s-ES"/>
              </a:p>
            </c:txPr>
            <c:showVal val="1"/>
          </c:dLbls>
          <c:cat>
            <c:strRef>
              <c:f>Yaracuy!$P$2:$P$5</c:f>
              <c:strCache>
                <c:ptCount val="4"/>
                <c:pt idx="0">
                  <c:v>Julio Leon</c:v>
                </c:pt>
                <c:pt idx="1">
                  <c:v>Edward Capdevielle</c:v>
                </c:pt>
                <c:pt idx="2">
                  <c:v>Filippo Lapi</c:v>
                </c:pt>
                <c:pt idx="3">
                  <c:v>Otro</c:v>
                </c:pt>
              </c:strCache>
            </c:strRef>
          </c:cat>
          <c:val>
            <c:numRef>
              <c:f>Yaracuy!$Q$2:$Q$5</c:f>
              <c:numCache>
                <c:formatCode>0.00</c:formatCode>
                <c:ptCount val="4"/>
                <c:pt idx="0">
                  <c:v>0.41029523088569264</c:v>
                </c:pt>
                <c:pt idx="1">
                  <c:v>0.31642694928084786</c:v>
                </c:pt>
                <c:pt idx="2">
                  <c:v>0.23921271763815291</c:v>
                </c:pt>
                <c:pt idx="3">
                  <c:v>3.4065102195306583E-2</c:v>
                </c:pt>
              </c:numCache>
            </c:numRef>
          </c:val>
        </c:ser>
        <c:dLbls>
          <c:showVal val="1"/>
        </c:dLbls>
        <c:gapWidth val="75"/>
        <c:shape val="box"/>
        <c:axId val="93633536"/>
        <c:axId val="93643520"/>
        <c:axId val="0"/>
      </c:bar3DChart>
      <c:catAx>
        <c:axId val="936335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3643520"/>
        <c:crosses val="autoZero"/>
        <c:auto val="1"/>
        <c:lblAlgn val="ctr"/>
        <c:lblOffset val="100"/>
      </c:catAx>
      <c:valAx>
        <c:axId val="93643520"/>
        <c:scaling>
          <c:orientation val="minMax"/>
          <c:max val="1"/>
          <c:min val="0"/>
        </c:scaling>
        <c:axPos val="l"/>
        <c:numFmt formatCode="0.00" sourceLinked="1"/>
        <c:majorTickMark val="none"/>
        <c:tickLblPos val="nextTo"/>
        <c:txPr>
          <a:bodyPr/>
          <a:lstStyle/>
          <a:p>
            <a:pPr>
              <a:defRPr sz="800" b="1">
                <a:latin typeface="Arial" pitchFamily="34" charset="0"/>
                <a:cs typeface="Arial" pitchFamily="34" charset="0"/>
              </a:defRPr>
            </a:pPr>
            <a:endParaRPr lang="es-ES"/>
          </a:p>
        </c:txPr>
        <c:crossAx val="936335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123825</xdr:rowOff>
    </xdr:from>
    <xdr:to>
      <xdr:col>0</xdr:col>
      <xdr:colOff>2266950</xdr:colOff>
      <xdr:row>5</xdr:row>
      <xdr:rowOff>9525</xdr:rowOff>
    </xdr:to>
    <xdr:pic>
      <xdr:nvPicPr>
        <xdr:cNvPr id="575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123825"/>
          <a:ext cx="17145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495300</xdr:colOff>
      <xdr:row>24</xdr:row>
      <xdr:rowOff>38100</xdr:rowOff>
    </xdr:to>
    <xdr:graphicFrame macro="">
      <xdr:nvGraphicFramePr>
        <xdr:cNvPr id="919615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838200</xdr:colOff>
      <xdr:row>4</xdr:row>
      <xdr:rowOff>180975</xdr:rowOff>
    </xdr:from>
    <xdr:to>
      <xdr:col>11</xdr:col>
      <xdr:colOff>57150</xdr:colOff>
      <xdr:row>20</xdr:row>
      <xdr:rowOff>190500</xdr:rowOff>
    </xdr:to>
    <xdr:graphicFrame macro="">
      <xdr:nvGraphicFramePr>
        <xdr:cNvPr id="919616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95250</xdr:rowOff>
    </xdr:from>
    <xdr:to>
      <xdr:col>0</xdr:col>
      <xdr:colOff>2266950</xdr:colOff>
      <xdr:row>4</xdr:row>
      <xdr:rowOff>142875</xdr:rowOff>
    </xdr:to>
    <xdr:pic>
      <xdr:nvPicPr>
        <xdr:cNvPr id="573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95250"/>
          <a:ext cx="17145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8</xdr:row>
      <xdr:rowOff>266700</xdr:rowOff>
    </xdr:from>
    <xdr:to>
      <xdr:col>7</xdr:col>
      <xdr:colOff>819150</xdr:colOff>
      <xdr:row>27</xdr:row>
      <xdr:rowOff>19050</xdr:rowOff>
    </xdr:to>
    <xdr:graphicFrame macro="">
      <xdr:nvGraphicFramePr>
        <xdr:cNvPr id="922687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781050</xdr:colOff>
      <xdr:row>8</xdr:row>
      <xdr:rowOff>19050</xdr:rowOff>
    </xdr:from>
    <xdr:to>
      <xdr:col>11</xdr:col>
      <xdr:colOff>0</xdr:colOff>
      <xdr:row>23</xdr:row>
      <xdr:rowOff>238125</xdr:rowOff>
    </xdr:to>
    <xdr:graphicFrame macro="">
      <xdr:nvGraphicFramePr>
        <xdr:cNvPr id="922688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95250</xdr:rowOff>
    </xdr:from>
    <xdr:to>
      <xdr:col>0</xdr:col>
      <xdr:colOff>2266950</xdr:colOff>
      <xdr:row>4</xdr:row>
      <xdr:rowOff>133350</xdr:rowOff>
    </xdr:to>
    <xdr:pic>
      <xdr:nvPicPr>
        <xdr:cNvPr id="574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95250"/>
          <a:ext cx="17145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180975</xdr:rowOff>
    </xdr:from>
    <xdr:to>
      <xdr:col>7</xdr:col>
      <xdr:colOff>495300</xdr:colOff>
      <xdr:row>24</xdr:row>
      <xdr:rowOff>219075</xdr:rowOff>
    </xdr:to>
    <xdr:graphicFrame macro="">
      <xdr:nvGraphicFramePr>
        <xdr:cNvPr id="1060905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781050</xdr:colOff>
      <xdr:row>7</xdr:row>
      <xdr:rowOff>276225</xdr:rowOff>
    </xdr:from>
    <xdr:to>
      <xdr:col>11</xdr:col>
      <xdr:colOff>0</xdr:colOff>
      <xdr:row>23</xdr:row>
      <xdr:rowOff>209550</xdr:rowOff>
    </xdr:to>
    <xdr:graphicFrame macro="">
      <xdr:nvGraphicFramePr>
        <xdr:cNvPr id="106090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95250</xdr:rowOff>
    </xdr:from>
    <xdr:to>
      <xdr:col>0</xdr:col>
      <xdr:colOff>2266950</xdr:colOff>
      <xdr:row>4</xdr:row>
      <xdr:rowOff>133350</xdr:rowOff>
    </xdr:to>
    <xdr:pic>
      <xdr:nvPicPr>
        <xdr:cNvPr id="576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52450" y="95250"/>
          <a:ext cx="17145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180975</xdr:rowOff>
    </xdr:from>
    <xdr:to>
      <xdr:col>7</xdr:col>
      <xdr:colOff>495300</xdr:colOff>
      <xdr:row>24</xdr:row>
      <xdr:rowOff>219075</xdr:rowOff>
    </xdr:to>
    <xdr:graphicFrame macro="">
      <xdr:nvGraphicFramePr>
        <xdr:cNvPr id="1070119" name="Chart 1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781050</xdr:colOff>
      <xdr:row>8</xdr:row>
      <xdr:rowOff>19050</xdr:rowOff>
    </xdr:from>
    <xdr:to>
      <xdr:col>11</xdr:col>
      <xdr:colOff>0</xdr:colOff>
      <xdr:row>23</xdr:row>
      <xdr:rowOff>238125</xdr:rowOff>
    </xdr:to>
    <xdr:graphicFrame macro="">
      <xdr:nvGraphicFramePr>
        <xdr:cNvPr id="1070120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26" Type="http://schemas.openxmlformats.org/officeDocument/2006/relationships/revisionLog" Target="revisionLog25.xml"/><Relationship Id="rId21" Type="http://schemas.openxmlformats.org/officeDocument/2006/relationships/revisionLog" Target="revisionLog20.xml"/><Relationship Id="rId42" Type="http://schemas.openxmlformats.org/officeDocument/2006/relationships/revisionLog" Target="revisionLog41.xml"/><Relationship Id="rId47" Type="http://schemas.openxmlformats.org/officeDocument/2006/relationships/revisionLog" Target="revisionLog46.xml"/><Relationship Id="rId63" Type="http://schemas.openxmlformats.org/officeDocument/2006/relationships/revisionLog" Target="revisionLog62.xml"/><Relationship Id="rId68" Type="http://schemas.openxmlformats.org/officeDocument/2006/relationships/revisionLog" Target="revisionLog67.xml"/><Relationship Id="rId84" Type="http://schemas.openxmlformats.org/officeDocument/2006/relationships/revisionLog" Target="revisionLog82.xml"/><Relationship Id="rId89" Type="http://schemas.openxmlformats.org/officeDocument/2006/relationships/revisionLog" Target="revisionLog87.xml"/><Relationship Id="rId112" Type="http://schemas.openxmlformats.org/officeDocument/2006/relationships/revisionLog" Target="revisionLog110.xml"/><Relationship Id="rId2" Type="http://schemas.openxmlformats.org/officeDocument/2006/relationships/revisionLog" Target="revisionLog11.xml"/><Relationship Id="rId16" Type="http://schemas.openxmlformats.org/officeDocument/2006/relationships/revisionLog" Target="revisionLog15.xml"/><Relationship Id="rId29" Type="http://schemas.openxmlformats.org/officeDocument/2006/relationships/revisionLog" Target="revisionLog28.xml"/><Relationship Id="rId107" Type="http://schemas.openxmlformats.org/officeDocument/2006/relationships/revisionLog" Target="revisionLog105.xml"/><Relationship Id="rId11" Type="http://schemas.openxmlformats.org/officeDocument/2006/relationships/revisionLog" Target="revisionLog9.xml"/><Relationship Id="rId24" Type="http://schemas.openxmlformats.org/officeDocument/2006/relationships/revisionLog" Target="revisionLog23.xml"/><Relationship Id="rId32" Type="http://schemas.openxmlformats.org/officeDocument/2006/relationships/revisionLog" Target="revisionLog31.xml"/><Relationship Id="rId37" Type="http://schemas.openxmlformats.org/officeDocument/2006/relationships/revisionLog" Target="revisionLog36.xml"/><Relationship Id="rId40" Type="http://schemas.openxmlformats.org/officeDocument/2006/relationships/revisionLog" Target="revisionLog39.xml"/><Relationship Id="rId45" Type="http://schemas.openxmlformats.org/officeDocument/2006/relationships/revisionLog" Target="revisionLog44.xml"/><Relationship Id="rId53" Type="http://schemas.openxmlformats.org/officeDocument/2006/relationships/revisionLog" Target="revisionLog52.xml"/><Relationship Id="rId58" Type="http://schemas.openxmlformats.org/officeDocument/2006/relationships/revisionLog" Target="revisionLog57.xml"/><Relationship Id="rId66" Type="http://schemas.openxmlformats.org/officeDocument/2006/relationships/revisionLog" Target="revisionLog65.xml"/><Relationship Id="rId74" Type="http://schemas.openxmlformats.org/officeDocument/2006/relationships/revisionLog" Target="revisionLog73.xml"/><Relationship Id="rId79" Type="http://schemas.openxmlformats.org/officeDocument/2006/relationships/revisionLog" Target="revisionLog1.xml"/><Relationship Id="rId87" Type="http://schemas.openxmlformats.org/officeDocument/2006/relationships/revisionLog" Target="revisionLog85.xml"/><Relationship Id="rId102" Type="http://schemas.openxmlformats.org/officeDocument/2006/relationships/revisionLog" Target="revisionLog100.xml"/><Relationship Id="rId110" Type="http://schemas.openxmlformats.org/officeDocument/2006/relationships/revisionLog" Target="revisionLog108.xml"/><Relationship Id="rId5" Type="http://schemas.openxmlformats.org/officeDocument/2006/relationships/revisionLog" Target="revisionLog3.xml"/><Relationship Id="rId61" Type="http://schemas.openxmlformats.org/officeDocument/2006/relationships/revisionLog" Target="revisionLog60.xml"/><Relationship Id="rId82" Type="http://schemas.openxmlformats.org/officeDocument/2006/relationships/revisionLog" Target="revisionLog80.xml"/><Relationship Id="rId90" Type="http://schemas.openxmlformats.org/officeDocument/2006/relationships/revisionLog" Target="revisionLog88.xml"/><Relationship Id="rId95" Type="http://schemas.openxmlformats.org/officeDocument/2006/relationships/revisionLog" Target="revisionLog93.xml"/><Relationship Id="rId19" Type="http://schemas.openxmlformats.org/officeDocument/2006/relationships/revisionLog" Target="revisionLog18.xml"/><Relationship Id="rId14" Type="http://schemas.openxmlformats.org/officeDocument/2006/relationships/revisionLog" Target="revisionLog13.xml"/><Relationship Id="rId22" Type="http://schemas.openxmlformats.org/officeDocument/2006/relationships/revisionLog" Target="revisionLog21.xml"/><Relationship Id="rId27" Type="http://schemas.openxmlformats.org/officeDocument/2006/relationships/revisionLog" Target="revisionLog26.xml"/><Relationship Id="rId30" Type="http://schemas.openxmlformats.org/officeDocument/2006/relationships/revisionLog" Target="revisionLog29.xml"/><Relationship Id="rId35" Type="http://schemas.openxmlformats.org/officeDocument/2006/relationships/revisionLog" Target="revisionLog34.xml"/><Relationship Id="rId43" Type="http://schemas.openxmlformats.org/officeDocument/2006/relationships/revisionLog" Target="revisionLog42.xml"/><Relationship Id="rId48" Type="http://schemas.openxmlformats.org/officeDocument/2006/relationships/revisionLog" Target="revisionLog47.xml"/><Relationship Id="rId56" Type="http://schemas.openxmlformats.org/officeDocument/2006/relationships/revisionLog" Target="revisionLog55.xml"/><Relationship Id="rId64" Type="http://schemas.openxmlformats.org/officeDocument/2006/relationships/revisionLog" Target="revisionLog63.xml"/><Relationship Id="rId69" Type="http://schemas.openxmlformats.org/officeDocument/2006/relationships/revisionLog" Target="revisionLog68.xml"/><Relationship Id="rId77" Type="http://schemas.openxmlformats.org/officeDocument/2006/relationships/revisionLog" Target="revisionLog76.xml"/><Relationship Id="rId100" Type="http://schemas.openxmlformats.org/officeDocument/2006/relationships/revisionLog" Target="revisionLog98.xml"/><Relationship Id="rId105" Type="http://schemas.openxmlformats.org/officeDocument/2006/relationships/revisionLog" Target="revisionLog103.xml"/><Relationship Id="rId8" Type="http://schemas.openxmlformats.org/officeDocument/2006/relationships/revisionLog" Target="revisionLog6.xml"/><Relationship Id="rId51" Type="http://schemas.openxmlformats.org/officeDocument/2006/relationships/revisionLog" Target="revisionLog50.xml"/><Relationship Id="rId72" Type="http://schemas.openxmlformats.org/officeDocument/2006/relationships/revisionLog" Target="revisionLog71.xml"/><Relationship Id="rId80" Type="http://schemas.openxmlformats.org/officeDocument/2006/relationships/revisionLog" Target="revisionLog78.xml"/><Relationship Id="rId85" Type="http://schemas.openxmlformats.org/officeDocument/2006/relationships/revisionLog" Target="revisionLog83.xml"/><Relationship Id="rId93" Type="http://schemas.openxmlformats.org/officeDocument/2006/relationships/revisionLog" Target="revisionLog91.xml"/><Relationship Id="rId98" Type="http://schemas.openxmlformats.org/officeDocument/2006/relationships/revisionLog" Target="revisionLog96.xml"/><Relationship Id="rId3" Type="http://schemas.openxmlformats.org/officeDocument/2006/relationships/revisionLog" Target="revisionLog16.xml"/><Relationship Id="rId12" Type="http://schemas.openxmlformats.org/officeDocument/2006/relationships/revisionLog" Target="revisionLog10.xml"/><Relationship Id="rId17" Type="http://schemas.openxmlformats.org/officeDocument/2006/relationships/revisionLog" Target="revisionLog161.xml"/><Relationship Id="rId25" Type="http://schemas.openxmlformats.org/officeDocument/2006/relationships/revisionLog" Target="revisionLog24.xml"/><Relationship Id="rId33" Type="http://schemas.openxmlformats.org/officeDocument/2006/relationships/revisionLog" Target="revisionLog32.xml"/><Relationship Id="rId38" Type="http://schemas.openxmlformats.org/officeDocument/2006/relationships/revisionLog" Target="revisionLog37.xml"/><Relationship Id="rId46" Type="http://schemas.openxmlformats.org/officeDocument/2006/relationships/revisionLog" Target="revisionLog45.xml"/><Relationship Id="rId59" Type="http://schemas.openxmlformats.org/officeDocument/2006/relationships/revisionLog" Target="revisionLog58.xml"/><Relationship Id="rId67" Type="http://schemas.openxmlformats.org/officeDocument/2006/relationships/revisionLog" Target="revisionLog66.xml"/><Relationship Id="rId103" Type="http://schemas.openxmlformats.org/officeDocument/2006/relationships/revisionLog" Target="revisionLog101.xml"/><Relationship Id="rId108" Type="http://schemas.openxmlformats.org/officeDocument/2006/relationships/revisionLog" Target="revisionLog106.xml"/><Relationship Id="rId20" Type="http://schemas.openxmlformats.org/officeDocument/2006/relationships/revisionLog" Target="revisionLog19.xml"/><Relationship Id="rId41" Type="http://schemas.openxmlformats.org/officeDocument/2006/relationships/revisionLog" Target="revisionLog40.xml"/><Relationship Id="rId54" Type="http://schemas.openxmlformats.org/officeDocument/2006/relationships/revisionLog" Target="revisionLog53.xml"/><Relationship Id="rId62" Type="http://schemas.openxmlformats.org/officeDocument/2006/relationships/revisionLog" Target="revisionLog61.xml"/><Relationship Id="rId70" Type="http://schemas.openxmlformats.org/officeDocument/2006/relationships/revisionLog" Target="revisionLog69.xml"/><Relationship Id="rId75" Type="http://schemas.openxmlformats.org/officeDocument/2006/relationships/revisionLog" Target="revisionLog74.xml"/><Relationship Id="rId83" Type="http://schemas.openxmlformats.org/officeDocument/2006/relationships/revisionLog" Target="revisionLog81.xml"/><Relationship Id="rId88" Type="http://schemas.openxmlformats.org/officeDocument/2006/relationships/revisionLog" Target="revisionLog86.xml"/><Relationship Id="rId91" Type="http://schemas.openxmlformats.org/officeDocument/2006/relationships/revisionLog" Target="revisionLog89.xml"/><Relationship Id="rId96" Type="http://schemas.openxmlformats.org/officeDocument/2006/relationships/revisionLog" Target="revisionLog94.xml"/><Relationship Id="rId111" Type="http://schemas.openxmlformats.org/officeDocument/2006/relationships/revisionLog" Target="revisionLog109.xml"/><Relationship Id="rId1" Type="http://schemas.openxmlformats.org/officeDocument/2006/relationships/revisionLog" Target="revisionLog111.xml"/><Relationship Id="rId6" Type="http://schemas.openxmlformats.org/officeDocument/2006/relationships/revisionLog" Target="revisionLog4.xml"/><Relationship Id="rId15" Type="http://schemas.openxmlformats.org/officeDocument/2006/relationships/revisionLog" Target="revisionLog14.xml"/><Relationship Id="rId23" Type="http://schemas.openxmlformats.org/officeDocument/2006/relationships/revisionLog" Target="revisionLog22.xml"/><Relationship Id="rId28" Type="http://schemas.openxmlformats.org/officeDocument/2006/relationships/revisionLog" Target="revisionLog27.xml"/><Relationship Id="rId36" Type="http://schemas.openxmlformats.org/officeDocument/2006/relationships/revisionLog" Target="revisionLog35.xml"/><Relationship Id="rId49" Type="http://schemas.openxmlformats.org/officeDocument/2006/relationships/revisionLog" Target="revisionLog48.xml"/><Relationship Id="rId57" Type="http://schemas.openxmlformats.org/officeDocument/2006/relationships/revisionLog" Target="revisionLog56.xml"/><Relationship Id="rId106" Type="http://schemas.openxmlformats.org/officeDocument/2006/relationships/revisionLog" Target="revisionLog104.xml"/><Relationship Id="rId10" Type="http://schemas.openxmlformats.org/officeDocument/2006/relationships/revisionLog" Target="revisionLog8.xml"/><Relationship Id="rId31" Type="http://schemas.openxmlformats.org/officeDocument/2006/relationships/revisionLog" Target="revisionLog30.xml"/><Relationship Id="rId44" Type="http://schemas.openxmlformats.org/officeDocument/2006/relationships/revisionLog" Target="revisionLog43.xml"/><Relationship Id="rId52" Type="http://schemas.openxmlformats.org/officeDocument/2006/relationships/revisionLog" Target="revisionLog51.xml"/><Relationship Id="rId60" Type="http://schemas.openxmlformats.org/officeDocument/2006/relationships/revisionLog" Target="revisionLog59.xml"/><Relationship Id="rId65" Type="http://schemas.openxmlformats.org/officeDocument/2006/relationships/revisionLog" Target="revisionLog64.xml"/><Relationship Id="rId73" Type="http://schemas.openxmlformats.org/officeDocument/2006/relationships/revisionLog" Target="revisionLog72.xml"/><Relationship Id="rId78" Type="http://schemas.openxmlformats.org/officeDocument/2006/relationships/revisionLog" Target="revisionLog77.xml"/><Relationship Id="rId81" Type="http://schemas.openxmlformats.org/officeDocument/2006/relationships/revisionLog" Target="revisionLog79.xml"/><Relationship Id="rId86" Type="http://schemas.openxmlformats.org/officeDocument/2006/relationships/revisionLog" Target="revisionLog84.xml"/><Relationship Id="rId94" Type="http://schemas.openxmlformats.org/officeDocument/2006/relationships/revisionLog" Target="revisionLog92.xml"/><Relationship Id="rId99" Type="http://schemas.openxmlformats.org/officeDocument/2006/relationships/revisionLog" Target="revisionLog97.xml"/><Relationship Id="rId101" Type="http://schemas.openxmlformats.org/officeDocument/2006/relationships/revisionLog" Target="revisionLog99.xml"/><Relationship Id="rId4" Type="http://schemas.openxmlformats.org/officeDocument/2006/relationships/revisionLog" Target="revisionLog2.xml"/><Relationship Id="rId9" Type="http://schemas.openxmlformats.org/officeDocument/2006/relationships/revisionLog" Target="revisionLog7.xml"/><Relationship Id="rId13" Type="http://schemas.openxmlformats.org/officeDocument/2006/relationships/revisionLog" Target="revisionLog12.xml"/><Relationship Id="rId18" Type="http://schemas.openxmlformats.org/officeDocument/2006/relationships/revisionLog" Target="revisionLog17.xml"/><Relationship Id="rId39" Type="http://schemas.openxmlformats.org/officeDocument/2006/relationships/revisionLog" Target="revisionLog38.xml"/><Relationship Id="rId109" Type="http://schemas.openxmlformats.org/officeDocument/2006/relationships/revisionLog" Target="revisionLog107.xml"/><Relationship Id="rId34" Type="http://schemas.openxmlformats.org/officeDocument/2006/relationships/revisionLog" Target="revisionLog33.xml"/><Relationship Id="rId50" Type="http://schemas.openxmlformats.org/officeDocument/2006/relationships/revisionLog" Target="revisionLog49.xml"/><Relationship Id="rId55" Type="http://schemas.openxmlformats.org/officeDocument/2006/relationships/revisionLog" Target="revisionLog54.xml"/><Relationship Id="rId76" Type="http://schemas.openxmlformats.org/officeDocument/2006/relationships/revisionLog" Target="revisionLog75.xml"/><Relationship Id="rId97" Type="http://schemas.openxmlformats.org/officeDocument/2006/relationships/revisionLog" Target="revisionLog95.xml"/><Relationship Id="rId104" Type="http://schemas.openxmlformats.org/officeDocument/2006/relationships/revisionLog" Target="revisionLog102.xml"/><Relationship Id="rId7" Type="http://schemas.openxmlformats.org/officeDocument/2006/relationships/revisionLog" Target="revisionLog5.xml"/><Relationship Id="rId71" Type="http://schemas.openxmlformats.org/officeDocument/2006/relationships/revisionLog" Target="revisionLog70.xml"/><Relationship Id="rId92" Type="http://schemas.openxmlformats.org/officeDocument/2006/relationships/revisionLog" Target="revisionLog90.xml"/></Relationships>
</file>

<file path=xl/revisions/revisionHeaders.xml><?xml version="1.0" encoding="utf-8"?>
<headers xmlns="http://schemas.openxmlformats.org/spreadsheetml/2006/main" xmlns:r="http://schemas.openxmlformats.org/officeDocument/2006/relationships" guid="{E20180CB-F019-4DED-8220-77E11D6B1344}" lastGuid="{59104D24-D704-435F-A473-5BB2FDC2B659}" diskRevisions="1" revisionId="6652" version="4">
  <header guid="{57CCE4FF-B0D6-488B-8188-FAE4F0A58064}" dateTime="2008-11-23T18:56:51" maxSheetId="14" userName=" " r:id="rId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0BF2CE-7806-41DD-827C-32EFF2B3218B}" dateTime="2008-11-22T19:08:43" maxSheetId="14" userName="Usuario" r:id="rId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B24ABF-B942-4494-8559-332912039C59}" dateTime="2008-11-23T20:26:35" maxSheetId="14" userName=" " r:id="rId3" minRId="1" maxRId="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16AAD35-798B-4E17-A393-81AB5A46ECDD}" dateTime="2008-11-23T20:33:42" maxSheetId="14" userName=" " r:id="rId4" minRId="8" maxRId="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AFBA97-5F45-4E0C-A4DD-C1C90DCC20CA}" dateTime="2008-11-23T20:53:42" maxSheetId="14" userName=" " r:id="rId5" minRId="15" maxRId="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C83CCC-D3DE-4A1A-B232-E042D2C46B0E}" dateTime="2008-11-23T20:58:42" maxSheetId="14" userName=" " r:id="rId6" minRId="21" maxRId="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E319CD2-F388-4E9A-ACDE-32120C3D3E0C}" dateTime="2008-11-23T21:03:42" maxSheetId="14" userName=" " r:id="rId7" minRId="57" maxRId="1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63A282D-FE6A-4A11-9043-020FAE186D42}" dateTime="2008-11-23T21:08:43" maxSheetId="14" userName=" " r:id="rId8" minRId="142" maxRId="2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DC04E42-50C8-4097-81C9-FD5F78A0DECC}" dateTime="2008-11-23T21:13:42" maxSheetId="14" userName=" " r:id="rId9" minRId="211" maxRId="2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5265CD-5B36-4B55-9A48-2543941C8FCB}" dateTime="2008-11-23T21:18:42" maxSheetId="14" userName=" " r:id="rId10" minRId="283" maxRId="3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2EE4133-C2AB-44B9-91F8-AD08F0DA17E3}" dateTime="2008-11-23T21:23:43" maxSheetId="14" userName=" " r:id="rId11" minRId="350" maxRId="3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25FAB7-749E-4316-9FE9-836C1A198304}" dateTime="2008-11-23T21:28:42" maxSheetId="14" userName=" " r:id="rId12" minRId="398" maxRId="4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642A5A-C503-4680-8B14-AC622AE946A9}" dateTime="2008-11-23T21:34:43" maxSheetId="14" userName=" " r:id="rId13" minRId="482" maxRId="5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58DDC45-FA65-488A-A89E-28AA22B9215F}" dateTime="2008-11-23T21:39:42" maxSheetId="14" userName=" " r:id="rId14" minRId="542" maxRId="6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EC9D987-CE1C-4C41-98DB-BC5F9D6F5871}" dateTime="2008-11-23T21:44:42" maxSheetId="14" userName=" " r:id="rId15" minRId="626" maxRId="7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E2BF1C-BB88-4721-9E57-19C2F1EE42C2}" dateTime="2008-11-22T20:45:17" maxSheetId="14" userName="Usuario" r:id="rId16" minRId="722" maxRId="9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3F6B7D-9BC1-4DB2-8B2B-2E962D450CE2}" dateTime="2008-11-22T20:49:10" maxSheetId="14" userName="Usuario" r:id="rId17" minRId="951" maxRId="9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2B89F4F-0211-4663-9649-E7E8D16DEA2F}" dateTime="2008-11-23T21:49:43" maxSheetId="14" userName=" " r:id="rId18" minRId="984" maxRId="10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3AFF976-6FC7-4D7B-A10A-AD5630B756A6}" dateTime="2008-11-22T20:54:10" maxSheetId="14" userName="Usuario" r:id="rId19" minRId="1026" maxRId="10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1D65048-E19F-4D41-B86A-EAD2029C363E}" dateTime="2008-11-23T21:55:43" maxSheetId="14" userName=" " r:id="rId20" minRId="1068" maxRId="10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D16D44-AD73-4CC4-BEE6-8DBD76AC2702}" dateTime="2008-11-22T20:59:13" maxSheetId="14" userName="Usuario" r:id="rId21" minRId="1098" maxRId="11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CF36DD2-7D6F-4DAA-9B18-0F5F63A76F9D}" dateTime="2008-11-23T22:00:43" maxSheetId="14" userName=" " r:id="rId22" minRId="1123" maxRId="11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5143678-8BCD-46F8-AB63-BD096B10431D}" dateTime="2008-11-22T21:04:10" maxSheetId="14" userName="Usuario" r:id="rId23" minRId="1165" maxRId="11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4588016-37AA-45E8-BEF8-A9B051AFF7E1}" dateTime="2008-11-23T22:05:43" maxSheetId="14" userName=" " r:id="rId24" minRId="1185" maxRId="12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6B0587C-406E-4973-AEF6-542A7050943A}" dateTime="2008-11-23T22:20:43" maxSheetId="14" userName=" " r:id="rId25" minRId="1215" maxRId="12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CA446D-B486-4E2C-9CC4-B4CE7ACA5306}" dateTime="2008-11-22T21:24:10" maxSheetId="14" userName="Usuario" r:id="rId26" minRId="1241" maxRId="13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A1429B6-0ACB-414E-A652-537CED976489}" dateTime="2008-11-23T22:25:43" maxSheetId="14" userName=" " r:id="rId27" minRId="1305" maxRId="13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5A02C3-6549-48F3-9332-741666F44D71}" dateTime="2008-11-22T21:29:10" maxSheetId="14" userName="Usuario" r:id="rId28" minRId="1381" maxRId="14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111EA71-C070-4423-B3B6-FBDDAB96BAF7}" dateTime="2008-11-23T22:30:43" maxSheetId="14" userName=" " r:id="rId29" minRId="1420" maxRId="15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696921-0A3C-4862-B90C-755B1453D7EF}" dateTime="2008-11-22T21:34:10" maxSheetId="14" userName="Usuario" r:id="rId30" minRId="1540" maxRId="15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1F5D3A-87D5-4A37-AD22-F14E28EAC919}" dateTime="2008-11-23T22:35:43" maxSheetId="14" userName=" " r:id="rId31" minRId="1573" maxRId="16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AD7AAFC-A646-4AA9-8B7E-3EDB4F4AB13D}" dateTime="2008-11-22T21:39:10" maxSheetId="14" userName="Usuario" r:id="rId32" minRId="1651" maxRId="16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1C4033-EDF4-4FB9-BA6F-67F0405A16F0}" dateTime="2008-11-23T22:40:43" maxSheetId="14" userName=" " r:id="rId33" minRId="1665" maxRId="16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01CA07-2C3C-487C-83A2-06F0EDF27BA2}" dateTime="2008-11-22T21:44:10" maxSheetId="14" userName="Usuario" r:id="rId34" minRId="1683" maxRId="17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A049D2-5CE3-44B4-BFBA-6CD220E5377C}" dateTime="2008-11-23T22:45:43" maxSheetId="14" userName=" " r:id="rId35" minRId="1732" maxRId="18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155D7B1-0E20-4330-BB57-4F7E76A22013}" dateTime="2008-11-23T22:50:42" maxSheetId="14" userName=" " r:id="rId36" minRId="1861" maxRId="19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C384A2C-856A-4B6F-8C7A-BE6293D75DFF}" dateTime="2008-11-22T21:55:10" maxSheetId="14" userName="Usuario" r:id="rId37" minRId="1919" maxRId="19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09CB57D-D0EB-4E60-B3A2-53DEAE837FBE}" dateTime="2008-11-23T22:55:43" maxSheetId="14" userName=" " r:id="rId38" minRId="1951" maxRId="20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8F251D-E3BF-476B-B309-D042C5B843F0}" dateTime="2008-11-22T22:00:10" maxSheetId="14" userName="Usuario" r:id="rId39" minRId="2073" maxRId="21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1FC77E6-FE93-4602-BDD6-9A493CFC817A}" dateTime="2008-11-23T23:00:44" maxSheetId="14" userName=" " r:id="rId40" minRId="2125" maxRId="21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522D3D-6294-4766-A7B5-EF5F460491C4}" dateTime="2008-11-22T22:05:10" maxSheetId="14" userName="Usuario" r:id="rId41" minRId="2191" maxRId="22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34736FA-5459-4673-98BA-C3C51146B1A4}" dateTime="2008-11-23T23:05:43" maxSheetId="14" userName=" " r:id="rId42" minRId="2212" maxRId="22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D89653-F9B7-40EC-B253-0E4436023FB6}" dateTime="2008-11-22T22:10:10" maxSheetId="14" userName="Usuario" r:id="rId43" minRId="2295" maxRId="23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F9C6C7B-304B-4FF6-ACCD-FC5A970ACD72}" dateTime="2008-11-23T23:10:43" maxSheetId="14" userName=" " r:id="rId44" minRId="2302" maxRId="23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A4D7EF-7D97-491C-AC40-CEA1D6AD2FBD}" dateTime="2008-11-23T23:20:42" maxSheetId="14" userName=" " r:id="rId45" minRId="2332" maxRId="24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B730F7-F8BB-4C8E-B8B2-698F42AB3354}" dateTime="2008-11-23T23:25:42" maxSheetId="14" userName=" " r:id="rId46" minRId="2428" maxRId="25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FFED9C-8B6E-487D-A274-30101088AD7C}" dateTime="2008-11-23T23:30:42" maxSheetId="14" userName=" " r:id="rId47" minRId="2524" maxRId="25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78CF40-7DC6-4F01-9393-0DB7EF504651}" dateTime="2008-11-23T23:35:42" maxSheetId="14" userName=" " r:id="rId48" minRId="2554" maxRId="25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A3D6B4-119E-4752-BC8A-5F9A2C2926BA}" dateTime="2008-11-23T23:40:42" maxSheetId="14" userName=" " r:id="rId49" minRId="2590" maxRId="26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11C5C0-4DFC-4D4F-9B76-CFEE1AFBB64D}" dateTime="2008-11-23T23:45:42" maxSheetId="14" userName=" " r:id="rId50" minRId="2620" maxRId="27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D25B8F-3682-49E8-BB3A-3A4AC4EB1D70}" dateTime="2008-11-22T22:50:10" maxSheetId="14" userName="Usuario" r:id="rId51" minRId="2722" maxRId="28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95933B-421A-48BD-8421-61C5D0285FCE}" dateTime="2008-11-23T23:51:43" maxSheetId="14" userName=" " r:id="rId52" minRId="2865" maxRId="29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EC7C379-A217-436A-B5CD-C501EDD6CA62}" dateTime="2008-11-22T22:55:10" maxSheetId="14" userName="Usuario" r:id="rId53" minRId="2957" maxRId="30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F41B4D-7C8C-4789-A381-F7D2B86640F2}" dateTime="2008-11-23T23:56:43" maxSheetId="14" userName=" " r:id="rId54" minRId="3094" maxRId="31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32B4934-B1A0-4954-ADC4-DF8B2BCC0EA8}" dateTime="2008-11-22T23:00:10" maxSheetId="14" userName="Usuario" r:id="rId55" minRId="3146" maxRId="31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C025CE-9D97-491E-A280-FC72E83F76AD}" dateTime="2008-11-24T00:01:43" maxSheetId="14" userName=" " r:id="rId56" minRId="3195" maxRId="33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175D7DF-C98F-44FB-B79D-0A7BF2876DAF}" dateTime="2008-11-22T23:05:10" maxSheetId="14" userName="Usuario" r:id="rId57" minRId="3310" maxRId="33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895C50-821D-48A3-BEC8-DB6CBC94A7B4}" dateTime="2008-11-24T00:06:43" maxSheetId="14" userName=" " r:id="rId58" minRId="3359" maxRId="34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256EC27-2DDB-477A-9031-8C8643C84371}" dateTime="2008-11-22T23:10:10" maxSheetId="14" userName="Usuario" r:id="rId59" minRId="3431" maxRId="34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A89097-A411-4081-8226-DD4F49EBAD6A}" dateTime="2008-11-24T00:11:43" maxSheetId="14" userName=" " r:id="rId60" minRId="3459" maxRId="35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8424823-14CD-496E-B6D2-A4F4F000C3D4}" dateTime="2008-11-22T23:15:10" maxSheetId="14" userName="Usuario" r:id="rId61" minRId="3531" maxRId="35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2538CA-7489-472B-B859-50255522987B}" dateTime="2008-11-24T00:16:43" maxSheetId="14" userName=" " r:id="rId62" minRId="3566" maxRId="36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ECF00D-207F-488B-B842-FD1F22926B5E}" dateTime="2008-11-22T23:20:10" maxSheetId="14" userName="Usuario" r:id="rId63" minRId="3686" maxRId="37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5FA617E-96E4-40E6-BB3E-4BD0575D6677}" dateTime="2008-11-24T00:21:43" maxSheetId="14" userName=" " r:id="rId64" minRId="3735" maxRId="38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56C2340-B2A9-46E2-A4F4-F8BB89C1EE06}" dateTime="2008-11-22T23:25:10" maxSheetId="14" userName="Usuario" r:id="rId65" minRId="3864" maxRId="38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AF8F271-6BAE-419C-A480-AF54CA3C0C9B}" dateTime="2008-11-24T00:26:43" maxSheetId="14" userName=" " r:id="rId66" minRId="3878" maxRId="40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0957BC-E9EB-450C-8F02-68D34B8A100F}" dateTime="2008-11-22T23:30:10" maxSheetId="14" userName="Usuario" r:id="rId67" minRId="4001" maxRId="40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D68C41-F748-44FB-A68A-4DFA340405B1}" dateTime="2008-11-24T00:31:43" maxSheetId="14" userName=" " r:id="rId68" minRId="4085" maxRId="41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D1871B-06CF-4D32-8FBB-C75AA747BFAC}" dateTime="2008-11-22T23:35:10" maxSheetId="14" userName="Usuario" r:id="rId69" minRId="4142" maxRId="41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F0127D1-F595-48D2-A820-F0F0B5410C24}" dateTime="2008-11-24T00:36:43" maxSheetId="14" userName=" " r:id="rId70" minRId="4163" maxRId="42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E6C993-F09B-475A-90F6-7DB8CF01749C}" dateTime="2008-11-22T23:40:10" maxSheetId="14" userName="Usuario" r:id="rId71" minRId="4238" maxRId="42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9313F25-FDBA-4918-BE89-D5F4051F1566}" dateTime="2008-11-24T00:41:43" maxSheetId="14" userName=" " r:id="rId72" minRId="4259" maxRId="43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D9E3CD7-C152-4604-AEEA-AB9CC49B3FD9}" dateTime="2008-11-24T00:46:42" maxSheetId="14" userName=" " r:id="rId73" minRId="4320" maxRId="44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E23285-73EF-4476-BB62-0B9BECCA131F}" dateTime="2008-11-22T23:50:10" maxSheetId="14" userName="Usuario" r:id="rId74" minRId="4463" maxRId="44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7387D30-87A2-4947-BB79-057BE05A87AA}" dateTime="2008-11-24T00:51:45" maxSheetId="14" userName=" " r:id="rId75" minRId="4477" maxRId="45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80699F6-9129-42FD-A6B5-A0BC20287033}" dateTime="2008-11-22T23:55:11" maxSheetId="14" userName="Usuario" r:id="rId76" minRId="45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31A93CB-6C80-423C-B3EF-518EA103E053}" dateTime="2008-11-24T00:56:43" maxSheetId="14" userName=" " r:id="rId77" minRId="4512" maxRId="45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29C9D7-F637-4F5E-BF69-AE3DA3A950DF}" dateTime="2008-11-23T00:00:10" maxSheetId="14" userName="Usuario" r:id="rId78" minRId="4567" maxRId="46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104D24-D704-435F-A473-5BB2FDC2B659}" dateTime="2008-11-23T13:07:01" maxSheetId="14" userName="PLM" r:id="rId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34E2F3B-E47D-4B78-8507-C771B0E21E36}" dateTime="2008-11-23T00:25:09" maxSheetId="14" userName="Usuario" r:id="rId80" minRId="4601" maxRId="46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F02D6D-6268-4DEF-B368-07611660970E}" dateTime="2008-11-24T01:26:43" maxSheetId="14" userName=" " r:id="rId81" minRId="4657" maxRId="47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E8F452-C8B7-4B4A-86BA-46227E3292D6}" dateTime="2008-11-23T00:30:10" maxSheetId="14" userName="Usuario" r:id="rId82" minRId="4748" maxRId="48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1947A33-3A93-466A-B745-A6BF56E020C8}" dateTime="2008-11-24T01:31:43" maxSheetId="14" userName=" " r:id="rId83" minRId="4811" maxRId="48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DF906D-8226-40D0-801B-8B412F0BA0DA}" dateTime="2008-11-23T00:35:10" maxSheetId="14" userName="Usuario" r:id="rId84" minRId="4895" maxRId="49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6F21A1-F6B4-46B6-AA7E-96C061906B94}" dateTime="2008-11-23T00:40:09" maxSheetId="14" userName="Usuario" r:id="rId85" minRId="4930" maxRId="49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D85759B-1629-4D4D-9554-F56C4435866F}" dateTime="2008-11-24T01:41:43" maxSheetId="14" userName=" " r:id="rId86" minRId="4986" maxRId="50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F2A87A-37FA-436E-A3D5-25660F12ABF5}" dateTime="2008-11-23T00:45:10" maxSheetId="14" userName="Usuario" r:id="rId87" minRId="5003" maxRId="50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D246BAE-D8A6-4A95-A0C6-D3AB5510CAB5}" dateTime="2008-11-24T01:46:43" maxSheetId="14" userName=" " r:id="rId88" minRId="5024" maxRId="50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434BC3-BAE2-4991-B345-D2C960CD9EAB}" dateTime="2008-11-23T00:50:10" maxSheetId="14" userName="Usuario" r:id="rId89" minRId="5049" maxRId="50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3F86508-900A-4A28-9DB1-34A913E6129F}" dateTime="2008-11-24T01:51:43" maxSheetId="14" userName=" " r:id="rId90" minRId="5070" maxRId="51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29D9E4-DFDE-4E42-AF8B-713050943144}" dateTime="2008-11-23T00:55:11" maxSheetId="14" userName="Usuario" r:id="rId91" minRId="5130" maxRId="51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C89A909-2264-4D07-9ACF-76175321ECC7}" dateTime="2008-11-24T01:56:43" maxSheetId="14" userName=" " r:id="rId92" minRId="5161" maxRId="52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BAE883-796A-4D82-A0E7-238017F20D48}" dateTime="2008-11-23T01:00:10" maxSheetId="14" userName="Usuario" r:id="rId93" minRId="5245" maxRId="52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925425-95A5-479B-B0B5-371F83B90C08}" dateTime="2008-11-24T02:01:43" maxSheetId="14" userName=" " r:id="rId94" minRId="5249" maxRId="52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DC2F1FF-508B-47E5-B49F-9B32D473AFF0}" dateTime="2008-11-24T02:06:43" maxSheetId="14" userName=" " r:id="rId95" minRId="5261" maxRId="53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368511-2EFB-4642-A46D-C658B0247EAC}" dateTime="2008-11-24T02:11:43" maxSheetId="14" userName=" " r:id="rId96" minRId="5309" maxRId="54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FF9CE98-96C4-42F8-B358-64F3C8EFAC11}" dateTime="2008-11-24T02:16:43" maxSheetId="14" userName=" " r:id="rId97" minRId="5483" maxRId="55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25697C1-E2A9-42DE-8C58-46382668D046}" dateTime="2008-11-24T02:21:43" maxSheetId="14" userName=" " r:id="rId98" minRId="5597" maxRId="57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C5229A-A1EB-4CFD-ADF2-A152FF98A233}" dateTime="2008-11-24T02:26:42" maxSheetId="14" userName=" " r:id="rId99" minRId="5765" maxRId="58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F39F12F-6BE1-40DB-A732-BB3F50ABD631}" dateTime="2008-11-23T01:30:10" maxSheetId="14" userName="Usuario" r:id="rId100" minRId="5891" maxRId="59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DBD6021-5A16-4815-AF67-066C00319E43}" dateTime="2008-11-24T02:31:43" maxSheetId="14" userName=" " r:id="rId101" minRId="5933" maxRId="60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94D0171-CDB7-443E-B603-4EBF4DCE34AD}" dateTime="2008-11-23T01:35:10" maxSheetId="14" userName="Usuario" r:id="rId102" minRId="6029" maxRId="60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A7550E-7E1F-48EE-A382-BD69244D1FD3}" dateTime="2008-11-24T02:36:43" maxSheetId="14" userName=" " r:id="rId103" minRId="6043" maxRId="60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D7030D2-9C98-4446-9319-A89AEB058331}" dateTime="2008-11-23T01:40:10" maxSheetId="14" userName="Usuario" r:id="rId104" minRId="6085" maxRId="60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AA38C62-C192-453F-A6D4-09FDDC6FAE91}" dateTime="2008-11-24T02:41:43" maxSheetId="14" userName=" " r:id="rId105" minRId="6092" maxRId="61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65806F6-A0D8-4614-814E-3BB3EC340542}" dateTime="2008-11-24T02:46:42" maxSheetId="14" userName=" " r:id="rId106" minRId="6146" maxRId="63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9CD0A4E-8CEE-4E9D-94A7-B8EF2C888A6A}" dateTime="2008-11-24T02:51:43" maxSheetId="14" userName=" " r:id="rId107" minRId="6308" maxRId="63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FFCC3B4-FAF1-4699-86D1-FB405E7FDCE5}" dateTime="2008-11-24T02:56:43" maxSheetId="14" userName=" " r:id="rId108" minRId="6371" maxRId="64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1B9B1C4-ECAF-4339-BC74-45D68575AB71}" dateTime="2008-11-23T02:00:23" maxSheetId="14" userName="Usuario" r:id="rId109" minRId="6436" maxRId="64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FCB368-D509-4AFC-89C2-ACAD53024F05}" dateTime="2008-11-24T03:01:43" maxSheetId="14" userName=" " r:id="rId110" minRId="6457" maxRId="65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7AB1BB4-61C5-4C33-BA9F-7CEBB24FEE8A}" dateTime="2008-11-24T03:06:42" maxSheetId="14" userName=" " r:id="rId111" minRId="6573" maxRId="65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0180CB-F019-4DED-8220-77E11D6B1344}" dateTime="2008-11-24T03:11:43" maxSheetId="14" userName=" " r:id="rId112" minRId="6599" maxRId="66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v guid="{E103CAA9-E8FB-4228-A076-3C3E3EEEC109}" action="add"/>
</revisions>
</file>

<file path=xl/revisions/revisionLog2.xml><?xml version="1.0" encoding="utf-8"?>
<revisions xmlns="http://schemas.openxmlformats.org/spreadsheetml/2006/main" xmlns:r="http://schemas.openxmlformats.org/officeDocument/2006/relationships">
  <rcc rId="8" sId="8" numFmtId="4">
    <nc r="B9">
      <v>16</v>
    </nc>
  </rcc>
  <rcc rId="9" sId="8" numFmtId="4">
    <nc r="C9">
      <v>65</v>
    </nc>
  </rcc>
  <rcc rId="10" sId="8" numFmtId="4">
    <nc r="D9">
      <v>1</v>
    </nc>
  </rcc>
  <rcc rId="11" sId="8" numFmtId="4">
    <nc r="E9">
      <v>1</v>
    </nc>
  </rcc>
  <rcc rId="12" sId="8" numFmtId="4">
    <nc r="F9">
      <v>1</v>
    </nc>
  </rcc>
  <rcc rId="13" sId="8" numFmtId="4">
    <nc r="G9">
      <v>1</v>
    </nc>
  </rcc>
  <rcc rId="14" sId="8" numFmtId="4">
    <nc r="H9">
      <v>1</v>
    </nc>
  </rcc>
</revisions>
</file>

<file path=xl/revisions/revisionLog3.xml><?xml version="1.0" encoding="utf-8"?>
<revisions xmlns="http://schemas.openxmlformats.org/spreadsheetml/2006/main" xmlns:r="http://schemas.openxmlformats.org/officeDocument/2006/relationships">
  <rcc rId="15" sId="8" numFmtId="4">
    <oc r="C9">
      <v>65</v>
    </oc>
    <nc r="C9"/>
  </rcc>
  <rcc rId="16" sId="8" numFmtId="4">
    <oc r="E9">
      <v>1</v>
    </oc>
    <nc r="E9"/>
  </rcc>
  <rcc rId="17" sId="8" numFmtId="4">
    <oc r="F9">
      <v>1</v>
    </oc>
    <nc r="F9"/>
  </rcc>
  <rcc rId="18" sId="8" numFmtId="4">
    <oc r="G9">
      <v>1</v>
    </oc>
    <nc r="G9"/>
  </rcc>
  <rcc rId="19" sId="8" numFmtId="4">
    <oc r="H9">
      <v>1</v>
    </oc>
    <nc r="H9"/>
  </rcc>
  <rcc rId="20" sId="5" numFmtId="4">
    <nc r="B12">
      <v>11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>
  <rcc rId="21" sId="5" numFmtId="4">
    <nc r="C12">
      <v>45</v>
    </nc>
  </rcc>
  <rcc rId="22" sId="5" numFmtId="4">
    <nc r="D12">
      <v>1</v>
    </nc>
  </rcc>
  <rcc rId="23" sId="5" numFmtId="4">
    <nc r="E12">
      <v>8</v>
    </nc>
  </rcc>
  <rcc rId="24" sId="5" numFmtId="4">
    <nc r="F12">
      <v>28</v>
    </nc>
  </rcc>
  <rcc rId="25" sId="5" numFmtId="4">
    <nc r="G12">
      <v>8</v>
    </nc>
  </rcc>
  <rcc rId="26" sId="5" numFmtId="4">
    <nc r="B13">
      <v>11</v>
    </nc>
  </rcc>
  <rcc rId="27" sId="5" numFmtId="4">
    <nc r="C13">
      <v>33</v>
    </nc>
  </rcc>
  <rcc rId="28" sId="5" numFmtId="4">
    <nc r="D13">
      <v>1</v>
    </nc>
  </rcc>
  <rcc rId="29" sId="5" numFmtId="4">
    <nc r="E13">
      <v>20</v>
    </nc>
  </rcc>
  <rcc rId="30" sId="5" numFmtId="4">
    <nc r="F13">
      <v>0</v>
    </nc>
  </rcc>
  <rcc rId="31" sId="5" numFmtId="4">
    <nc r="G13">
      <v>13</v>
    </nc>
  </rcc>
  <rcc rId="32" sId="5" numFmtId="4">
    <nc r="B14">
      <v>11</v>
    </nc>
  </rcc>
  <rcc rId="33" sId="5" numFmtId="4">
    <nc r="C14">
      <v>61</v>
    </nc>
  </rcc>
  <rcc rId="34" sId="5" numFmtId="4">
    <nc r="D14">
      <v>1</v>
    </nc>
  </rcc>
  <rcc rId="35" sId="5" numFmtId="4">
    <nc r="E14">
      <v>8</v>
    </nc>
  </rcc>
  <rcc rId="36" sId="5" numFmtId="4">
    <nc r="F14">
      <v>2</v>
    </nc>
  </rcc>
  <rcc rId="37" sId="5" numFmtId="4">
    <nc r="G14">
      <v>0</v>
    </nc>
  </rcc>
  <rcc rId="38" sId="5" numFmtId="4">
    <nc r="B15">
      <v>11</v>
    </nc>
  </rcc>
  <rcc rId="39" sId="5" numFmtId="4">
    <nc r="C15">
      <v>36</v>
    </nc>
  </rcc>
  <rcc rId="40" sId="5" numFmtId="4">
    <nc r="D15">
      <v>1</v>
    </nc>
  </rcc>
  <rcc rId="41" sId="5" numFmtId="4">
    <nc r="E15">
      <v>6</v>
    </nc>
  </rcc>
  <rcc rId="42" sId="5" numFmtId="4">
    <nc r="F15">
      <v>0</v>
    </nc>
  </rcc>
  <rcc rId="43" sId="5" numFmtId="4">
    <nc r="G15">
      <v>0</v>
    </nc>
  </rcc>
  <rcc rId="44" sId="5" numFmtId="4">
    <nc r="B16">
      <v>11</v>
    </nc>
  </rcc>
  <rcc rId="45" sId="5" numFmtId="4">
    <nc r="C16">
      <v>53</v>
    </nc>
  </rcc>
  <rcc rId="46" sId="5" numFmtId="4">
    <nc r="D16">
      <v>1</v>
    </nc>
  </rcc>
  <rcc rId="47" sId="5" numFmtId="4">
    <nc r="E16">
      <v>30</v>
    </nc>
  </rcc>
  <rcc rId="48" sId="5" numFmtId="4">
    <nc r="F16">
      <v>15</v>
    </nc>
  </rcc>
  <rcc rId="49" sId="5" numFmtId="4">
    <nc r="G16">
      <v>10</v>
    </nc>
  </rcc>
  <rcc rId="50" sId="5" numFmtId="4">
    <nc r="B17">
      <v>11</v>
    </nc>
  </rcc>
  <rcc rId="51" sId="5" numFmtId="4">
    <nc r="C17">
      <v>39</v>
    </nc>
  </rcc>
  <rcc rId="52" sId="5" numFmtId="4">
    <nc r="D17">
      <v>1</v>
    </nc>
  </rcc>
  <rcc rId="53" sId="5" numFmtId="4">
    <nc r="E17">
      <v>10</v>
    </nc>
  </rcc>
  <rcc rId="54" sId="5" numFmtId="4">
    <nc r="F17">
      <v>9</v>
    </nc>
  </rcc>
  <rcc rId="55" sId="5" numFmtId="4">
    <nc r="G17">
      <v>6</v>
    </nc>
  </rcc>
  <rcc rId="56" sId="5" numFmtId="4">
    <nc r="B18">
      <v>11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>
  <rcc rId="57" sId="5" numFmtId="4">
    <nc r="C18">
      <v>39</v>
    </nc>
  </rcc>
  <rcc rId="58" sId="5" numFmtId="4">
    <nc r="D18">
      <v>2</v>
    </nc>
  </rcc>
  <rcc rId="59" sId="5" numFmtId="4">
    <nc r="E18">
      <v>8</v>
    </nc>
  </rcc>
  <rcc rId="60" sId="5" numFmtId="4">
    <nc r="F18">
      <v>3</v>
    </nc>
  </rcc>
  <rcc rId="61" sId="5" numFmtId="4">
    <nc r="G18">
      <v>2</v>
    </nc>
  </rcc>
  <rcc rId="62" sId="5" numFmtId="4">
    <nc r="B19">
      <v>11</v>
    </nc>
  </rcc>
  <rcc rId="63" sId="5" numFmtId="4">
    <nc r="C19">
      <v>51</v>
    </nc>
  </rcc>
  <rcc rId="64" sId="5" numFmtId="4">
    <nc r="D19">
      <v>1</v>
    </nc>
  </rcc>
  <rcc rId="65" sId="5" numFmtId="4">
    <nc r="E19">
      <v>6</v>
    </nc>
  </rcc>
  <rcc rId="66" sId="5" numFmtId="4">
    <nc r="F19">
      <v>1</v>
    </nc>
  </rcc>
  <rcc rId="67" sId="5" numFmtId="4">
    <nc r="G19">
      <v>0</v>
    </nc>
  </rcc>
  <rcc rId="68" sId="5" numFmtId="4">
    <nc r="B20">
      <v>11</v>
    </nc>
  </rcc>
  <rcc rId="69" sId="5" numFmtId="4">
    <nc r="C20">
      <v>58</v>
    </nc>
  </rcc>
  <rcc rId="70" sId="5" numFmtId="4">
    <nc r="D20">
      <v>1</v>
    </nc>
  </rcc>
  <rcc rId="71" sId="5" numFmtId="4">
    <nc r="E20">
      <v>19</v>
    </nc>
  </rcc>
  <rcc rId="72" sId="5" numFmtId="4">
    <nc r="F20">
      <v>3</v>
    </nc>
  </rcc>
  <rcc rId="73" sId="5" numFmtId="4">
    <nc r="G20">
      <v>6</v>
    </nc>
  </rcc>
  <rcc rId="74" sId="5" numFmtId="4">
    <nc r="B21">
      <v>11</v>
    </nc>
  </rcc>
  <rcc rId="75" sId="5" numFmtId="4">
    <nc r="C21">
      <v>47</v>
    </nc>
  </rcc>
  <rcc rId="76" sId="5" numFmtId="4">
    <nc r="D21">
      <v>1</v>
    </nc>
  </rcc>
  <rcc rId="77" sId="5" numFmtId="4">
    <nc r="E21">
      <v>17</v>
    </nc>
  </rcc>
  <rcc rId="78" sId="5" numFmtId="4">
    <nc r="F21">
      <v>4</v>
    </nc>
  </rcc>
  <rcc rId="79" sId="5" numFmtId="4">
    <nc r="G21">
      <v>2</v>
    </nc>
  </rcc>
  <rcc rId="80" sId="5" numFmtId="4">
    <nc r="B22">
      <v>11</v>
    </nc>
  </rcc>
  <rcc rId="81" sId="5" numFmtId="4">
    <nc r="C22">
      <v>54</v>
    </nc>
  </rcc>
  <rcc rId="82" sId="5" numFmtId="4">
    <nc r="D22">
      <v>1</v>
    </nc>
  </rcc>
  <rcc rId="83" sId="5" numFmtId="4">
    <nc r="E22">
      <v>5</v>
    </nc>
  </rcc>
  <rcc rId="84" sId="5" numFmtId="4">
    <nc r="F22">
      <v>1</v>
    </nc>
  </rcc>
  <rcc rId="85" sId="5" numFmtId="4">
    <nc r="G22">
      <v>0</v>
    </nc>
  </rcc>
  <rcc rId="86" sId="5" numFmtId="4">
    <nc r="B23">
      <v>11</v>
    </nc>
  </rcc>
  <rcc rId="87" sId="5" numFmtId="4">
    <nc r="C23">
      <v>62</v>
    </nc>
  </rcc>
  <rcc rId="88" sId="5" numFmtId="4">
    <nc r="D23">
      <v>1</v>
    </nc>
  </rcc>
  <rcc rId="89" sId="5" numFmtId="4">
    <nc r="E23">
      <v>14</v>
    </nc>
  </rcc>
  <rcc rId="90" sId="5" numFmtId="4">
    <nc r="F23">
      <v>11</v>
    </nc>
  </rcc>
  <rcc rId="91" sId="5" numFmtId="4">
    <nc r="G23">
      <v>0</v>
    </nc>
  </rcc>
  <rcc rId="92" sId="5" numFmtId="4">
    <nc r="B24">
      <v>11</v>
    </nc>
  </rcc>
  <rcc rId="93" sId="5" numFmtId="4">
    <nc r="C24">
      <v>48</v>
    </nc>
  </rcc>
  <rcc rId="94" sId="5" numFmtId="4">
    <nc r="D24">
      <v>1</v>
    </nc>
  </rcc>
  <rcc rId="95" sId="5" numFmtId="4">
    <nc r="E24">
      <v>6</v>
    </nc>
  </rcc>
  <rcc rId="96" sId="5" numFmtId="4">
    <nc r="F24">
      <v>2</v>
    </nc>
  </rcc>
  <rcc rId="97" sId="5" numFmtId="4">
    <nc r="G24">
      <v>5</v>
    </nc>
  </rcc>
  <rcc rId="98" sId="5" numFmtId="4">
    <nc r="B25">
      <v>11</v>
    </nc>
  </rcc>
  <rcc rId="99" sId="5" numFmtId="4">
    <nc r="C25">
      <v>41</v>
    </nc>
  </rcc>
  <rcc rId="100" sId="5" numFmtId="4">
    <nc r="D25">
      <v>1</v>
    </nc>
  </rcc>
  <rcc rId="101" sId="5" numFmtId="4">
    <nc r="E25">
      <v>11</v>
    </nc>
  </rcc>
  <rcc rId="102" sId="5" numFmtId="4">
    <nc r="F25">
      <v>3</v>
    </nc>
  </rcc>
  <rcc rId="103" sId="5" numFmtId="4">
    <nc r="G25">
      <v>2</v>
    </nc>
  </rcc>
  <rcc rId="104" sId="5" numFmtId="4">
    <nc r="B26">
      <v>11</v>
    </nc>
  </rcc>
  <rcc rId="105" sId="5" numFmtId="4">
    <nc r="C26">
      <v>43</v>
    </nc>
  </rcc>
  <rcc rId="106" sId="5" numFmtId="4">
    <nc r="D26">
      <v>1</v>
    </nc>
  </rcc>
  <rcc rId="107" sId="5" numFmtId="4">
    <nc r="E26">
      <v>19</v>
    </nc>
  </rcc>
  <rcc rId="108" sId="5" numFmtId="4">
    <nc r="F26">
      <v>5</v>
    </nc>
  </rcc>
  <rcc rId="109" sId="5" numFmtId="4">
    <nc r="G26">
      <v>3</v>
    </nc>
  </rcc>
  <rcc rId="110" sId="5" numFmtId="4">
    <nc r="B27">
      <v>11</v>
    </nc>
  </rcc>
  <rcc rId="111" sId="5" numFmtId="4">
    <nc r="C27">
      <v>26</v>
    </nc>
  </rcc>
  <rcc rId="112" sId="5" numFmtId="4">
    <nc r="D27">
      <v>1</v>
    </nc>
  </rcc>
  <rcc rId="113" sId="5" numFmtId="4">
    <nc r="E27">
      <v>30</v>
    </nc>
  </rcc>
  <rcc rId="114" sId="5" numFmtId="4">
    <nc r="F27">
      <v>7</v>
    </nc>
  </rcc>
  <rcc rId="115" sId="5" numFmtId="4">
    <nc r="G27">
      <v>2</v>
    </nc>
  </rcc>
  <rcc rId="116" sId="5" numFmtId="4">
    <nc r="B28">
      <v>11</v>
    </nc>
  </rcc>
  <rcc rId="117" sId="5" numFmtId="4">
    <nc r="C28">
      <v>29</v>
    </nc>
  </rcc>
  <rcc rId="118" sId="5" numFmtId="4">
    <nc r="D28">
      <v>2</v>
    </nc>
  </rcc>
  <rcc rId="119" sId="5" numFmtId="4">
    <nc r="E28">
      <v>14</v>
    </nc>
  </rcc>
  <rcc rId="120" sId="5" numFmtId="4">
    <nc r="F28">
      <v>4</v>
    </nc>
  </rcc>
  <rcc rId="121" sId="5" numFmtId="4">
    <nc r="G28">
      <v>3</v>
    </nc>
  </rcc>
  <rcc rId="122" sId="5" numFmtId="4">
    <nc r="B29">
      <v>11</v>
    </nc>
  </rcc>
  <rcc rId="123" sId="5" numFmtId="4">
    <nc r="C29">
      <v>29</v>
    </nc>
  </rcc>
  <rcc rId="124" sId="5" numFmtId="4">
    <nc r="D29">
      <v>1</v>
    </nc>
  </rcc>
  <rcc rId="125" sId="5" numFmtId="4">
    <nc r="E29">
      <v>10</v>
    </nc>
  </rcc>
  <rcc rId="126" sId="5" numFmtId="4">
    <nc r="F29">
      <v>0</v>
    </nc>
  </rcc>
  <rcc rId="127" sId="5" numFmtId="4">
    <nc r="G29">
      <v>2</v>
    </nc>
  </rcc>
  <rcc rId="128" sId="5" numFmtId="4">
    <nc r="B30">
      <v>11</v>
    </nc>
  </rcc>
  <rcc rId="129" sId="5" numFmtId="4">
    <nc r="C30">
      <v>43</v>
    </nc>
  </rcc>
  <rcc rId="130" sId="5" numFmtId="4">
    <nc r="D30">
      <v>2</v>
    </nc>
  </rcc>
  <rcc rId="131" sId="5" numFmtId="4">
    <nc r="E30">
      <v>21</v>
    </nc>
  </rcc>
  <rcc rId="132" sId="5" numFmtId="4">
    <nc r="F30">
      <v>7</v>
    </nc>
  </rcc>
  <rcc rId="133" sId="5" numFmtId="4">
    <nc r="G30">
      <v>4</v>
    </nc>
  </rcc>
  <rcc rId="134" sId="5" numFmtId="4">
    <nc r="B31">
      <v>11</v>
    </nc>
  </rcc>
  <rcc rId="135" sId="5" numFmtId="4">
    <nc r="C31">
      <v>29</v>
    </nc>
  </rcc>
  <rcc rId="136" sId="5" numFmtId="4">
    <nc r="D31">
      <v>3</v>
    </nc>
  </rcc>
  <rcc rId="137" sId="5" numFmtId="4">
    <nc r="E31">
      <v>19</v>
    </nc>
  </rcc>
  <rcc rId="138" sId="5" numFmtId="4">
    <nc r="F31">
      <v>1</v>
    </nc>
  </rcc>
  <rcc rId="139" sId="5" numFmtId="4">
    <nc r="G31">
      <v>3</v>
    </nc>
  </rcc>
  <rcc rId="140" sId="5" numFmtId="4">
    <nc r="B32">
      <v>11</v>
    </nc>
  </rcc>
  <rcc rId="141" sId="5" numFmtId="4">
    <nc r="C32">
      <v>49</v>
    </nc>
  </rcc>
</revisions>
</file>

<file path=xl/revisions/revisionLog6.xml><?xml version="1.0" encoding="utf-8"?>
<revisions xmlns="http://schemas.openxmlformats.org/spreadsheetml/2006/main" xmlns:r="http://schemas.openxmlformats.org/officeDocument/2006/relationships">
  <rcc rId="142" sId="5" numFmtId="4">
    <nc r="D32">
      <v>1</v>
    </nc>
  </rcc>
  <rcc rId="143" sId="5" numFmtId="4">
    <nc r="E32">
      <v>6</v>
    </nc>
  </rcc>
  <rcc rId="144" sId="5" numFmtId="4">
    <nc r="F32">
      <v>0</v>
    </nc>
  </rcc>
  <rcc rId="145" sId="5" numFmtId="4">
    <nc r="G32">
      <v>0</v>
    </nc>
  </rcc>
  <rcc rId="146" sId="5" numFmtId="4">
    <nc r="B33">
      <v>11</v>
    </nc>
  </rcc>
  <rcc rId="147" sId="5" numFmtId="4">
    <nc r="C33">
      <v>40</v>
    </nc>
  </rcc>
  <rcc rId="148" sId="5" numFmtId="4">
    <nc r="D33">
      <v>1</v>
    </nc>
  </rcc>
  <rcc rId="149" sId="5" numFmtId="4">
    <nc r="E33">
      <v>12</v>
    </nc>
  </rcc>
  <rcc rId="150" sId="5" numFmtId="4">
    <nc r="F33">
      <v>6</v>
    </nc>
  </rcc>
  <rcc rId="151" sId="5" numFmtId="4">
    <nc r="G33">
      <v>4</v>
    </nc>
  </rcc>
  <rcc rId="152" sId="5" numFmtId="4">
    <nc r="B34">
      <v>11</v>
    </nc>
  </rcc>
  <rcc rId="153" sId="5" numFmtId="4">
    <nc r="C34">
      <v>59</v>
    </nc>
  </rcc>
  <rcc rId="154" sId="5" numFmtId="4">
    <nc r="D34">
      <v>1</v>
    </nc>
  </rcc>
  <rcc rId="155" sId="5" numFmtId="4">
    <nc r="E34">
      <v>2</v>
    </nc>
  </rcc>
  <rcc rId="156" sId="5" numFmtId="4">
    <nc r="F34">
      <v>4</v>
    </nc>
  </rcc>
  <rcc rId="157" sId="5" numFmtId="4">
    <nc r="G34">
      <v>2</v>
    </nc>
  </rcc>
  <rcc rId="158" sId="5" numFmtId="4">
    <nc r="B35">
      <v>11</v>
    </nc>
  </rcc>
  <rcc rId="159" sId="5" numFmtId="4">
    <nc r="C35">
      <v>27</v>
    </nc>
  </rcc>
  <rcc rId="160" sId="5" numFmtId="4">
    <nc r="D35">
      <v>1</v>
    </nc>
  </rcc>
  <rcc rId="161" sId="5" numFmtId="4">
    <nc r="E35">
      <v>3</v>
    </nc>
  </rcc>
  <rcc rId="162" sId="5" numFmtId="4">
    <nc r="F35">
      <v>2</v>
    </nc>
  </rcc>
  <rcc rId="163" sId="5" numFmtId="4">
    <nc r="G35">
      <v>1</v>
    </nc>
  </rcc>
  <rcc rId="164" sId="5" numFmtId="4">
    <nc r="B36">
      <v>11</v>
    </nc>
  </rcc>
  <rcc rId="165" sId="5" numFmtId="4">
    <nc r="C36">
      <v>25</v>
    </nc>
  </rcc>
  <rcc rId="166" sId="5" numFmtId="4">
    <nc r="D36">
      <v>1</v>
    </nc>
  </rcc>
  <rcc rId="167" sId="5" numFmtId="4">
    <nc r="E36">
      <v>5</v>
    </nc>
  </rcc>
  <rcc rId="168" sId="5" numFmtId="4">
    <nc r="F36">
      <v>11</v>
    </nc>
  </rcc>
  <rcc rId="169" sId="5" numFmtId="4">
    <nc r="G36">
      <v>3</v>
    </nc>
  </rcc>
  <rcc rId="170" sId="5" numFmtId="4">
    <nc r="B37">
      <v>11</v>
    </nc>
  </rcc>
  <rcc rId="171" sId="5" numFmtId="4">
    <nc r="C37">
      <v>37</v>
    </nc>
  </rcc>
  <rcc rId="172" sId="5" numFmtId="4">
    <nc r="D37">
      <v>1</v>
    </nc>
  </rcc>
  <rcc rId="173" sId="5" numFmtId="4">
    <nc r="E37">
      <v>10</v>
    </nc>
  </rcc>
  <rcc rId="174" sId="5" numFmtId="4">
    <nc r="F37">
      <v>5</v>
    </nc>
  </rcc>
  <rcc rId="175" sId="5" numFmtId="4">
    <nc r="G37">
      <v>0</v>
    </nc>
  </rcc>
  <rcc rId="176" sId="5" numFmtId="4">
    <nc r="B38">
      <v>11</v>
    </nc>
  </rcc>
  <rcc rId="177" sId="5" numFmtId="4">
    <nc r="C38">
      <v>30</v>
    </nc>
  </rcc>
  <rcc rId="178" sId="5" numFmtId="4">
    <nc r="D38">
      <v>1</v>
    </nc>
  </rcc>
  <rcc rId="179" sId="5" numFmtId="4">
    <nc r="E38">
      <v>13</v>
    </nc>
  </rcc>
  <rcc rId="180" sId="5" numFmtId="4">
    <nc r="F38">
      <v>5</v>
    </nc>
  </rcc>
  <rcc rId="181" sId="5" numFmtId="4">
    <nc r="G38">
      <v>0</v>
    </nc>
  </rcc>
  <rcc rId="182" sId="5" numFmtId="4">
    <nc r="B39">
      <v>11</v>
    </nc>
  </rcc>
  <rcc rId="183" sId="5" numFmtId="4">
    <nc r="C39">
      <v>44</v>
    </nc>
  </rcc>
  <rcc rId="184" sId="5" numFmtId="4">
    <nc r="D39">
      <v>1</v>
    </nc>
  </rcc>
  <rcc rId="185" sId="5" numFmtId="4">
    <nc r="E39">
      <v>2</v>
    </nc>
  </rcc>
  <rcc rId="186" sId="5" numFmtId="4">
    <nc r="F39">
      <v>21</v>
    </nc>
  </rcc>
  <rcc rId="187" sId="5" numFmtId="4">
    <nc r="G39">
      <v>3</v>
    </nc>
  </rcc>
  <rcc rId="188" sId="5" numFmtId="4">
    <nc r="B40">
      <v>11</v>
    </nc>
  </rcc>
  <rcc rId="189" sId="5" numFmtId="4">
    <nc r="C40">
      <v>31</v>
    </nc>
  </rcc>
  <rcc rId="190" sId="5" numFmtId="4">
    <nc r="D40">
      <v>1</v>
    </nc>
  </rcc>
  <rcc rId="191" sId="5" numFmtId="4">
    <nc r="E40">
      <v>20</v>
    </nc>
  </rcc>
  <rcc rId="192" sId="5" numFmtId="4">
    <nc r="F40">
      <v>4</v>
    </nc>
  </rcc>
  <rcc rId="193" sId="5" numFmtId="4">
    <nc r="G40">
      <v>2</v>
    </nc>
  </rcc>
  <rcc rId="194" sId="5" numFmtId="4">
    <nc r="B41">
      <v>11</v>
    </nc>
  </rcc>
  <rcc rId="195" sId="5" numFmtId="4">
    <nc r="C41">
      <v>33</v>
    </nc>
  </rcc>
  <rcc rId="196" sId="5" numFmtId="4">
    <nc r="D41">
      <v>1</v>
    </nc>
  </rcc>
  <rcc rId="197" sId="5" numFmtId="4">
    <nc r="E41">
      <v>17</v>
    </nc>
  </rcc>
  <rcc rId="198" sId="5" numFmtId="4">
    <nc r="F41">
      <v>3</v>
    </nc>
  </rcc>
  <rcc rId="199" sId="5" numFmtId="4">
    <nc r="G41">
      <v>5</v>
    </nc>
  </rcc>
  <rcc rId="200" sId="5" numFmtId="4">
    <nc r="B42">
      <v>11</v>
    </nc>
  </rcc>
  <rcc rId="201" sId="5" numFmtId="4">
    <nc r="C42">
      <v>52</v>
    </nc>
  </rcc>
  <rcc rId="202" sId="5" numFmtId="4">
    <nc r="D42">
      <v>1</v>
    </nc>
  </rcc>
  <rcc rId="203" sId="5" numFmtId="4">
    <nc r="E42">
      <v>47</v>
    </nc>
  </rcc>
  <rcc rId="204" sId="5" numFmtId="4">
    <nc r="F42">
      <v>1</v>
    </nc>
  </rcc>
  <rcc rId="205" sId="5" numFmtId="4">
    <nc r="G42">
      <v>12</v>
    </nc>
  </rcc>
  <rcc rId="206" sId="2" numFmtId="4">
    <oc r="C9">
      <v>1</v>
    </oc>
    <nc r="C9"/>
  </rcc>
  <rcc rId="207" sId="2" numFmtId="4">
    <oc r="D9">
      <v>1</v>
    </oc>
    <nc r="D9"/>
  </rcc>
  <rcc rId="208" sId="2" numFmtId="4">
    <oc r="E9">
      <v>1</v>
    </oc>
    <nc r="E9"/>
  </rcc>
  <rcc rId="209" sId="2" numFmtId="4">
    <oc r="F9">
      <v>1</v>
    </oc>
    <nc r="F9"/>
  </rcc>
  <rcc rId="210" sId="2" numFmtId="4">
    <oc r="G9">
      <v>1</v>
    </oc>
    <nc r="G9"/>
  </rcc>
</revisions>
</file>

<file path=xl/revisions/revisionLog7.xml><?xml version="1.0" encoding="utf-8"?>
<revisions xmlns="http://schemas.openxmlformats.org/spreadsheetml/2006/main" xmlns:r="http://schemas.openxmlformats.org/officeDocument/2006/relationships">
  <rcc rId="211" sId="2" numFmtId="4">
    <nc r="C9">
      <v>5</v>
    </nc>
  </rcc>
  <rcc rId="212" sId="2" numFmtId="4">
    <nc r="D9">
      <v>1</v>
    </nc>
  </rcc>
  <rcc rId="213" sId="2" numFmtId="4">
    <nc r="E9">
      <v>15</v>
    </nc>
  </rcc>
  <rcc rId="214" sId="2" numFmtId="4">
    <nc r="F9">
      <v>17</v>
    </nc>
  </rcc>
  <rcc rId="215" sId="2" numFmtId="4">
    <nc r="G9">
      <v>7</v>
    </nc>
  </rcc>
  <rcc rId="216" sId="2" numFmtId="4">
    <nc r="B10">
      <v>9</v>
    </nc>
  </rcc>
  <rcc rId="217" sId="2" numFmtId="4">
    <nc r="C10">
      <v>13</v>
    </nc>
  </rcc>
  <rcc rId="218" sId="2" numFmtId="4">
    <nc r="D10">
      <v>1</v>
    </nc>
  </rcc>
  <rcc rId="219" sId="2" numFmtId="4">
    <nc r="E10">
      <v>9</v>
    </nc>
  </rcc>
  <rcc rId="220" sId="2" numFmtId="4">
    <nc r="F10">
      <v>6</v>
    </nc>
  </rcc>
  <rcc rId="221" sId="2" numFmtId="4">
    <nc r="G10">
      <v>0</v>
    </nc>
  </rcc>
  <rcc rId="222" sId="2" numFmtId="4">
    <nc r="B11">
      <v>9</v>
    </nc>
  </rcc>
  <rcc rId="223" sId="2" numFmtId="4">
    <nc r="C11">
      <v>21</v>
    </nc>
  </rcc>
  <rcc rId="224" sId="2" numFmtId="4">
    <nc r="D11">
      <v>1</v>
    </nc>
  </rcc>
  <rcc rId="225" sId="2" numFmtId="4">
    <nc r="E11">
      <v>15</v>
    </nc>
  </rcc>
  <rcc rId="226" sId="2" numFmtId="4">
    <nc r="F11">
      <v>9</v>
    </nc>
  </rcc>
  <rcc rId="227" sId="2" numFmtId="4">
    <nc r="G11">
      <v>0</v>
    </nc>
  </rcc>
  <rcc rId="228" sId="2" numFmtId="4">
    <nc r="B12">
      <v>9</v>
    </nc>
  </rcc>
  <rcc rId="229" sId="2" numFmtId="4">
    <nc r="C12">
      <v>6</v>
    </nc>
  </rcc>
  <rcc rId="230" sId="2" numFmtId="4">
    <nc r="D12">
      <v>1</v>
    </nc>
  </rcc>
  <rcc rId="231" sId="2" numFmtId="4">
    <nc r="E12">
      <v>8</v>
    </nc>
  </rcc>
  <rcc rId="232" sId="2" numFmtId="4">
    <nc r="F12">
      <v>3</v>
    </nc>
  </rcc>
  <rcc rId="233" sId="2" numFmtId="4">
    <nc r="G12">
      <v>0</v>
    </nc>
  </rcc>
  <rcc rId="234" sId="2" numFmtId="4">
    <nc r="B13">
      <v>9</v>
    </nc>
  </rcc>
  <rcc rId="235" sId="2" numFmtId="4">
    <nc r="C13">
      <v>19</v>
    </nc>
  </rcc>
  <rcc rId="236" sId="2" numFmtId="4">
    <nc r="D13">
      <v>1</v>
    </nc>
  </rcc>
  <rcc rId="237" sId="2" numFmtId="4">
    <nc r="E13">
      <v>8</v>
    </nc>
  </rcc>
  <rcc rId="238" sId="2" numFmtId="4">
    <nc r="F13">
      <v>14</v>
    </nc>
  </rcc>
  <rcc rId="239" sId="2" numFmtId="4">
    <nc r="G13">
      <v>3</v>
    </nc>
  </rcc>
  <rcc rId="240" sId="2" numFmtId="4">
    <nc r="B14">
      <v>9</v>
    </nc>
  </rcc>
  <rcc rId="241" sId="2" numFmtId="4">
    <nc r="C14">
      <v>14</v>
    </nc>
  </rcc>
  <rcc rId="242" sId="2" numFmtId="4">
    <nc r="D14">
      <v>1</v>
    </nc>
  </rcc>
  <rcc rId="243" sId="2" numFmtId="4">
    <nc r="E14">
      <v>2</v>
    </nc>
  </rcc>
  <rcc rId="244" sId="2" numFmtId="4">
    <nc r="F14">
      <v>6</v>
    </nc>
  </rcc>
  <rcc rId="245" sId="2" numFmtId="4">
    <nc r="G14">
      <v>0</v>
    </nc>
  </rcc>
  <rcc rId="246" sId="5" numFmtId="4">
    <oc r="D31">
      <v>3</v>
    </oc>
    <nc r="D31">
      <v>1</v>
    </nc>
  </rcc>
  <rcc rId="247" sId="5" numFmtId="4">
    <nc r="B43">
      <v>11</v>
    </nc>
  </rcc>
  <rcc rId="248" sId="5" numFmtId="4">
    <nc r="C43">
      <v>23</v>
    </nc>
  </rcc>
  <rcc rId="249" sId="5" numFmtId="4">
    <nc r="D43">
      <v>1</v>
    </nc>
  </rcc>
  <rcc rId="250" sId="5" numFmtId="4">
    <nc r="E43">
      <v>18</v>
    </nc>
  </rcc>
  <rcc rId="251" sId="5" numFmtId="4">
    <nc r="F43">
      <v>7</v>
    </nc>
  </rcc>
  <rcc rId="252" sId="5" numFmtId="4">
    <nc r="G43">
      <v>3</v>
    </nc>
  </rcc>
  <rcc rId="253" sId="5" numFmtId="4">
    <nc r="B44">
      <v>11</v>
    </nc>
  </rcc>
  <rcc rId="254" sId="5" numFmtId="4">
    <nc r="C44">
      <v>28</v>
    </nc>
  </rcc>
  <rcc rId="255" sId="5" numFmtId="4">
    <nc r="D44">
      <v>1</v>
    </nc>
  </rcc>
  <rcc rId="256" sId="5" numFmtId="4">
    <nc r="E44">
      <v>4</v>
    </nc>
  </rcc>
  <rcc rId="257" sId="5" numFmtId="4">
    <nc r="F44">
      <v>1</v>
    </nc>
  </rcc>
  <rcc rId="258" sId="5" numFmtId="4">
    <nc r="G44">
      <v>0</v>
    </nc>
  </rcc>
  <rcc rId="259" sId="5" numFmtId="4">
    <nc r="B45">
      <v>11</v>
    </nc>
  </rcc>
  <rcc rId="260" sId="5" numFmtId="4">
    <nc r="C45">
      <v>28</v>
    </nc>
  </rcc>
  <rcc rId="261" sId="5" numFmtId="4">
    <nc r="D45">
      <v>2</v>
    </nc>
  </rcc>
  <rcc rId="262" sId="5" numFmtId="4">
    <nc r="E45">
      <v>15</v>
    </nc>
  </rcc>
  <rcc rId="263" sId="5" numFmtId="4">
    <nc r="F45">
      <v>7</v>
    </nc>
  </rcc>
  <rcc rId="264" sId="5" numFmtId="4">
    <nc r="G45">
      <v>2</v>
    </nc>
  </rcc>
  <rcc rId="265" sId="5" numFmtId="4">
    <nc r="B46">
      <v>11</v>
    </nc>
  </rcc>
  <rcc rId="266" sId="5" numFmtId="4">
    <nc r="C46">
      <v>64</v>
    </nc>
  </rcc>
  <rcc rId="267" sId="5" numFmtId="4">
    <nc r="D46">
      <v>1</v>
    </nc>
  </rcc>
  <rcc rId="268" sId="5" numFmtId="4">
    <nc r="E46">
      <v>7</v>
    </nc>
  </rcc>
  <rcc rId="269" sId="5" numFmtId="4">
    <nc r="F46">
      <v>1</v>
    </nc>
  </rcc>
  <rcc rId="270" sId="5" numFmtId="4">
    <nc r="G46">
      <v>0</v>
    </nc>
  </rcc>
  <rcc rId="271" sId="5" numFmtId="4">
    <nc r="B47">
      <v>11</v>
    </nc>
  </rcc>
  <rcc rId="272" sId="5" numFmtId="4">
    <nc r="C47">
      <v>64</v>
    </nc>
  </rcc>
  <rcc rId="273" sId="5" numFmtId="4">
    <nc r="D47">
      <v>2</v>
    </nc>
  </rcc>
  <rcc rId="274" sId="5" numFmtId="4">
    <nc r="E47">
      <v>14</v>
    </nc>
  </rcc>
  <rcc rId="275" sId="5" numFmtId="4">
    <nc r="F47">
      <v>3</v>
    </nc>
  </rcc>
  <rcc rId="276" sId="5" numFmtId="4">
    <nc r="G47">
      <v>0</v>
    </nc>
  </rcc>
  <rcc rId="277" sId="5" numFmtId="4">
    <nc r="B48">
      <v>11</v>
    </nc>
  </rcc>
  <rcc rId="278" sId="5" numFmtId="4">
    <nc r="C48">
      <v>64</v>
    </nc>
  </rcc>
  <rcc rId="279" sId="5" numFmtId="4">
    <nc r="D48">
      <v>3</v>
    </nc>
  </rcc>
  <rcc rId="280" sId="5" numFmtId="4">
    <nc r="E48">
      <v>14</v>
    </nc>
  </rcc>
  <rcc rId="281" sId="5" numFmtId="4">
    <nc r="F48">
      <v>3</v>
    </nc>
  </rcc>
  <rcc rId="282" sId="5" numFmtId="4">
    <nc r="G48">
      <v>4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>
  <rcc rId="283" sId="5" numFmtId="4">
    <nc r="B49">
      <v>11</v>
    </nc>
  </rcc>
  <rcc rId="284" sId="5" numFmtId="4">
    <nc r="C49">
      <v>42</v>
    </nc>
  </rcc>
  <rcc rId="285" sId="5" numFmtId="4">
    <nc r="D49">
      <v>1</v>
    </nc>
  </rcc>
  <rcc rId="286" sId="5" numFmtId="4">
    <nc r="E49">
      <v>16</v>
    </nc>
  </rcc>
  <rcc rId="287" sId="5" numFmtId="4">
    <nc r="F49">
      <v>1</v>
    </nc>
  </rcc>
  <rcc rId="288" sId="5" numFmtId="4">
    <nc r="G49">
      <v>8</v>
    </nc>
  </rcc>
  <rcc rId="289" sId="5" numFmtId="4">
    <nc r="B50">
      <v>11</v>
    </nc>
  </rcc>
  <rcc rId="290" sId="5" numFmtId="4">
    <nc r="C50">
      <v>42</v>
    </nc>
  </rcc>
  <rcc rId="291" sId="5" numFmtId="4">
    <nc r="D50">
      <v>2</v>
    </nc>
  </rcc>
  <rcc rId="292" sId="5" numFmtId="4">
    <nc r="E50">
      <v>22</v>
    </nc>
  </rcc>
  <rcc rId="293" sId="5" numFmtId="4">
    <nc r="F50">
      <v>0</v>
    </nc>
  </rcc>
  <rcc rId="294" sId="5" numFmtId="4">
    <nc r="G50">
      <v>3</v>
    </nc>
  </rcc>
  <rcc rId="295" sId="5" numFmtId="4">
    <oc r="D46">
      <v>1</v>
    </oc>
    <nc r="D46">
      <v>3</v>
    </nc>
  </rcc>
  <rcc rId="296" sId="5" numFmtId="4">
    <nc r="B51">
      <v>11</v>
    </nc>
  </rcc>
  <rcc rId="297" sId="5" numFmtId="4">
    <nc r="C51">
      <v>56</v>
    </nc>
  </rcc>
  <rcc rId="298" sId="5" numFmtId="4">
    <nc r="D51">
      <v>4</v>
    </nc>
  </rcc>
  <rcc rId="299" sId="5" numFmtId="4">
    <nc r="E51">
      <v>16</v>
    </nc>
  </rcc>
  <rcc rId="300" sId="5" numFmtId="4">
    <nc r="F51">
      <v>2</v>
    </nc>
  </rcc>
  <rcc rId="301" sId="5" numFmtId="4">
    <nc r="G51">
      <v>0</v>
    </nc>
  </rcc>
  <rcc rId="302" sId="5" numFmtId="4">
    <nc r="B52">
      <v>11</v>
    </nc>
  </rcc>
  <rcc rId="303" sId="5" numFmtId="4">
    <nc r="C52">
      <v>56</v>
    </nc>
  </rcc>
  <rcc rId="304" sId="5" numFmtId="4">
    <nc r="D52">
      <v>3</v>
    </nc>
  </rcc>
  <rcc rId="305" sId="5" numFmtId="4">
    <nc r="E52">
      <v>17</v>
    </nc>
  </rcc>
  <rcc rId="306" sId="5" numFmtId="4">
    <nc r="F52">
      <v>3</v>
    </nc>
  </rcc>
  <rcc rId="307" sId="5" numFmtId="4">
    <nc r="G52">
      <v>2</v>
    </nc>
  </rcc>
  <rcc rId="308" sId="5" numFmtId="4">
    <nc r="B53">
      <v>11</v>
    </nc>
  </rcc>
  <rcc rId="309" sId="5" numFmtId="4">
    <nc r="C53">
      <v>56</v>
    </nc>
  </rcc>
  <rcc rId="310" sId="5" numFmtId="4">
    <nc r="D53">
      <v>2</v>
    </nc>
  </rcc>
  <rcc rId="311" sId="5" numFmtId="4">
    <nc r="E53">
      <v>8</v>
    </nc>
  </rcc>
  <rcc rId="312" sId="5" numFmtId="4">
    <nc r="F53">
      <v>1</v>
    </nc>
  </rcc>
  <rcc rId="313" sId="5" numFmtId="4">
    <nc r="G53">
      <v>1</v>
    </nc>
  </rcc>
  <rcc rId="314" sId="5" numFmtId="4">
    <nc r="B54">
      <v>11</v>
    </nc>
  </rcc>
  <rcc rId="315" sId="5" numFmtId="4">
    <nc r="C54">
      <v>32</v>
    </nc>
  </rcc>
  <rcc rId="316" sId="5" numFmtId="4">
    <nc r="D54">
      <v>1</v>
    </nc>
  </rcc>
  <rcc rId="317" sId="5" numFmtId="4">
    <nc r="E54">
      <v>2</v>
    </nc>
  </rcc>
  <rcc rId="318" sId="5" numFmtId="4">
    <nc r="F54">
      <v>0</v>
    </nc>
  </rcc>
  <rcc rId="319" sId="5" numFmtId="4">
    <nc r="G54">
      <v>0</v>
    </nc>
  </rcc>
  <rcc rId="320" sId="5" numFmtId="4">
    <nc r="B55">
      <v>11</v>
    </nc>
  </rcc>
  <rcc rId="321" sId="5" numFmtId="4">
    <nc r="C55">
      <v>32</v>
    </nc>
  </rcc>
  <rcc rId="322" sId="5" numFmtId="4">
    <nc r="D55">
      <v>2</v>
    </nc>
  </rcc>
  <rcc rId="323" sId="5" numFmtId="4">
    <nc r="E55">
      <v>5</v>
    </nc>
  </rcc>
  <rcc rId="324" sId="5" numFmtId="4">
    <nc r="F55">
      <v>0</v>
    </nc>
  </rcc>
  <rcc rId="325" sId="5" numFmtId="4">
    <nc r="G55">
      <v>0</v>
    </nc>
  </rcc>
  <rcc rId="326" sId="5" numFmtId="4">
    <nc r="B56">
      <v>11</v>
    </nc>
  </rcc>
  <rcc rId="327" sId="5" numFmtId="4">
    <nc r="C56">
      <v>32</v>
    </nc>
  </rcc>
  <rcc rId="328" sId="5" numFmtId="4">
    <nc r="D56">
      <v>3</v>
    </nc>
  </rcc>
  <rcc rId="329" sId="5" numFmtId="4">
    <nc r="E56">
      <v>18</v>
    </nc>
  </rcc>
  <rcc rId="330" sId="5" numFmtId="4">
    <nc r="F56">
      <v>1</v>
    </nc>
  </rcc>
  <rcc rId="331" sId="5" numFmtId="4">
    <nc r="G56">
      <v>0</v>
    </nc>
  </rcc>
  <rcc rId="332" sId="5" numFmtId="4">
    <nc r="B57">
      <v>11</v>
    </nc>
  </rcc>
  <rcc rId="333" sId="5" numFmtId="4">
    <nc r="C57">
      <v>26</v>
    </nc>
  </rcc>
  <rcc rId="334" sId="5" numFmtId="4">
    <nc r="D57">
      <v>2</v>
    </nc>
  </rcc>
  <rcc rId="335" sId="5" numFmtId="4">
    <nc r="E57">
      <v>17</v>
    </nc>
  </rcc>
  <rcc rId="336" sId="5" numFmtId="4">
    <nc r="F57">
      <v>9</v>
    </nc>
  </rcc>
  <rcc rId="337" sId="5" numFmtId="4">
    <nc r="G57">
      <v>1</v>
    </nc>
  </rcc>
  <rcc rId="338" sId="5" numFmtId="4">
    <nc r="B58">
      <v>11</v>
    </nc>
  </rcc>
  <rcc rId="339" sId="5" numFmtId="4">
    <nc r="C58">
      <v>41</v>
    </nc>
  </rcc>
  <rcc rId="340" sId="5" numFmtId="4">
    <nc r="D58">
      <v>2</v>
    </nc>
  </rcc>
  <rcc rId="341" sId="5" numFmtId="4">
    <nc r="E58">
      <v>15</v>
    </nc>
  </rcc>
  <rcc rId="342" sId="5" numFmtId="4">
    <nc r="F58">
      <v>8</v>
    </nc>
  </rcc>
  <rcc rId="343" sId="5" numFmtId="4">
    <nc r="G58">
      <v>1</v>
    </nc>
  </rcc>
  <rcc rId="344" sId="2" numFmtId="4">
    <nc r="B15">
      <v>9</v>
    </nc>
  </rcc>
  <rcc rId="345" sId="2" numFmtId="4">
    <nc r="C15">
      <v>17</v>
    </nc>
  </rcc>
  <rcc rId="346" sId="2" numFmtId="4">
    <nc r="D15">
      <v>1</v>
    </nc>
  </rcc>
  <rcc rId="347" sId="2" numFmtId="4">
    <nc r="E15">
      <v>14</v>
    </nc>
  </rcc>
  <rcc rId="348" sId="2" numFmtId="4">
    <nc r="F15">
      <v>24</v>
    </nc>
  </rcc>
  <rcc rId="349" sId="2" numFmtId="4">
    <nc r="G15">
      <v>0</v>
    </nc>
  </rcc>
</revisions>
</file>

<file path=xl/revisions/revisionLog9.xml><?xml version="1.0" encoding="utf-8"?>
<revisions xmlns="http://schemas.openxmlformats.org/spreadsheetml/2006/main" xmlns:r="http://schemas.openxmlformats.org/officeDocument/2006/relationships">
  <rcc rId="350" sId="5" numFmtId="4">
    <nc r="B59">
      <v>11</v>
    </nc>
  </rcc>
  <rcc rId="351" sId="5" numFmtId="4">
    <nc r="C59">
      <v>24</v>
    </nc>
  </rcc>
  <rcc rId="352" sId="5" numFmtId="4">
    <nc r="D59">
      <v>3</v>
    </nc>
  </rcc>
  <rcc rId="353" sId="5" numFmtId="4">
    <nc r="E59">
      <v>13</v>
    </nc>
  </rcc>
  <rcc rId="354" sId="5" numFmtId="4">
    <nc r="F59">
      <v>2</v>
    </nc>
  </rcc>
  <rcc rId="355" sId="5" numFmtId="4">
    <nc r="G59">
      <v>0</v>
    </nc>
  </rcc>
  <rcc rId="356" sId="5" numFmtId="4">
    <nc r="B60">
      <v>11</v>
    </nc>
  </rcc>
  <rcc rId="357" sId="5" numFmtId="4">
    <nc r="C60">
      <v>24</v>
    </nc>
  </rcc>
  <rcc rId="358" sId="5" numFmtId="4">
    <nc r="D60">
      <v>2</v>
    </nc>
  </rcc>
  <rcc rId="359" sId="5" numFmtId="4">
    <nc r="E60">
      <v>14</v>
    </nc>
  </rcc>
  <rcc rId="360" sId="5" numFmtId="4">
    <nc r="F60">
      <v>2</v>
    </nc>
  </rcc>
  <rcc rId="361" sId="5" numFmtId="4">
    <nc r="G60">
      <v>1</v>
    </nc>
  </rcc>
  <rcc rId="362" sId="5" numFmtId="4">
    <nc r="B61">
      <v>11</v>
    </nc>
  </rcc>
  <rcc rId="363" sId="5" numFmtId="4">
    <nc r="C61">
      <v>24</v>
    </nc>
  </rcc>
  <rcc rId="364" sId="5" numFmtId="4">
    <nc r="D61">
      <v>1</v>
    </nc>
  </rcc>
  <rcc rId="365" sId="5" numFmtId="4">
    <nc r="E61">
      <v>8</v>
    </nc>
  </rcc>
  <rcc rId="366" sId="5" numFmtId="4">
    <nc r="F61">
      <v>1</v>
    </nc>
  </rcc>
  <rcc rId="367" sId="5" numFmtId="4">
    <nc r="G61">
      <v>1</v>
    </nc>
  </rcc>
  <rcc rId="368" sId="5" numFmtId="4">
    <nc r="B62">
      <v>11</v>
    </nc>
  </rcc>
  <rcc rId="369" sId="5" numFmtId="4">
    <nc r="C62">
      <v>24</v>
    </nc>
  </rcc>
  <rcc rId="370" sId="5" numFmtId="4">
    <nc r="D62">
      <v>4</v>
    </nc>
  </rcc>
  <rcc rId="371" sId="5" numFmtId="4">
    <nc r="E62">
      <v>13</v>
    </nc>
  </rcc>
  <rcc rId="372" sId="5" numFmtId="4">
    <nc r="F62">
      <v>1</v>
    </nc>
  </rcc>
  <rcc rId="373" sId="5" numFmtId="4">
    <nc r="G62">
      <v>1</v>
    </nc>
  </rcc>
  <rcc rId="374" sId="5" numFmtId="4">
    <nc r="B63">
      <v>11</v>
    </nc>
  </rcc>
  <rcc rId="375" sId="5" numFmtId="4">
    <nc r="C63">
      <v>43</v>
    </nc>
  </rcc>
  <rcc rId="376" sId="5" numFmtId="4">
    <nc r="D63">
      <v>3</v>
    </nc>
  </rcc>
  <rcc rId="377" sId="5" numFmtId="4">
    <nc r="E63">
      <v>42</v>
    </nc>
  </rcc>
  <rcc rId="378" sId="5" numFmtId="4">
    <nc r="F63">
      <v>4</v>
    </nc>
  </rcc>
  <rcc rId="379" sId="5" numFmtId="4">
    <nc r="G63">
      <v>0</v>
    </nc>
  </rcc>
  <rcc rId="380" sId="5" numFmtId="4">
    <nc r="B64">
      <v>11</v>
    </nc>
  </rcc>
  <rcc rId="381" sId="5" numFmtId="4">
    <nc r="C64">
      <v>38</v>
    </nc>
  </rcc>
  <rcc rId="382" sId="5" numFmtId="4">
    <nc r="D64">
      <v>1</v>
    </nc>
  </rcc>
  <rcc rId="383" sId="5" numFmtId="4">
    <nc r="E64">
      <v>2</v>
    </nc>
  </rcc>
  <rcc rId="384" sId="5" numFmtId="4">
    <nc r="F64">
      <v>1</v>
    </nc>
  </rcc>
  <rcc rId="385" sId="5" numFmtId="4">
    <nc r="G64">
      <v>2</v>
    </nc>
  </rcc>
  <rcc rId="386" sId="5" numFmtId="4">
    <nc r="B65">
      <v>11</v>
    </nc>
  </rcc>
  <rcc rId="387" sId="5" numFmtId="4">
    <nc r="C65">
      <v>38</v>
    </nc>
  </rcc>
  <rcc rId="388" sId="5" numFmtId="4">
    <nc r="D65">
      <v>2</v>
    </nc>
  </rcc>
  <rcc rId="389" sId="5" numFmtId="4">
    <nc r="E65">
      <v>6</v>
    </nc>
  </rcc>
  <rcc rId="390" sId="5" numFmtId="4">
    <nc r="F65">
      <v>2</v>
    </nc>
  </rcc>
  <rcc rId="391" sId="5" numFmtId="4">
    <nc r="G65">
      <v>3</v>
    </nc>
  </rcc>
  <rcc rId="392" sId="5" numFmtId="4">
    <nc r="B66">
      <v>11</v>
    </nc>
  </rcc>
  <rcc rId="393" sId="5" numFmtId="4">
    <nc r="C66">
      <v>38</v>
    </nc>
  </rcc>
  <rcc rId="394" sId="5" numFmtId="4">
    <nc r="D66">
      <v>3</v>
    </nc>
  </rcc>
  <rcc rId="395" sId="5" numFmtId="4">
    <nc r="E66">
      <v>7</v>
    </nc>
  </rcc>
  <rcc rId="396" sId="5" numFmtId="4">
    <nc r="F66">
      <v>4</v>
    </nc>
  </rcc>
  <rcc rId="397" sId="5" numFmtId="4">
    <nc r="G66">
      <v>5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>
  <rcc rId="398" sId="5" numFmtId="4">
    <nc r="B67">
      <v>11</v>
    </nc>
  </rcc>
  <rcc rId="399" sId="5" numFmtId="4">
    <nc r="C67">
      <v>35</v>
    </nc>
  </rcc>
  <rcc rId="400" sId="5" numFmtId="4">
    <nc r="D67">
      <v>2</v>
    </nc>
  </rcc>
  <rcc rId="401" sId="5" numFmtId="4">
    <nc r="E67">
      <v>28</v>
    </nc>
  </rcc>
  <rcc rId="402" sId="5" numFmtId="4">
    <nc r="F67">
      <v>1</v>
    </nc>
  </rcc>
  <rcc rId="403" sId="5" numFmtId="4">
    <nc r="G67">
      <v>0</v>
    </nc>
  </rcc>
  <rcc rId="404" sId="5" numFmtId="4">
    <nc r="B68">
      <v>11</v>
    </nc>
  </rcc>
  <rcc rId="405" sId="5" numFmtId="4">
    <nc r="C68">
      <v>35</v>
    </nc>
  </rcc>
  <rcc rId="406" sId="5" numFmtId="4">
    <nc r="D68">
      <v>3</v>
    </nc>
  </rcc>
  <rcc rId="407" sId="5" numFmtId="4">
    <nc r="E68">
      <v>26</v>
    </nc>
  </rcc>
  <rcc rId="408" sId="5" numFmtId="4">
    <nc r="F68">
      <v>0</v>
    </nc>
  </rcc>
  <rcc rId="409" sId="5" numFmtId="4">
    <nc r="G68">
      <v>0</v>
    </nc>
  </rcc>
  <rcc rId="410" sId="5" numFmtId="4">
    <nc r="B69">
      <v>11</v>
    </nc>
  </rcc>
  <rcc rId="411" sId="5" numFmtId="4">
    <nc r="C69">
      <v>35</v>
    </nc>
  </rcc>
  <rcc rId="412" sId="5" numFmtId="4">
    <nc r="D69">
      <v>4</v>
    </nc>
  </rcc>
  <rcc rId="413" sId="5" numFmtId="4">
    <nc r="E69">
      <v>19</v>
    </nc>
  </rcc>
  <rcc rId="414" sId="5" numFmtId="4">
    <nc r="F69">
      <v>1</v>
    </nc>
  </rcc>
  <rcc rId="415" sId="5" numFmtId="4">
    <nc r="G69">
      <v>1</v>
    </nc>
  </rcc>
  <rcc rId="416" sId="5" numFmtId="4">
    <nc r="B70">
      <v>11</v>
    </nc>
  </rcc>
  <rcc rId="417" sId="5" numFmtId="4">
    <nc r="C70">
      <v>35</v>
    </nc>
  </rcc>
  <rcc rId="418" sId="5" numFmtId="4">
    <nc r="D70">
      <v>1</v>
    </nc>
  </rcc>
  <rcc rId="419" sId="5" numFmtId="4">
    <nc r="E70">
      <v>20</v>
    </nc>
  </rcc>
  <rcc rId="420" sId="5" numFmtId="4">
    <nc r="F70">
      <v>2</v>
    </nc>
  </rcc>
  <rcc rId="421" sId="5" numFmtId="4">
    <nc r="G70">
      <v>1</v>
    </nc>
  </rcc>
  <rcc rId="422" sId="5" numFmtId="4">
    <nc r="B71">
      <v>11</v>
    </nc>
  </rcc>
  <rcc rId="423" sId="5" numFmtId="4">
    <nc r="C71">
      <v>30</v>
    </nc>
  </rcc>
  <rcc rId="424" sId="5" numFmtId="4">
    <nc r="D71">
      <v>3</v>
    </nc>
  </rcc>
  <rcc rId="425" sId="5" numFmtId="4">
    <nc r="E71">
      <v>8</v>
    </nc>
  </rcc>
  <rcc rId="426" sId="5" numFmtId="4">
    <nc r="F71">
      <v>4</v>
    </nc>
  </rcc>
  <rcc rId="427" sId="5" numFmtId="4">
    <nc r="G71">
      <v>0</v>
    </nc>
  </rcc>
  <rcc rId="428" sId="5" numFmtId="4">
    <nc r="B72">
      <v>11</v>
    </nc>
  </rcc>
  <rcc rId="429" sId="5" numFmtId="4">
    <nc r="C72">
      <v>30</v>
    </nc>
  </rcc>
  <rcc rId="430" sId="5" numFmtId="4">
    <nc r="D72">
      <v>2</v>
    </nc>
  </rcc>
  <rcc rId="431" sId="5" numFmtId="4">
    <nc r="E72">
      <v>7</v>
    </nc>
  </rcc>
  <rcc rId="432" sId="5" numFmtId="4">
    <nc r="F72">
      <v>0</v>
    </nc>
  </rcc>
  <rcc rId="433" sId="5" numFmtId="4">
    <nc r="G72">
      <v>0</v>
    </nc>
  </rcc>
  <rcc rId="434" sId="5" numFmtId="4">
    <nc r="B73">
      <v>11</v>
    </nc>
  </rcc>
  <rcc rId="435" sId="5" numFmtId="4">
    <nc r="C73">
      <v>60</v>
    </nc>
  </rcc>
  <rcc rId="436" sId="5" numFmtId="4">
    <nc r="D73">
      <v>3</v>
    </nc>
  </rcc>
  <rcc rId="437" sId="5" numFmtId="4">
    <nc r="E73">
      <v>20</v>
    </nc>
  </rcc>
  <rcc rId="438" sId="5" numFmtId="4">
    <nc r="F73">
      <v>2</v>
    </nc>
  </rcc>
  <rcc rId="439" sId="5" numFmtId="4">
    <nc r="G73">
      <v>0</v>
    </nc>
  </rcc>
  <rcc rId="440" sId="5" numFmtId="4">
    <nc r="B74">
      <v>11</v>
    </nc>
  </rcc>
  <rcc rId="441" sId="5" numFmtId="4">
    <nc r="C74">
      <v>37</v>
    </nc>
  </rcc>
  <rcc rId="442" sId="5" numFmtId="4">
    <nc r="D74">
      <v>2</v>
    </nc>
  </rcc>
  <rcc rId="443" sId="5" numFmtId="4">
    <nc r="E74">
      <v>7</v>
    </nc>
  </rcc>
  <rcc rId="444" sId="5" numFmtId="4">
    <nc r="F74">
      <v>1</v>
    </nc>
  </rcc>
  <rcc rId="445" sId="5" numFmtId="4">
    <nc r="G74">
      <v>0</v>
    </nc>
  </rcc>
  <rcc rId="446" sId="5" numFmtId="4">
    <nc r="B75">
      <v>11</v>
    </nc>
  </rcc>
  <rcc rId="447" sId="5" numFmtId="4">
    <nc r="C75">
      <v>37</v>
    </nc>
  </rcc>
  <rcc rId="448" sId="5" numFmtId="4">
    <nc r="D75">
      <v>3</v>
    </nc>
  </rcc>
  <rcc rId="449" sId="5" numFmtId="4">
    <nc r="E75">
      <v>8</v>
    </nc>
  </rcc>
  <rcc rId="450" sId="5" numFmtId="4">
    <nc r="F75">
      <v>2</v>
    </nc>
  </rcc>
  <rcc rId="451" sId="5" numFmtId="4">
    <nc r="G75">
      <v>0</v>
    </nc>
  </rcc>
  <rcc rId="452" sId="5" numFmtId="4">
    <nc r="B76">
      <v>11</v>
    </nc>
  </rcc>
  <rcc rId="453" sId="5" numFmtId="4">
    <nc r="C76">
      <v>60</v>
    </nc>
  </rcc>
  <rcc rId="454" sId="5" numFmtId="4">
    <nc r="D76">
      <v>2</v>
    </nc>
  </rcc>
  <rcc rId="455" sId="5" numFmtId="4">
    <nc r="E76">
      <v>27</v>
    </nc>
  </rcc>
  <rcc rId="456" sId="5" numFmtId="4">
    <nc r="F76">
      <v>4</v>
    </nc>
  </rcc>
  <rcc rId="457" sId="5" numFmtId="4">
    <nc r="G76">
      <v>0</v>
    </nc>
  </rcc>
  <rcc rId="458" sId="5" numFmtId="4">
    <nc r="B77">
      <v>11</v>
    </nc>
  </rcc>
  <rcc rId="459" sId="5" numFmtId="4">
    <nc r="C77">
      <v>60</v>
    </nc>
  </rcc>
  <rcc rId="460" sId="5" numFmtId="4">
    <nc r="D77">
      <v>1</v>
    </nc>
  </rcc>
  <rcc rId="461" sId="5" numFmtId="4">
    <nc r="E77">
      <v>10</v>
    </nc>
  </rcc>
  <rcc rId="462" sId="5" numFmtId="4">
    <nc r="F77">
      <v>3</v>
    </nc>
  </rcc>
  <rcc rId="463" sId="5" numFmtId="4">
    <nc r="G77">
      <v>0</v>
    </nc>
  </rcc>
  <rcc rId="464" sId="2" numFmtId="4">
    <nc r="B16">
      <v>9</v>
    </nc>
  </rcc>
  <rcc rId="465" sId="2" numFmtId="4">
    <nc r="C16">
      <v>13</v>
    </nc>
  </rcc>
  <rcc rId="466" sId="2" numFmtId="4">
    <nc r="D16">
      <v>2</v>
    </nc>
  </rcc>
  <rcc rId="467" sId="2" numFmtId="4">
    <nc r="E16">
      <v>13</v>
    </nc>
  </rcc>
  <rcc rId="468" sId="2" numFmtId="4">
    <nc r="F16">
      <v>7</v>
    </nc>
  </rcc>
  <rcc rId="469" sId="2" numFmtId="4">
    <nc r="G16">
      <v>0</v>
    </nc>
  </rcc>
  <rcc rId="470" sId="2" numFmtId="4">
    <nc r="B17">
      <v>9</v>
    </nc>
  </rcc>
  <rcc rId="471" sId="2" numFmtId="4">
    <nc r="C17">
      <v>19</v>
    </nc>
  </rcc>
  <rcc rId="472" sId="2" numFmtId="4">
    <nc r="D17">
      <v>2</v>
    </nc>
  </rcc>
  <rcc rId="473" sId="2" numFmtId="4">
    <nc r="E17">
      <v>12</v>
    </nc>
  </rcc>
  <rcc rId="474" sId="2" numFmtId="4">
    <nc r="F17">
      <v>10</v>
    </nc>
  </rcc>
  <rcc rId="475" sId="2" numFmtId="4">
    <nc r="G17">
      <v>1</v>
    </nc>
  </rcc>
  <rcc rId="476" sId="2" numFmtId="4">
    <nc r="B18">
      <v>9</v>
    </nc>
  </rcc>
  <rcc rId="477" sId="2" numFmtId="4">
    <nc r="C18">
      <v>12</v>
    </nc>
  </rcc>
  <rcc rId="478" sId="2" numFmtId="4">
    <nc r="D18">
      <v>1</v>
    </nc>
  </rcc>
  <rcc rId="479" sId="2" numFmtId="4">
    <nc r="E18">
      <v>12</v>
    </nc>
  </rcc>
  <rcc rId="480" sId="2" numFmtId="4">
    <nc r="F18">
      <v>8</v>
    </nc>
  </rcc>
  <rcc rId="481" sId="2" numFmtId="4">
    <nc r="G18">
      <v>0</v>
    </nc>
  </rcc>
</revisions>
</file>

<file path=xl/revisions/revisionLog11.xml><?xml version="1.0" encoding="utf-8"?>
<revisions xmlns="http://schemas.openxmlformats.org/spreadsheetml/2006/main" xmlns:r="http://schemas.openxmlformats.org/officeDocument/2006/relationships">
  <rcv guid="{37EA6283-F051-4D0B-81C6-34EEB84CCDF0}" action="add"/>
</revisions>
</file>

<file path=xl/revisions/revisionLog12.xml><?xml version="1.0" encoding="utf-8"?>
<revisions xmlns="http://schemas.openxmlformats.org/spreadsheetml/2006/main" xmlns:r="http://schemas.openxmlformats.org/officeDocument/2006/relationships">
  <rcc rId="482" sId="5" numFmtId="4">
    <nc r="B78">
      <v>11</v>
    </nc>
  </rcc>
  <rcc rId="483" sId="5" numFmtId="4">
    <nc r="C78">
      <v>45</v>
    </nc>
  </rcc>
  <rcc rId="484" sId="5" numFmtId="4">
    <nc r="D78">
      <v>2</v>
    </nc>
  </rcc>
  <rcc rId="485" sId="5" numFmtId="4">
    <nc r="E78">
      <v>11</v>
    </nc>
  </rcc>
  <rcc rId="486" sId="5" numFmtId="4">
    <nc r="F78">
      <v>23</v>
    </nc>
  </rcc>
  <rcc rId="487" sId="5" numFmtId="4">
    <nc r="G78">
      <v>4</v>
    </nc>
  </rcc>
  <rcc rId="488" sId="5" numFmtId="4">
    <nc r="B79">
      <v>11</v>
    </nc>
  </rcc>
  <rcc rId="489" sId="5" numFmtId="4">
    <nc r="C79">
      <v>44</v>
    </nc>
  </rcc>
  <rcc rId="490" sId="5" numFmtId="4">
    <nc r="D79">
      <v>4</v>
    </nc>
  </rcc>
  <rcc rId="491" sId="5" numFmtId="4">
    <nc r="E79">
      <v>5</v>
    </nc>
  </rcc>
  <rcc rId="492" sId="5" numFmtId="4">
    <nc r="F79">
      <v>11</v>
    </nc>
  </rcc>
  <rcc rId="493" sId="5" numFmtId="4">
    <nc r="G79">
      <v>4</v>
    </nc>
  </rcc>
  <rcc rId="494" sId="5" numFmtId="4">
    <nc r="B80">
      <v>11</v>
    </nc>
  </rcc>
  <rcc rId="495" sId="5" numFmtId="4">
    <nc r="C80">
      <v>44</v>
    </nc>
  </rcc>
  <rcc rId="496" sId="5" numFmtId="4">
    <nc r="D80">
      <v>3</v>
    </nc>
  </rcc>
  <rcc rId="497" sId="5" numFmtId="4">
    <nc r="E80">
      <v>2</v>
    </nc>
  </rcc>
  <rcc rId="498" sId="5" numFmtId="4">
    <nc r="F80">
      <v>22</v>
    </nc>
  </rcc>
  <rcc rId="499" sId="5" numFmtId="4">
    <nc r="G80">
      <v>1</v>
    </nc>
  </rcc>
  <rcc rId="500" sId="5" numFmtId="4">
    <nc r="B81">
      <v>11</v>
    </nc>
  </rcc>
  <rcc rId="501" sId="5" numFmtId="4">
    <nc r="C81">
      <v>44</v>
    </nc>
  </rcc>
  <rcc rId="502" sId="5" numFmtId="4">
    <nc r="D81">
      <v>2</v>
    </nc>
  </rcc>
  <rcc rId="503" sId="5" numFmtId="4">
    <nc r="E81">
      <v>2</v>
    </nc>
  </rcc>
  <rcc rId="504" sId="5" numFmtId="4">
    <nc r="F81">
      <v>17</v>
    </nc>
  </rcc>
  <rcc rId="505" sId="5" numFmtId="4">
    <nc r="G81">
      <v>6</v>
    </nc>
  </rcc>
  <rcc rId="506" sId="5" numFmtId="4">
    <nc r="B82">
      <v>11</v>
    </nc>
  </rcc>
  <rcc rId="507" sId="5" numFmtId="4">
    <nc r="C82">
      <v>45</v>
    </nc>
  </rcc>
  <rcc rId="508" sId="5" numFmtId="4">
    <nc r="D82">
      <v>3</v>
    </nc>
  </rcc>
  <rcc rId="509" sId="5" numFmtId="4">
    <nc r="E82">
      <v>11</v>
    </nc>
  </rcc>
  <rcc rId="510" sId="5" numFmtId="4">
    <nc r="F82">
      <v>41</v>
    </nc>
  </rcc>
  <rcc rId="511" sId="5" numFmtId="4">
    <nc r="G82">
      <v>6</v>
    </nc>
  </rcc>
  <rcc rId="512" sId="5" numFmtId="4">
    <nc r="B83">
      <v>11</v>
    </nc>
  </rcc>
  <rcc rId="513" sId="5" numFmtId="4">
    <nc r="C83">
      <v>41</v>
    </nc>
  </rcc>
  <rcc rId="514" sId="5" numFmtId="4">
    <nc r="D83">
      <v>3</v>
    </nc>
  </rcc>
  <rcc rId="515" sId="5" numFmtId="4">
    <nc r="E83">
      <v>16</v>
    </nc>
  </rcc>
  <rcc rId="516" sId="5" numFmtId="4">
    <nc r="F83">
      <v>6</v>
    </nc>
  </rcc>
  <rcc rId="517" sId="5" numFmtId="4">
    <nc r="G83">
      <v>5</v>
    </nc>
  </rcc>
  <rcc rId="518" sId="5" numFmtId="4">
    <nc r="B84">
      <v>11</v>
    </nc>
  </rcc>
  <rcc rId="519" sId="5" numFmtId="4">
    <nc r="C84">
      <v>63</v>
    </nc>
  </rcc>
  <rcc rId="520" sId="5" numFmtId="4">
    <nc r="D84">
      <v>5</v>
    </nc>
  </rcc>
  <rcc rId="521" sId="5" numFmtId="4">
    <nc r="E84">
      <v>13</v>
    </nc>
  </rcc>
  <rcc rId="522" sId="5" numFmtId="4">
    <nc r="F84">
      <v>2</v>
    </nc>
  </rcc>
  <rcc rId="523" sId="5" numFmtId="4">
    <nc r="G84">
      <v>3</v>
    </nc>
  </rcc>
  <rcc rId="524" sId="5" numFmtId="4">
    <nc r="B85">
      <v>11</v>
    </nc>
  </rcc>
  <rcc rId="525" sId="5" numFmtId="4">
    <nc r="C85">
      <v>63</v>
    </nc>
  </rcc>
  <rcc rId="526" sId="5" numFmtId="4">
    <nc r="D85">
      <v>3</v>
    </nc>
  </rcc>
  <rcc rId="527" sId="5" numFmtId="4">
    <nc r="E85">
      <v>15</v>
    </nc>
  </rcc>
  <rcc rId="528" sId="5" numFmtId="4">
    <nc r="F85">
      <v>1</v>
    </nc>
  </rcc>
  <rcc rId="529" sId="5" numFmtId="4">
    <nc r="G85">
      <v>0</v>
    </nc>
  </rcc>
  <rcc rId="530" sId="5" numFmtId="4">
    <nc r="B86">
      <v>11</v>
    </nc>
  </rcc>
  <rcc rId="531" sId="5" numFmtId="4">
    <nc r="C86">
      <v>63</v>
    </nc>
  </rcc>
  <rcc rId="532" sId="5" numFmtId="4">
    <nc r="D86">
      <v>2</v>
    </nc>
  </rcc>
  <rcc rId="533" sId="5" numFmtId="4">
    <nc r="E86">
      <v>10</v>
    </nc>
  </rcc>
  <rcc rId="534" sId="5" numFmtId="4">
    <nc r="F86">
      <v>2</v>
    </nc>
  </rcc>
  <rcc rId="535" sId="5" numFmtId="4">
    <nc r="G86">
      <v>0</v>
    </nc>
  </rcc>
  <rcc rId="536" sId="5" numFmtId="4">
    <nc r="B87">
      <v>11</v>
    </nc>
  </rcc>
  <rcc rId="537" sId="5" numFmtId="4">
    <nc r="C87">
      <v>63</v>
    </nc>
  </rcc>
  <rcc rId="538" sId="5" numFmtId="4">
    <nc r="D87">
      <v>4</v>
    </nc>
  </rcc>
  <rcc rId="539" sId="5" numFmtId="4">
    <nc r="E87">
      <v>3</v>
    </nc>
  </rcc>
  <rcc rId="540" sId="5" numFmtId="4">
    <nc r="F87">
      <v>1</v>
    </nc>
  </rcc>
  <rcc rId="541" sId="5" numFmtId="4">
    <nc r="G87">
      <v>1</v>
    </nc>
  </rcc>
</revisions>
</file>

<file path=xl/revisions/revisionLog13.xml><?xml version="1.0" encoding="utf-8"?>
<revisions xmlns="http://schemas.openxmlformats.org/spreadsheetml/2006/main" xmlns:r="http://schemas.openxmlformats.org/officeDocument/2006/relationships">
  <rcc rId="542" sId="5" numFmtId="4">
    <nc r="B88">
      <v>11</v>
    </nc>
  </rcc>
  <rcc rId="543" sId="5" numFmtId="4">
    <nc r="C88">
      <v>53</v>
    </nc>
  </rcc>
  <rcc rId="544" sId="5" numFmtId="4">
    <nc r="D88">
      <v>2</v>
    </nc>
  </rcc>
  <rcc rId="545" sId="5" numFmtId="4">
    <nc r="E88">
      <v>60</v>
    </nc>
  </rcc>
  <rcc rId="546" sId="5" numFmtId="4">
    <nc r="F88">
      <v>20</v>
    </nc>
  </rcc>
  <rcc rId="547" sId="5" numFmtId="4">
    <nc r="G88">
      <v>10</v>
    </nc>
  </rcc>
  <rcc rId="548" sId="5" numFmtId="4">
    <nc r="B89">
      <v>11</v>
    </nc>
  </rcc>
  <rcc rId="549" sId="5" numFmtId="4">
    <nc r="C89">
      <v>36</v>
    </nc>
  </rcc>
  <rcc rId="550" sId="5" numFmtId="4">
    <nc r="D89">
      <v>3</v>
    </nc>
  </rcc>
  <rcc rId="551" sId="5" numFmtId="4">
    <nc r="E89">
      <v>15</v>
    </nc>
  </rcc>
  <rcc rId="552" sId="5" numFmtId="4">
    <nc r="F89">
      <v>1</v>
    </nc>
  </rcc>
  <rcc rId="553" sId="5" numFmtId="4">
    <nc r="G89">
      <v>0</v>
    </nc>
  </rcc>
  <rcc rId="554" sId="5" numFmtId="4">
    <nc r="B90">
      <v>11</v>
    </nc>
  </rcc>
  <rcc rId="555" sId="5" numFmtId="4">
    <nc r="C90">
      <v>36</v>
    </nc>
  </rcc>
  <rcc rId="556" sId="5" numFmtId="4">
    <nc r="D90">
      <v>4</v>
    </nc>
  </rcc>
  <rcc rId="557" sId="5" numFmtId="4">
    <nc r="E90">
      <v>32</v>
    </nc>
  </rcc>
  <rcc rId="558" sId="5" numFmtId="4">
    <nc r="F90">
      <v>1</v>
    </nc>
  </rcc>
  <rcc rId="559" sId="5" numFmtId="4">
    <nc r="G90">
      <v>0</v>
    </nc>
  </rcc>
  <rcc rId="560" sId="2" numFmtId="4">
    <nc r="B19">
      <v>9</v>
    </nc>
  </rcc>
  <rcc rId="561" sId="2" numFmtId="4">
    <nc r="C19">
      <v>22</v>
    </nc>
  </rcc>
  <rcc rId="562" sId="2" numFmtId="4">
    <nc r="D19">
      <v>1</v>
    </nc>
  </rcc>
  <rcc rId="563" sId="2" numFmtId="4">
    <nc r="E19">
      <v>68</v>
    </nc>
  </rcc>
  <rcc rId="564" sId="2" numFmtId="4">
    <nc r="F19">
      <v>0</v>
    </nc>
  </rcc>
  <rcc rId="565" sId="2" numFmtId="4">
    <nc r="G19">
      <v>0</v>
    </nc>
  </rcc>
  <rcc rId="566" sId="5" numFmtId="4">
    <nc r="B91">
      <v>11</v>
    </nc>
  </rcc>
  <rcc rId="567" sId="5" numFmtId="4">
    <nc r="C91">
      <v>25</v>
    </nc>
  </rcc>
  <rcc rId="568" sId="5" numFmtId="4">
    <nc r="D91">
      <v>2</v>
    </nc>
  </rcc>
  <rcc rId="569" sId="5" numFmtId="4">
    <nc r="E91">
      <v>8</v>
    </nc>
  </rcc>
  <rcc rId="570" sId="5" numFmtId="4">
    <nc r="F91">
      <v>13</v>
    </nc>
  </rcc>
  <rcc rId="571" sId="5" numFmtId="4">
    <nc r="G91">
      <v>2</v>
    </nc>
  </rcc>
  <rcc rId="572" sId="5" numFmtId="4">
    <nc r="B92">
      <v>11</v>
    </nc>
  </rcc>
  <rcc rId="573" sId="5" numFmtId="4">
    <nc r="C92">
      <v>59</v>
    </nc>
  </rcc>
  <rcc rId="574" sId="5" numFmtId="4">
    <nc r="D92">
      <v>2</v>
    </nc>
  </rcc>
  <rcc rId="575" sId="5" numFmtId="4">
    <nc r="E92">
      <v>7</v>
    </nc>
  </rcc>
  <rcc rId="576" sId="5" numFmtId="4">
    <nc r="F92">
      <v>8</v>
    </nc>
  </rcc>
  <rcc rId="577" sId="5" numFmtId="4">
    <nc r="G92">
      <v>2</v>
    </nc>
  </rcc>
  <rcc rId="578" sId="5" numFmtId="4">
    <nc r="B93">
      <v>11</v>
    </nc>
  </rcc>
  <rcc rId="579" sId="5" numFmtId="4">
    <nc r="C93">
      <v>59</v>
    </nc>
  </rcc>
  <rcc rId="580" sId="5" numFmtId="4">
    <nc r="D93">
      <v>3</v>
    </nc>
  </rcc>
  <rcc rId="581" sId="5" numFmtId="4">
    <nc r="E93">
      <v>7</v>
    </nc>
  </rcc>
  <rcc rId="582" sId="5" numFmtId="4">
    <nc r="F93">
      <v>10</v>
    </nc>
  </rcc>
  <rcc rId="583" sId="5" numFmtId="4">
    <nc r="G93">
      <v>4</v>
    </nc>
  </rcc>
  <rcc rId="584" sId="5" numFmtId="4">
    <nc r="B94">
      <v>11</v>
    </nc>
  </rcc>
  <rcc rId="585" sId="5" numFmtId="4">
    <nc r="C94">
      <v>27</v>
    </nc>
  </rcc>
  <rcc rId="586" sId="5" numFmtId="4">
    <nc r="D94">
      <v>3</v>
    </nc>
  </rcc>
  <rcc rId="587" sId="5" numFmtId="4">
    <nc r="E94">
      <v>3</v>
    </nc>
  </rcc>
  <rcc rId="588" sId="5" numFmtId="4">
    <nc r="F94">
      <v>0</v>
    </nc>
  </rcc>
  <rcc rId="589" sId="5" numFmtId="4">
    <nc r="G94">
      <v>0</v>
    </nc>
  </rcc>
  <rcc rId="590" sId="5" numFmtId="4">
    <nc r="B95">
      <v>11</v>
    </nc>
  </rcc>
  <rcc rId="591" sId="5" numFmtId="4">
    <nc r="C95">
      <v>27</v>
    </nc>
  </rcc>
  <rcc rId="592" sId="5" numFmtId="4">
    <nc r="D95">
      <v>2</v>
    </nc>
  </rcc>
  <rcc rId="593" sId="5" numFmtId="4">
    <nc r="E95">
      <v>9</v>
    </nc>
  </rcc>
  <rcc rId="594" sId="5" numFmtId="4">
    <nc r="F95">
      <v>1</v>
    </nc>
  </rcc>
  <rcc rId="595" sId="5" numFmtId="4">
    <nc r="G95">
      <v>0</v>
    </nc>
  </rcc>
  <rcc rId="596" sId="5" numFmtId="4">
    <nc r="B96">
      <v>11</v>
    </nc>
  </rcc>
  <rcc rId="597" sId="5" numFmtId="4">
    <nc r="C96">
      <v>46</v>
    </nc>
  </rcc>
  <rcc rId="598" sId="5" numFmtId="4">
    <nc r="D96">
      <v>2</v>
    </nc>
  </rcc>
  <rcc rId="599" sId="5" numFmtId="4">
    <nc r="E96">
      <v>19</v>
    </nc>
  </rcc>
  <rcc rId="600" sId="5" numFmtId="4">
    <nc r="F96">
      <v>5</v>
    </nc>
  </rcc>
  <rcc rId="601" sId="5" numFmtId="4">
    <nc r="G96">
      <v>10</v>
    </nc>
  </rcc>
  <rcc rId="602" sId="5" numFmtId="4">
    <nc r="B97">
      <v>11</v>
    </nc>
  </rcc>
  <rcc rId="603" sId="5" numFmtId="4">
    <nc r="C97">
      <v>40</v>
    </nc>
  </rcc>
  <rcc rId="604" sId="5" numFmtId="4">
    <nc r="D97">
      <v>2</v>
    </nc>
  </rcc>
  <rcc rId="605" sId="5" numFmtId="4">
    <nc r="E97">
      <v>6</v>
    </nc>
  </rcc>
  <rcc rId="606" sId="5" numFmtId="4">
    <nc r="F97">
      <v>9</v>
    </nc>
  </rcc>
  <rcc rId="607" sId="5" numFmtId="4">
    <nc r="G97">
      <v>5</v>
    </nc>
  </rcc>
  <rcc rId="608" sId="5" numFmtId="4">
    <nc r="B98">
      <v>11</v>
    </nc>
  </rcc>
  <rcc rId="609" sId="5" numFmtId="4">
    <nc r="C98">
      <v>40</v>
    </nc>
  </rcc>
  <rcc rId="610" sId="5" numFmtId="4">
    <nc r="D98">
      <v>3</v>
    </nc>
  </rcc>
  <rcc rId="611" sId="5" numFmtId="4">
    <nc r="E98">
      <v>10</v>
    </nc>
  </rcc>
  <rcc rId="612" sId="5" numFmtId="4">
    <nc r="F98">
      <v>4</v>
    </nc>
  </rcc>
  <rcc rId="613" sId="5" numFmtId="4">
    <nc r="G98">
      <v>5</v>
    </nc>
  </rcc>
  <rcc rId="614" sId="2" numFmtId="4">
    <nc r="B20">
      <v>9</v>
    </nc>
  </rcc>
  <rcc rId="615" sId="2" numFmtId="4">
    <nc r="C20">
      <v>3</v>
    </nc>
  </rcc>
  <rcc rId="616" sId="2" numFmtId="4">
    <nc r="D20">
      <v>2</v>
    </nc>
  </rcc>
  <rcc rId="617" sId="2" numFmtId="4">
    <nc r="E20">
      <v>14</v>
    </nc>
  </rcc>
  <rcc rId="618" sId="2" numFmtId="4">
    <nc r="F20">
      <v>16</v>
    </nc>
  </rcc>
  <rcc rId="619" sId="2" numFmtId="4">
    <nc r="G20">
      <v>0</v>
    </nc>
  </rcc>
  <rcc rId="620" sId="2" numFmtId="4">
    <nc r="B21">
      <v>9</v>
    </nc>
  </rcc>
  <rcc rId="621" sId="2" numFmtId="4">
    <nc r="C21">
      <v>3</v>
    </nc>
  </rcc>
  <rcc rId="622" sId="2" numFmtId="4">
    <nc r="D21">
      <v>1</v>
    </nc>
  </rcc>
  <rcc rId="623" sId="2" numFmtId="4">
    <nc r="E21">
      <v>8</v>
    </nc>
  </rcc>
  <rcc rId="624" sId="2" numFmtId="4">
    <nc r="F21">
      <v>6</v>
    </nc>
  </rcc>
  <rcc rId="625" sId="2" numFmtId="4">
    <nc r="G21">
      <v>0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>
  <rcc rId="626" sId="5" numFmtId="4">
    <nc r="B99">
      <v>11</v>
    </nc>
  </rcc>
  <rcc rId="627" sId="5" numFmtId="4">
    <nc r="C99">
      <v>49</v>
    </nc>
  </rcc>
  <rcc rId="628" sId="5" numFmtId="4">
    <nc r="D99">
      <v>2</v>
    </nc>
  </rcc>
  <rcc rId="629" sId="5" numFmtId="4">
    <nc r="E99">
      <v>10</v>
    </nc>
  </rcc>
  <rcc rId="630" sId="5" numFmtId="4">
    <nc r="F99">
      <v>1</v>
    </nc>
  </rcc>
  <rcc rId="631" sId="5" numFmtId="4">
    <nc r="G99">
      <v>0</v>
    </nc>
  </rcc>
  <rcc rId="632" sId="5" numFmtId="4">
    <nc r="B100">
      <v>11</v>
    </nc>
  </rcc>
  <rcc rId="633" sId="5" numFmtId="4">
    <nc r="C100">
      <v>49</v>
    </nc>
  </rcc>
  <rcc rId="634" sId="5" numFmtId="4">
    <nc r="D100">
      <v>3</v>
    </nc>
  </rcc>
  <rcc rId="635" sId="5" numFmtId="4">
    <nc r="E100">
      <v>18</v>
    </nc>
  </rcc>
  <rcc rId="636" sId="5" numFmtId="4">
    <nc r="F100">
      <v>0</v>
    </nc>
  </rcc>
  <rcc rId="637" sId="5" numFmtId="4">
    <nc r="G100">
      <v>0</v>
    </nc>
  </rcc>
  <rcc rId="638" sId="5" numFmtId="4">
    <nc r="B101">
      <v>11</v>
    </nc>
  </rcc>
  <rcc rId="639" sId="5" numFmtId="4">
    <nc r="C101">
      <v>49</v>
    </nc>
  </rcc>
  <rcc rId="640" sId="5" numFmtId="4">
    <nc r="D101">
      <v>4</v>
    </nc>
  </rcc>
  <rcc rId="641" sId="5" numFmtId="4">
    <nc r="E101">
      <v>23</v>
    </nc>
  </rcc>
  <rcc rId="642" sId="5" numFmtId="4">
    <nc r="F101">
      <v>0</v>
    </nc>
  </rcc>
  <rcc rId="643" sId="5" numFmtId="4">
    <nc r="G101">
      <v>0</v>
    </nc>
  </rcc>
  <rcc rId="644" sId="2" numFmtId="4">
    <nc r="B22">
      <v>9</v>
    </nc>
  </rcc>
  <rcc rId="645" sId="2" numFmtId="4">
    <nc r="C22">
      <v>18</v>
    </nc>
  </rcc>
  <rcc rId="646" sId="2" numFmtId="4">
    <nc r="D22">
      <v>3</v>
    </nc>
  </rcc>
  <rcc rId="647" sId="2" numFmtId="4">
    <nc r="E22">
      <v>4</v>
    </nc>
  </rcc>
  <rcc rId="648" sId="2" numFmtId="4">
    <nc r="F22">
      <v>11</v>
    </nc>
  </rcc>
  <rcc rId="649" sId="2" numFmtId="4">
    <nc r="G22">
      <v>0</v>
    </nc>
  </rcc>
  <rcc rId="650" sId="2" numFmtId="4">
    <nc r="B23">
      <v>9</v>
    </nc>
  </rcc>
  <rcc rId="651" sId="2" numFmtId="4">
    <nc r="C23">
      <v>18</v>
    </nc>
  </rcc>
  <rcc rId="652" sId="2" numFmtId="4">
    <nc r="D23">
      <v>1</v>
    </nc>
  </rcc>
  <rcc rId="653" sId="2" numFmtId="4">
    <nc r="E23">
      <v>3</v>
    </nc>
  </rcc>
  <rcc rId="654" sId="2" numFmtId="4">
    <nc r="F23">
      <v>8</v>
    </nc>
  </rcc>
  <rcc rId="655" sId="2" numFmtId="4">
    <nc r="G23">
      <v>0</v>
    </nc>
  </rcc>
  <rcc rId="656" sId="2" numFmtId="4">
    <nc r="B24">
      <v>9</v>
    </nc>
  </rcc>
  <rcc rId="657" sId="2" numFmtId="4">
    <nc r="C24">
      <v>18</v>
    </nc>
  </rcc>
  <rcc rId="658" sId="2" numFmtId="4">
    <nc r="D24">
      <v>4</v>
    </nc>
  </rcc>
  <rcc rId="659" sId="2" numFmtId="4">
    <nc r="E24">
      <v>5</v>
    </nc>
  </rcc>
  <rcc rId="660" sId="2" numFmtId="4">
    <nc r="F24">
      <v>16</v>
    </nc>
  </rcc>
  <rcc rId="661" sId="2" numFmtId="4">
    <nc r="G24">
      <v>0</v>
    </nc>
  </rcc>
  <rcc rId="662" sId="2" numFmtId="4">
    <nc r="B25">
      <v>9</v>
    </nc>
  </rcc>
  <rcc rId="663" sId="2" numFmtId="4">
    <nc r="C25">
      <v>18</v>
    </nc>
  </rcc>
  <rcc rId="664" sId="2" numFmtId="4">
    <nc r="D25">
      <v>2</v>
    </nc>
  </rcc>
  <rcc rId="665" sId="2" numFmtId="4">
    <nc r="E25">
      <v>2</v>
    </nc>
  </rcc>
  <rcc rId="666" sId="2" numFmtId="4">
    <nc r="F25">
      <v>9</v>
    </nc>
  </rcc>
  <rcc rId="667" sId="2" numFmtId="4">
    <nc r="G25">
      <v>0</v>
    </nc>
  </rcc>
  <rcc rId="668" sId="2" numFmtId="4">
    <nc r="B26">
      <v>9</v>
    </nc>
  </rcc>
  <rcc rId="669" sId="2" numFmtId="4">
    <nc r="C26">
      <v>19</v>
    </nc>
  </rcc>
  <rcc rId="670" sId="2" numFmtId="4">
    <nc r="D26">
      <v>3</v>
    </nc>
  </rcc>
  <rcc rId="671" sId="2" numFmtId="4">
    <nc r="E26">
      <v>15</v>
    </nc>
  </rcc>
  <rcc rId="672" sId="2" numFmtId="4">
    <nc r="F26">
      <v>10</v>
    </nc>
  </rcc>
  <rcc rId="673" sId="2" numFmtId="4">
    <nc r="G26">
      <v>0</v>
    </nc>
  </rcc>
  <rcc rId="674" sId="2" numFmtId="4">
    <nc r="B27">
      <v>9</v>
    </nc>
  </rcc>
  <rcc rId="675" sId="2" numFmtId="4">
    <nc r="C27">
      <v>13</v>
    </nc>
  </rcc>
  <rcc rId="676" sId="2" numFmtId="4">
    <nc r="D27">
      <v>3</v>
    </nc>
  </rcc>
  <rcc rId="677" sId="2" numFmtId="4">
    <nc r="E27">
      <v>9</v>
    </nc>
  </rcc>
  <rcc rId="678" sId="2" numFmtId="4">
    <nc r="F27">
      <v>6</v>
    </nc>
  </rcc>
  <rcc rId="679" sId="2" numFmtId="4">
    <nc r="G27">
      <v>0</v>
    </nc>
  </rcc>
  <rcc rId="680" sId="2" numFmtId="4">
    <nc r="B28">
      <v>9</v>
    </nc>
  </rcc>
  <rcc rId="681" sId="2" numFmtId="4">
    <nc r="C28">
      <v>13</v>
    </nc>
  </rcc>
  <rcc rId="682" sId="2" numFmtId="4">
    <nc r="D28">
      <v>4</v>
    </nc>
  </rcc>
  <rcc rId="683" sId="2" numFmtId="4">
    <nc r="E28">
      <v>7</v>
    </nc>
  </rcc>
  <rcc rId="684" sId="2" numFmtId="4">
    <nc r="F28">
      <v>7</v>
    </nc>
  </rcc>
  <rcc rId="685" sId="2" numFmtId="4">
    <nc r="G28">
      <v>0</v>
    </nc>
  </rcc>
  <rcc rId="686" sId="2" numFmtId="4">
    <nc r="B29">
      <v>9</v>
    </nc>
  </rcc>
  <rcc rId="687" sId="2" numFmtId="4">
    <nc r="C29">
      <v>13</v>
    </nc>
  </rcc>
  <rcc rId="688" sId="2" numFmtId="4">
    <nc r="D29">
      <v>5</v>
    </nc>
  </rcc>
  <rcc rId="689" sId="2" numFmtId="4">
    <nc r="E29">
      <v>9</v>
    </nc>
  </rcc>
  <rcc rId="690" sId="2" numFmtId="4">
    <nc r="F29">
      <v>12</v>
    </nc>
  </rcc>
  <rcc rId="691" sId="2" numFmtId="4">
    <nc r="G29">
      <v>0</v>
    </nc>
  </rcc>
  <rcc rId="692" sId="5" numFmtId="4">
    <nc r="B102">
      <v>11</v>
    </nc>
  </rcc>
  <rcc rId="693" sId="5" numFmtId="4">
    <nc r="C102">
      <v>26</v>
    </nc>
  </rcc>
  <rcc rId="694" sId="5" numFmtId="4">
    <nc r="D102">
      <v>3</v>
    </nc>
  </rcc>
  <rcc rId="695" sId="5" numFmtId="4">
    <nc r="E102">
      <v>20</v>
    </nc>
  </rcc>
  <rcc rId="696" sId="5" numFmtId="4">
    <nc r="F102">
      <v>6</v>
    </nc>
  </rcc>
  <rcc rId="697" sId="5" numFmtId="4">
    <nc r="G102">
      <v>5</v>
    </nc>
  </rcc>
  <rcc rId="698" sId="5" numFmtId="4">
    <nc r="B103">
      <v>11</v>
    </nc>
  </rcc>
  <rcc rId="699" sId="5" numFmtId="4">
    <nc r="C103">
      <v>55</v>
    </nc>
  </rcc>
  <rcc rId="700" sId="5" numFmtId="4">
    <nc r="D103">
      <v>1</v>
    </nc>
  </rcc>
  <rcc rId="701" sId="5" numFmtId="4">
    <nc r="E103">
      <v>0</v>
    </nc>
  </rcc>
  <rcc rId="702" sId="5" numFmtId="4">
    <nc r="F103">
      <v>0</v>
    </nc>
  </rcc>
  <rcc rId="703" sId="5" numFmtId="4">
    <nc r="G103">
      <v>0</v>
    </nc>
  </rcc>
  <rcc rId="704" sId="5" numFmtId="4">
    <nc r="B104">
      <v>11</v>
    </nc>
  </rcc>
  <rcc rId="705" sId="5" numFmtId="4">
    <nc r="C104">
      <v>55</v>
    </nc>
  </rcc>
  <rcc rId="706" sId="5" numFmtId="4">
    <nc r="D104">
      <v>2</v>
    </nc>
  </rcc>
  <rcc rId="707" sId="5" numFmtId="4">
    <nc r="E104">
      <v>2</v>
    </nc>
  </rcc>
  <rcc rId="708" sId="5" numFmtId="4">
    <nc r="F104">
      <v>0</v>
    </nc>
  </rcc>
  <rcc rId="709" sId="5" numFmtId="4">
    <nc r="G104">
      <v>1</v>
    </nc>
  </rcc>
  <rcc rId="710" sId="5" numFmtId="4">
    <nc r="B105">
      <v>11</v>
    </nc>
  </rcc>
  <rcc rId="711" sId="5" numFmtId="4">
    <nc r="C105">
      <v>55</v>
    </nc>
  </rcc>
  <rcc rId="712" sId="5" numFmtId="4">
    <nc r="D105">
      <v>3</v>
    </nc>
  </rcc>
  <rcc rId="713" sId="5" numFmtId="4">
    <nc r="E105">
      <v>8</v>
    </nc>
  </rcc>
  <rcc rId="714" sId="5" numFmtId="4">
    <nc r="F105">
      <v>0</v>
    </nc>
  </rcc>
  <rcc rId="715" sId="5" numFmtId="4">
    <nc r="G105">
      <v>3</v>
    </nc>
  </rcc>
  <rcc rId="716" sId="5" numFmtId="4">
    <nc r="B106">
      <v>11</v>
    </nc>
  </rcc>
  <rcc rId="717" sId="5" numFmtId="4">
    <nc r="C106">
      <v>55</v>
    </nc>
  </rcc>
  <rcc rId="718" sId="5" numFmtId="4">
    <nc r="D106">
      <v>4</v>
    </nc>
  </rcc>
  <rcc rId="719" sId="5" numFmtId="4">
    <nc r="E106">
      <v>7</v>
    </nc>
  </rcc>
  <rcc rId="720" sId="5" numFmtId="4">
    <nc r="F106">
      <v>0</v>
    </nc>
  </rcc>
  <rcc rId="721" sId="5" numFmtId="4">
    <nc r="G106">
      <v>2</v>
    </nc>
  </rcc>
</revisions>
</file>

<file path=xl/revisions/revisionLog15.xml><?xml version="1.0" encoding="utf-8"?>
<revisions xmlns="http://schemas.openxmlformats.org/spreadsheetml/2006/main" xmlns:r="http://schemas.openxmlformats.org/officeDocument/2006/relationships">
  <rcc rId="722" sId="8" numFmtId="4">
    <oc r="C9">
      <v>65</v>
    </oc>
    <nc r="C9">
      <v>66</v>
    </nc>
  </rcc>
  <rcft rId="15" sheetId="8"/>
  <rcc rId="723" sId="8" numFmtId="4">
    <oc r="E9">
      <v>1</v>
    </oc>
    <nc r="E9">
      <v>7</v>
    </nc>
  </rcc>
  <rcft rId="16" sheetId="8"/>
  <rcc rId="724" sId="8" numFmtId="4">
    <oc r="F9">
      <v>1</v>
    </oc>
    <nc r="F9">
      <v>5</v>
    </nc>
  </rcc>
  <rcft rId="17" sheetId="8"/>
  <rcc rId="725" sId="8" numFmtId="4">
    <oc r="G9">
      <v>1</v>
    </oc>
    <nc r="G9">
      <v>9</v>
    </nc>
  </rcc>
  <rcft rId="18" sheetId="8"/>
  <rcc rId="726" sId="8" numFmtId="4">
    <oc r="H9">
      <v>1</v>
    </oc>
    <nc r="H9">
      <v>4</v>
    </nc>
  </rcc>
  <rcft rId="19" sheetId="8"/>
  <rcc rId="727" sId="8" numFmtId="4">
    <nc r="B10">
      <v>16</v>
    </nc>
  </rcc>
  <rcc rId="728" sId="8" numFmtId="4">
    <nc r="C10">
      <v>77</v>
    </nc>
  </rcc>
  <rcc rId="729" sId="8" numFmtId="4">
    <nc r="E10">
      <v>8</v>
    </nc>
  </rcc>
  <rcc rId="730" sId="8" numFmtId="4">
    <nc r="F10">
      <v>5</v>
    </nc>
  </rcc>
  <rcc rId="731" sId="8" numFmtId="4">
    <nc r="G10">
      <v>9</v>
    </nc>
  </rcc>
  <rcc rId="732" sId="8" numFmtId="4">
    <nc r="H10">
      <v>2</v>
    </nc>
  </rcc>
  <rcc rId="733" sId="8" numFmtId="4">
    <nc r="B11">
      <v>16</v>
    </nc>
  </rcc>
  <rcc rId="734" sId="8" numFmtId="4">
    <nc r="C11">
      <v>76</v>
    </nc>
  </rcc>
  <rcc rId="735" sId="8" numFmtId="4">
    <nc r="D11">
      <v>1</v>
    </nc>
  </rcc>
  <rcc rId="736" sId="8" numFmtId="4">
    <nc r="D10">
      <v>1</v>
    </nc>
  </rcc>
  <rcc rId="737" sId="8" numFmtId="4">
    <nc r="E11">
      <v>3</v>
    </nc>
  </rcc>
  <rcc rId="738" sId="8" numFmtId="4">
    <nc r="F11">
      <v>10</v>
    </nc>
  </rcc>
  <rcc rId="739" sId="8" numFmtId="4">
    <nc r="G11">
      <v>12</v>
    </nc>
  </rcc>
  <rcc rId="740" sId="8" numFmtId="4">
    <nc r="H11">
      <v>0</v>
    </nc>
  </rcc>
  <rcc rId="741" sId="8" numFmtId="4">
    <nc r="B12">
      <v>16</v>
    </nc>
  </rcc>
  <rcc rId="742" sId="8" numFmtId="4">
    <nc r="C12">
      <v>81</v>
    </nc>
  </rcc>
  <rcc rId="743" sId="8" numFmtId="4">
    <nc r="D12">
      <v>1</v>
    </nc>
  </rcc>
  <rcc rId="744" sId="8" numFmtId="4">
    <nc r="E12">
      <v>9</v>
    </nc>
  </rcc>
  <rcc rId="745" sId="8" numFmtId="4">
    <nc r="F12">
      <v>1</v>
    </nc>
  </rcc>
  <rcc rId="746" sId="8" numFmtId="4">
    <nc r="G12">
      <v>7</v>
    </nc>
  </rcc>
  <rcc rId="747" sId="8" numFmtId="4">
    <nc r="H12">
      <v>4</v>
    </nc>
  </rcc>
  <rcc rId="748" sId="8" numFmtId="4">
    <nc r="B13">
      <v>16</v>
    </nc>
  </rcc>
  <rcc rId="749" sId="8" numFmtId="4">
    <nc r="C13">
      <v>67</v>
    </nc>
  </rcc>
  <rcc rId="750" sId="8" numFmtId="4">
    <nc r="D13">
      <v>1</v>
    </nc>
  </rcc>
  <rcc rId="751" sId="8" numFmtId="4">
    <nc r="E13">
      <v>5</v>
    </nc>
  </rcc>
  <rcc rId="752" sId="8" numFmtId="4">
    <nc r="F13">
      <v>1</v>
    </nc>
  </rcc>
  <rcc rId="753" sId="8" numFmtId="4">
    <nc r="G13">
      <v>3</v>
    </nc>
  </rcc>
  <rcc rId="754" sId="8" numFmtId="4">
    <nc r="H13">
      <v>0</v>
    </nc>
  </rcc>
  <rcc rId="755" sId="8" numFmtId="4">
    <nc r="B14">
      <v>16</v>
    </nc>
  </rcc>
  <rcc rId="756" sId="8" numFmtId="4">
    <nc r="C14">
      <v>67</v>
    </nc>
  </rcc>
  <rcc rId="757" sId="8" numFmtId="4">
    <nc r="D14">
      <v>2</v>
    </nc>
  </rcc>
  <rcc rId="758" sId="8" numFmtId="4">
    <nc r="E14">
      <v>4</v>
    </nc>
  </rcc>
  <rcc rId="759" sId="8" numFmtId="4">
    <nc r="F14">
      <v>1</v>
    </nc>
  </rcc>
  <rcc rId="760" sId="8" numFmtId="4">
    <nc r="G14">
      <v>2</v>
    </nc>
  </rcc>
  <rcc rId="761" sId="8" numFmtId="4">
    <nc r="H14">
      <v>0</v>
    </nc>
  </rcc>
  <rcc rId="762" sId="8" numFmtId="4">
    <nc r="B15">
      <v>16</v>
    </nc>
  </rcc>
  <rcc rId="763" sId="8" numFmtId="4">
    <nc r="C15">
      <v>71</v>
    </nc>
  </rcc>
  <rcc rId="764" sId="8" numFmtId="4">
    <nc r="D15">
      <v>1</v>
    </nc>
  </rcc>
  <rcc rId="765" sId="8" numFmtId="4">
    <nc r="E15">
      <v>7</v>
    </nc>
  </rcc>
  <rcc rId="766" sId="8" numFmtId="4">
    <nc r="F15">
      <v>16</v>
    </nc>
  </rcc>
  <rcc rId="767" sId="8" numFmtId="4">
    <nc r="G15">
      <v>3</v>
    </nc>
  </rcc>
  <rcc rId="768" sId="8" numFmtId="4">
    <nc r="B16">
      <v>16</v>
    </nc>
  </rcc>
  <rcc rId="769" sId="8" numFmtId="4">
    <nc r="C16">
      <v>73</v>
    </nc>
  </rcc>
  <rcc rId="770" sId="8" numFmtId="4">
    <nc r="D16">
      <v>1</v>
    </nc>
  </rcc>
  <rcc rId="771" sId="8" numFmtId="4">
    <nc r="E16">
      <v>3</v>
    </nc>
  </rcc>
  <rcc rId="772" sId="8" numFmtId="4">
    <nc r="F16">
      <v>3</v>
    </nc>
  </rcc>
  <rcc rId="773" sId="8" numFmtId="4">
    <nc r="G16">
      <v>4</v>
    </nc>
  </rcc>
  <rcc rId="774" sId="8" numFmtId="4">
    <nc r="H16">
      <v>1</v>
    </nc>
  </rcc>
  <rcc rId="775" sId="8" numFmtId="4">
    <nc r="H15">
      <v>0</v>
    </nc>
  </rcc>
  <rcc rId="776" sId="8" numFmtId="4">
    <nc r="B17">
      <v>16</v>
    </nc>
  </rcc>
  <rcc rId="777" sId="8" numFmtId="4">
    <nc r="C17">
      <v>70</v>
    </nc>
  </rcc>
  <rcc rId="778" sId="8" numFmtId="4">
    <nc r="D17">
      <v>1</v>
    </nc>
  </rcc>
  <rcc rId="779" sId="8" numFmtId="4">
    <nc r="E17">
      <v>2</v>
    </nc>
  </rcc>
  <rcc rId="780" sId="8" numFmtId="4">
    <nc r="F17">
      <v>8</v>
    </nc>
  </rcc>
  <rcc rId="781" sId="8" numFmtId="4">
    <nc r="B18">
      <v>16</v>
    </nc>
  </rcc>
  <rcc rId="782" sId="8" numFmtId="4">
    <nc r="C18">
      <v>72</v>
    </nc>
  </rcc>
  <rcc rId="783" sId="8" numFmtId="4">
    <nc r="D18">
      <v>1</v>
    </nc>
  </rcc>
  <rcc rId="784" sId="8" numFmtId="4">
    <nc r="E18">
      <v>3</v>
    </nc>
  </rcc>
  <rcc rId="785" sId="8" numFmtId="4">
    <nc r="F18">
      <v>3</v>
    </nc>
  </rcc>
  <rcc rId="786" sId="8" numFmtId="4">
    <nc r="G18">
      <v>2</v>
    </nc>
  </rcc>
  <rcc rId="787" sId="8" numFmtId="4">
    <nc r="H18">
      <v>0</v>
    </nc>
  </rcc>
  <rcc rId="788" sId="8" numFmtId="4">
    <nc r="B19">
      <v>16</v>
    </nc>
  </rcc>
  <rcc rId="789" sId="8" numFmtId="4">
    <nc r="C19">
      <v>82</v>
    </nc>
  </rcc>
  <rcc rId="790" sId="8" numFmtId="4">
    <nc r="D19">
      <v>1</v>
    </nc>
  </rcc>
  <rcc rId="791" sId="8" numFmtId="4">
    <nc r="E19">
      <v>6</v>
    </nc>
  </rcc>
  <rcc rId="792" sId="8" numFmtId="4">
    <nc r="F19">
      <v>6</v>
    </nc>
  </rcc>
  <rcc rId="793" sId="8" numFmtId="4">
    <nc r="G19">
      <v>1</v>
    </nc>
  </rcc>
  <rcc rId="794" sId="8" numFmtId="4">
    <nc r="H19">
      <v>0</v>
    </nc>
  </rcc>
  <rcc rId="795" sId="8" numFmtId="4">
    <nc r="B20">
      <v>16</v>
    </nc>
  </rcc>
  <rcc rId="796" sId="8" numFmtId="4">
    <nc r="C20">
      <v>69</v>
    </nc>
  </rcc>
  <rcc rId="797" sId="8" numFmtId="4">
    <nc r="D20">
      <v>1</v>
    </nc>
  </rcc>
  <rcc rId="798" sId="8" numFmtId="4">
    <nc r="E20">
      <v>15</v>
    </nc>
  </rcc>
  <rcc rId="799" sId="8" numFmtId="4">
    <nc r="F20">
      <v>7</v>
    </nc>
  </rcc>
  <rcc rId="800" sId="8" numFmtId="4">
    <nc r="G20">
      <v>10</v>
    </nc>
  </rcc>
  <rcc rId="801" sId="8" numFmtId="4">
    <nc r="H20">
      <v>3</v>
    </nc>
  </rcc>
  <rcc rId="802" sId="8" numFmtId="4">
    <nc r="B21">
      <v>16</v>
    </nc>
  </rcc>
  <rcc rId="803" sId="8" numFmtId="4">
    <nc r="C21">
      <v>74</v>
    </nc>
  </rcc>
  <rcc rId="804" sId="8" numFmtId="4">
    <nc r="D21">
      <v>1</v>
    </nc>
  </rcc>
  <rcc rId="805" sId="8" numFmtId="4">
    <nc r="E21">
      <v>26</v>
    </nc>
  </rcc>
  <rcc rId="806" sId="8" numFmtId="4">
    <nc r="F21">
      <v>17</v>
    </nc>
  </rcc>
  <rcc rId="807" sId="8" numFmtId="4">
    <nc r="G21">
      <v>3</v>
    </nc>
  </rcc>
  <rcc rId="808" sId="8" numFmtId="4">
    <nc r="H21">
      <v>4</v>
    </nc>
  </rcc>
  <rcc rId="809" sId="8" numFmtId="4">
    <nc r="G17">
      <v>0</v>
    </nc>
  </rcc>
  <rcc rId="810" sId="8" numFmtId="4">
    <nc r="H17">
      <v>0</v>
    </nc>
  </rcc>
  <rcc rId="811" sId="8" numFmtId="4">
    <nc r="B22">
      <v>16</v>
    </nc>
  </rcc>
  <rcc rId="812" sId="8" numFmtId="4">
    <nc r="C22">
      <v>81</v>
    </nc>
  </rcc>
  <rcc rId="813" sId="8" numFmtId="4">
    <nc r="D22">
      <v>1</v>
    </nc>
  </rcc>
  <rcc rId="814" sId="8" numFmtId="4">
    <nc r="E22">
      <v>5</v>
    </nc>
  </rcc>
  <rcc rId="815" sId="8" numFmtId="4">
    <nc r="F22">
      <v>3</v>
    </nc>
  </rcc>
  <rcc rId="816" sId="8" numFmtId="4">
    <nc r="G22">
      <v>7</v>
    </nc>
  </rcc>
  <rcc rId="817" sId="8" numFmtId="4">
    <nc r="H22">
      <v>2</v>
    </nc>
  </rcc>
  <rcc rId="818" sId="8" numFmtId="4">
    <nc r="B23">
      <v>16</v>
    </nc>
  </rcc>
  <rcc rId="819" sId="8" numFmtId="4">
    <nc r="C23">
      <v>78</v>
    </nc>
  </rcc>
  <rcc rId="820" sId="8" numFmtId="4">
    <nc r="D23">
      <v>2</v>
    </nc>
  </rcc>
  <rcc rId="821" sId="8" numFmtId="4">
    <nc r="E23">
      <v>9</v>
    </nc>
  </rcc>
  <rcc rId="822" sId="8" numFmtId="4">
    <nc r="F23">
      <v>5</v>
    </nc>
  </rcc>
  <rcc rId="823" sId="8" numFmtId="4">
    <nc r="G23">
      <v>1</v>
    </nc>
  </rcc>
  <rcc rId="824" sId="8" numFmtId="4">
    <nc r="H23">
      <v>0</v>
    </nc>
  </rcc>
  <rcc rId="825" sId="8" numFmtId="4">
    <nc r="B24">
      <v>16</v>
    </nc>
  </rcc>
  <rcc rId="826" sId="8" numFmtId="4">
    <nc r="C24">
      <v>76</v>
    </nc>
  </rcc>
  <rcc rId="827" sId="8" numFmtId="4">
    <nc r="D24">
      <v>2</v>
    </nc>
  </rcc>
  <rcc rId="828" sId="8" numFmtId="4">
    <nc r="E24">
      <v>3</v>
    </nc>
  </rcc>
  <rcc rId="829" sId="8" numFmtId="4">
    <nc r="F24">
      <v>8</v>
    </nc>
  </rcc>
  <rcc rId="830" sId="8" numFmtId="4">
    <nc r="G24">
      <v>0</v>
    </nc>
  </rcc>
  <rcc rId="831" sId="8" numFmtId="4">
    <nc r="H24">
      <v>0</v>
    </nc>
  </rcc>
  <rcc rId="832" sId="8" numFmtId="4">
    <nc r="B25">
      <v>16</v>
    </nc>
  </rcc>
  <rcc rId="833" sId="8" numFmtId="4">
    <nc r="C25">
      <v>77</v>
    </nc>
  </rcc>
  <rcc rId="834" sId="8" numFmtId="4">
    <nc r="D25">
      <v>2</v>
    </nc>
  </rcc>
  <rcc rId="835" sId="8" numFmtId="4">
    <nc r="E25">
      <v>17</v>
    </nc>
  </rcc>
  <rcc rId="836" sId="8" numFmtId="4">
    <nc r="F25">
      <v>0</v>
    </nc>
  </rcc>
  <rcc rId="837" sId="8" numFmtId="4">
    <nc r="G25">
      <v>6</v>
    </nc>
  </rcc>
  <rcc rId="838" sId="8" numFmtId="4">
    <nc r="H25">
      <v>3</v>
    </nc>
  </rcc>
  <rcc rId="839" sId="8" numFmtId="4">
    <nc r="B26">
      <v>16</v>
    </nc>
  </rcc>
  <rcc rId="840" sId="8" numFmtId="4">
    <nc r="C26">
      <v>78</v>
    </nc>
  </rcc>
  <rcc rId="841" sId="8" numFmtId="4">
    <nc r="D26">
      <v>1</v>
    </nc>
  </rcc>
  <rcc rId="842" sId="8" numFmtId="4">
    <nc r="E26">
      <v>22</v>
    </nc>
  </rcc>
  <rcc rId="843" sId="8" numFmtId="4">
    <nc r="F26">
      <v>15</v>
    </nc>
  </rcc>
  <rcc rId="844" sId="8" numFmtId="4">
    <nc r="G26">
      <v>3</v>
    </nc>
  </rcc>
  <rcc rId="845" sId="8" numFmtId="4">
    <nc r="H26">
      <v>0</v>
    </nc>
  </rcc>
  <rcc rId="846" sId="8" numFmtId="4">
    <nc r="B27">
      <v>16</v>
    </nc>
  </rcc>
  <rcc rId="847" sId="8" numFmtId="4">
    <nc r="C27">
      <v>81</v>
    </nc>
  </rcc>
  <rcc rId="848" sId="8" numFmtId="4">
    <nc r="D27">
      <v>1</v>
    </nc>
  </rcc>
  <rcc rId="849" sId="8" numFmtId="4">
    <nc r="E27">
      <v>12</v>
    </nc>
  </rcc>
  <rcc rId="850" sId="8" numFmtId="4">
    <nc r="F27">
      <v>0</v>
    </nc>
  </rcc>
  <rcc rId="851" sId="8" numFmtId="4">
    <nc r="G27">
      <v>2</v>
    </nc>
  </rcc>
  <rcc rId="852" sId="8" numFmtId="4">
    <nc r="H27">
      <v>0</v>
    </nc>
  </rcc>
  <rcc rId="853" sId="8" numFmtId="4">
    <nc r="B28">
      <v>16</v>
    </nc>
  </rcc>
  <rcc rId="854" sId="8" numFmtId="4">
    <nc r="C28">
      <v>77</v>
    </nc>
  </rcc>
  <rcc rId="855" sId="8" numFmtId="4">
    <nc r="D28">
      <v>3</v>
    </nc>
  </rcc>
  <rcc rId="856" sId="8" numFmtId="4">
    <nc r="E28">
      <v>25</v>
    </nc>
  </rcc>
  <rcc rId="857" sId="8" numFmtId="4">
    <nc r="F28">
      <v>0</v>
    </nc>
  </rcc>
  <rcc rId="858" sId="8" numFmtId="4">
    <nc r="H28">
      <v>0</v>
    </nc>
  </rcc>
  <rcc rId="859" sId="8" numFmtId="4">
    <nc r="G28">
      <v>0</v>
    </nc>
  </rcc>
  <rcc rId="860" sId="8" numFmtId="4">
    <nc r="B29">
      <v>16</v>
    </nc>
  </rcc>
  <rcc rId="861" sId="8" numFmtId="4">
    <nc r="C29">
      <v>81</v>
    </nc>
  </rcc>
  <rcc rId="862" sId="8" numFmtId="4">
    <nc r="D29">
      <v>3</v>
    </nc>
  </rcc>
  <rcc rId="863" sId="8" numFmtId="4">
    <nc r="E29">
      <v>7</v>
    </nc>
  </rcc>
  <rcc rId="864" sId="8" numFmtId="4">
    <nc r="F29">
      <v>4</v>
    </nc>
  </rcc>
  <rcc rId="865" sId="8" numFmtId="4">
    <nc r="G29">
      <v>8</v>
    </nc>
  </rcc>
  <rcc rId="866" sId="8" numFmtId="4">
    <nc r="H29">
      <v>3</v>
    </nc>
  </rcc>
  <rcc rId="867" sId="8" numFmtId="4">
    <nc r="B30">
      <v>16</v>
    </nc>
  </rcc>
  <rcc rId="868" sId="8" numFmtId="4">
    <nc r="C30">
      <v>76</v>
    </nc>
  </rcc>
  <rcc rId="869" sId="8" numFmtId="4">
    <nc r="D30">
      <v>3</v>
    </nc>
  </rcc>
  <rcc rId="870" sId="8" numFmtId="4">
    <nc r="E30">
      <v>3</v>
    </nc>
  </rcc>
  <rcc rId="871" sId="8" numFmtId="4">
    <nc r="F30">
      <v>8</v>
    </nc>
  </rcc>
  <rcc rId="872" sId="8" numFmtId="4">
    <nc r="G30">
      <v>0</v>
    </nc>
  </rcc>
  <rcc rId="873" sId="8" numFmtId="4">
    <nc r="H30">
      <v>0</v>
    </nc>
  </rcc>
  <rcc rId="874" sId="8" numFmtId="4">
    <nc r="B31">
      <v>16</v>
    </nc>
  </rcc>
  <rcc rId="875" sId="8" numFmtId="4">
    <nc r="C31">
      <v>72</v>
    </nc>
  </rcc>
  <rcc rId="876" sId="8" numFmtId="4">
    <nc r="D31">
      <v>2</v>
    </nc>
  </rcc>
  <rcc rId="877" sId="8" numFmtId="4">
    <nc r="E31">
      <v>7</v>
    </nc>
  </rcc>
  <rcc rId="878" sId="8" numFmtId="4">
    <nc r="F31">
      <v>1</v>
    </nc>
  </rcc>
  <rcc rId="879" sId="8" numFmtId="4">
    <nc r="G31">
      <v>3</v>
    </nc>
  </rcc>
  <rcc rId="880" sId="8" numFmtId="4">
    <nc r="H31">
      <v>0</v>
    </nc>
  </rcc>
  <rcc rId="881" sId="8" numFmtId="4">
    <nc r="B32">
      <v>16</v>
    </nc>
  </rcc>
  <rcc rId="882" sId="8" numFmtId="4">
    <nc r="C32">
      <v>82</v>
    </nc>
  </rcc>
  <rcc rId="883" sId="8" numFmtId="4">
    <nc r="D32">
      <v>2</v>
    </nc>
  </rcc>
  <rcc rId="884" sId="8" numFmtId="4">
    <nc r="E32">
      <v>7</v>
    </nc>
  </rcc>
  <rcc rId="885" sId="8" numFmtId="4">
    <nc r="F32">
      <v>3</v>
    </nc>
  </rcc>
  <rcc rId="886" sId="8" numFmtId="4">
    <nc r="G32">
      <v>2</v>
    </nc>
  </rcc>
  <rcc rId="887" sId="8" numFmtId="4">
    <nc r="H32">
      <v>0</v>
    </nc>
  </rcc>
  <rcc rId="888" sId="8" numFmtId="4">
    <nc r="B33">
      <v>16</v>
    </nc>
  </rcc>
  <rcc rId="889" sId="8" numFmtId="4">
    <nc r="C33">
      <v>69</v>
    </nc>
  </rcc>
  <rcc rId="890" sId="8" numFmtId="4">
    <nc r="D33">
      <v>2</v>
    </nc>
  </rcc>
  <rcc rId="891" sId="8" numFmtId="4">
    <nc r="E33">
      <v>15</v>
    </nc>
  </rcc>
  <rcc rId="892" sId="8" numFmtId="4">
    <nc r="F33">
      <v>7</v>
    </nc>
  </rcc>
  <rcc rId="893" sId="8" numFmtId="4">
    <nc r="G33">
      <v>10</v>
    </nc>
  </rcc>
  <rcc rId="894" sId="8" numFmtId="4">
    <nc r="H33">
      <v>3</v>
    </nc>
  </rcc>
  <rcc rId="895" sId="8" numFmtId="4">
    <nc r="B34">
      <v>16</v>
    </nc>
  </rcc>
  <rcc rId="896" sId="8" numFmtId="4">
    <nc r="C34">
      <v>74</v>
    </nc>
  </rcc>
  <rcc rId="897" sId="8" numFmtId="4">
    <nc r="D34">
      <v>2</v>
    </nc>
  </rcc>
  <rcc rId="898" sId="8" numFmtId="4">
    <nc r="E34">
      <v>12</v>
    </nc>
  </rcc>
  <rcc rId="899" sId="8" numFmtId="4">
    <nc r="F34">
      <v>12</v>
    </nc>
  </rcc>
  <rcc rId="900" sId="8" numFmtId="4">
    <nc r="G34">
      <v>1</v>
    </nc>
  </rcc>
  <rcc rId="901" sId="8" numFmtId="4">
    <nc r="H34">
      <v>0</v>
    </nc>
  </rcc>
  <rcc rId="902" sId="8" numFmtId="4">
    <nc r="B35">
      <v>16</v>
    </nc>
  </rcc>
  <rcc rId="903" sId="8" numFmtId="4">
    <nc r="C35">
      <v>74</v>
    </nc>
  </rcc>
  <rcc rId="904" sId="8" numFmtId="4">
    <nc r="D35">
      <v>3</v>
    </nc>
  </rcc>
  <rcc rId="905" sId="8" numFmtId="4">
    <nc r="E35">
      <v>12</v>
    </nc>
  </rcc>
  <rcc rId="906" sId="8" numFmtId="4">
    <nc r="F35">
      <v>2</v>
    </nc>
  </rcc>
  <rcc rId="907" sId="8" numFmtId="4">
    <nc r="G35">
      <v>0</v>
    </nc>
  </rcc>
  <rcc rId="908" sId="8" numFmtId="4">
    <nc r="H35">
      <v>1</v>
    </nc>
  </rcc>
  <rcc rId="909" sId="8" numFmtId="4">
    <nc r="B36">
      <v>16</v>
    </nc>
  </rcc>
  <rcc rId="910" sId="8" numFmtId="4">
    <nc r="C36">
      <v>74</v>
    </nc>
  </rcc>
  <rcc rId="911" sId="8" numFmtId="4">
    <nc r="D36">
      <v>4</v>
    </nc>
  </rcc>
  <rcc rId="912" sId="8" numFmtId="4">
    <nc r="E36">
      <v>4</v>
    </nc>
  </rcc>
  <rcc rId="913" sId="8" numFmtId="4">
    <nc r="F36">
      <v>1</v>
    </nc>
  </rcc>
  <rcc rId="914" sId="8" numFmtId="4">
    <nc r="G36">
      <v>0</v>
    </nc>
  </rcc>
  <rcc rId="915" sId="8" numFmtId="4">
    <nc r="H36">
      <v>0</v>
    </nc>
  </rcc>
  <rcc rId="916" sId="8" numFmtId="4">
    <nc r="B37">
      <v>16</v>
    </nc>
  </rcc>
  <rcc rId="917" sId="8" numFmtId="4">
    <nc r="C37">
      <v>70</v>
    </nc>
  </rcc>
  <rcc rId="918" sId="8" numFmtId="4">
    <nc r="D37">
      <v>2</v>
    </nc>
  </rcc>
  <rcc rId="919" sId="8" numFmtId="4">
    <nc r="E37">
      <v>1</v>
    </nc>
  </rcc>
  <rcc rId="920" sId="8" numFmtId="4">
    <nc r="F37">
      <v>3</v>
    </nc>
  </rcc>
  <rcc rId="921" sId="8" numFmtId="4">
    <nc r="G37">
      <v>3</v>
    </nc>
  </rcc>
  <rcc rId="922" sId="8" numFmtId="4">
    <nc r="H37">
      <v>0</v>
    </nc>
  </rcc>
  <rcc rId="923" sId="8" numFmtId="4">
    <nc r="B38">
      <v>16</v>
    </nc>
  </rcc>
  <rcc rId="924" sId="8" numFmtId="4">
    <nc r="C38">
      <v>78</v>
    </nc>
  </rcc>
  <rcc rId="925" sId="8" numFmtId="4">
    <nc r="D38">
      <v>3</v>
    </nc>
  </rcc>
  <rcc rId="926" sId="8" numFmtId="4">
    <nc r="E38">
      <v>12</v>
    </nc>
  </rcc>
  <rcc rId="927" sId="8" numFmtId="4">
    <nc r="F38">
      <v>2</v>
    </nc>
  </rcc>
  <rcc rId="928" sId="8" numFmtId="4">
    <nc r="G38">
      <v>2</v>
    </nc>
  </rcc>
  <rcc rId="929" sId="8" numFmtId="4">
    <nc r="H38">
      <v>0</v>
    </nc>
  </rcc>
  <rcc rId="930" sId="8" numFmtId="4">
    <nc r="B39">
      <v>16</v>
    </nc>
  </rcc>
  <rcc rId="931" sId="8" numFmtId="4">
    <nc r="C39">
      <v>70</v>
    </nc>
  </rcc>
  <rcc rId="932" sId="8" numFmtId="4">
    <nc r="D39">
      <v>3</v>
    </nc>
  </rcc>
  <rcc rId="933" sId="8" numFmtId="4">
    <nc r="E39">
      <v>2</v>
    </nc>
  </rcc>
  <rcc rId="934" sId="8" numFmtId="4">
    <nc r="F39">
      <v>8</v>
    </nc>
  </rcc>
  <rcc rId="935" sId="8" numFmtId="4">
    <nc r="G39">
      <v>0</v>
    </nc>
  </rcc>
  <rcc rId="936" sId="8" numFmtId="4">
    <nc r="H39">
      <v>0</v>
    </nc>
  </rcc>
  <rcc rId="937" sId="8" numFmtId="4">
    <nc r="B40">
      <v>16</v>
    </nc>
  </rcc>
  <rcc rId="938" sId="8" numFmtId="4">
    <nc r="C40">
      <v>70</v>
    </nc>
  </rcc>
  <rcc rId="939" sId="8" numFmtId="4">
    <nc r="D40">
      <v>4</v>
    </nc>
  </rcc>
  <rcc rId="940" sId="8" numFmtId="4">
    <nc r="E40">
      <v>3</v>
    </nc>
  </rcc>
  <rcc rId="941" sId="8" numFmtId="4">
    <nc r="F40">
      <v>2</v>
    </nc>
  </rcc>
  <rcc rId="942" sId="8" numFmtId="4">
    <nc r="G40">
      <v>3</v>
    </nc>
  </rcc>
  <rcc rId="943" sId="8" numFmtId="4">
    <nc r="H40">
      <v>0</v>
    </nc>
  </rcc>
  <rcc rId="944" sId="8" numFmtId="4">
    <nc r="B41">
      <v>16</v>
    </nc>
  </rcc>
  <rcc rId="945" sId="8" numFmtId="4">
    <nc r="C41">
      <v>70</v>
    </nc>
  </rcc>
  <rcc rId="946" sId="8" numFmtId="4">
    <nc r="D41">
      <v>5</v>
    </nc>
  </rcc>
  <rcc rId="947" sId="8" numFmtId="4">
    <nc r="E41">
      <v>1</v>
    </nc>
  </rcc>
  <rcc rId="948" sId="8" numFmtId="4">
    <nc r="F41">
      <v>3</v>
    </nc>
  </rcc>
  <rcc rId="949" sId="8" numFmtId="4">
    <nc r="G41">
      <v>3</v>
    </nc>
  </rcc>
  <rcc rId="950" sId="8" numFmtId="4">
    <nc r="H41">
      <v>0</v>
    </nc>
  </rcc>
</revisions>
</file>

<file path=xl/revisions/revisionLog16.xml><?xml version="1.0" encoding="utf-8"?>
<revisions xmlns="http://schemas.openxmlformats.org/spreadsheetml/2006/main" xmlns:r="http://schemas.openxmlformats.org/officeDocument/2006/relationships">
  <rcc rId="1" sId="8" numFmtId="4">
    <oc r="B9">
      <v>16</v>
    </oc>
    <nc r="B9"/>
  </rcc>
  <rcc rId="2" sId="8" numFmtId="4">
    <oc r="C9">
      <v>70</v>
    </oc>
    <nc r="C9"/>
  </rcc>
  <rcc rId="3" sId="8" numFmtId="4">
    <oc r="D9">
      <v>1</v>
    </oc>
    <nc r="D9"/>
  </rcc>
  <rcc rId="4" sId="8" numFmtId="4">
    <oc r="E9">
      <v>1</v>
    </oc>
    <nc r="E9"/>
  </rcc>
  <rcc rId="5" sId="8" numFmtId="4">
    <oc r="F9">
      <v>1</v>
    </oc>
    <nc r="F9"/>
  </rcc>
  <rcc rId="6" sId="8" numFmtId="4">
    <oc r="G9">
      <v>1</v>
    </oc>
    <nc r="G9"/>
  </rcc>
  <rcc rId="7" sId="8" numFmtId="4">
    <oc r="H9">
      <v>1</v>
    </oc>
    <nc r="H9"/>
  </rcc>
  <rcv guid="{A6A06E36-D96E-4193-B19F-8D7934C6230C}" action="delete"/>
  <rcv guid="{A6A06E36-D96E-4193-B19F-8D7934C6230C}" action="add"/>
</revisions>
</file>

<file path=xl/revisions/revisionLog17.xml><?xml version="1.0" encoding="utf-8"?>
<revisions xmlns="http://schemas.openxmlformats.org/spreadsheetml/2006/main" xmlns:r="http://schemas.openxmlformats.org/officeDocument/2006/relationships">
  <rcc rId="984" sId="5" numFmtId="4">
    <nc r="B107">
      <v>11</v>
    </nc>
  </rcc>
  <rcc rId="985" sId="5" numFmtId="4">
    <nc r="C107">
      <v>55</v>
    </nc>
  </rcc>
  <rcc rId="986" sId="5" numFmtId="4">
    <nc r="D107">
      <v>5</v>
    </nc>
  </rcc>
  <rcc rId="987" sId="5" numFmtId="4">
    <nc r="E107">
      <v>15</v>
    </nc>
  </rcc>
  <rcc rId="988" sId="5" numFmtId="4">
    <nc r="F107">
      <v>2</v>
    </nc>
  </rcc>
  <rcc rId="989" sId="5" numFmtId="4">
    <nc r="G107">
      <v>1</v>
    </nc>
  </rcc>
  <rcc rId="990" sId="2" numFmtId="4">
    <nc r="B30">
      <v>9</v>
    </nc>
  </rcc>
  <rcc rId="991" sId="2" numFmtId="4">
    <nc r="C30">
      <v>14</v>
    </nc>
  </rcc>
  <rcc rId="992" sId="2" numFmtId="4">
    <nc r="D30">
      <v>3</v>
    </nc>
  </rcc>
  <rcc rId="993" sId="2" numFmtId="4">
    <nc r="E30">
      <v>4</v>
    </nc>
  </rcc>
  <rcc rId="994" sId="2" numFmtId="4">
    <nc r="F30">
      <v>5</v>
    </nc>
  </rcc>
  <rcc rId="995" sId="2" numFmtId="4">
    <nc r="G30">
      <v>0</v>
    </nc>
  </rcc>
  <rcc rId="996" sId="2" numFmtId="4">
    <nc r="B31">
      <v>9</v>
    </nc>
  </rcc>
  <rcc rId="997" sId="2" numFmtId="4">
    <nc r="C31">
      <v>14</v>
    </nc>
  </rcc>
  <rcc rId="998" sId="2" numFmtId="4">
    <nc r="D31">
      <v>2</v>
    </nc>
  </rcc>
  <rcc rId="999" sId="2" numFmtId="4">
    <nc r="E31">
      <v>4</v>
    </nc>
  </rcc>
  <rcc rId="1000" sId="2" numFmtId="4">
    <nc r="F31">
      <v>10</v>
    </nc>
  </rcc>
  <rcc rId="1001" sId="2" numFmtId="4">
    <nc r="G31">
      <v>0</v>
    </nc>
  </rcc>
  <rcc rId="1002" sId="2" numFmtId="4">
    <nc r="B32">
      <v>9</v>
    </nc>
  </rcc>
  <rcc rId="1003" sId="2" numFmtId="4">
    <nc r="C32">
      <v>2</v>
    </nc>
  </rcc>
  <rcc rId="1004" sId="2" numFmtId="4">
    <nc r="D32">
      <v>3</v>
    </nc>
  </rcc>
  <rcc rId="1005" sId="2" numFmtId="4">
    <nc r="E32">
      <v>11</v>
    </nc>
  </rcc>
  <rcc rId="1006" sId="2" numFmtId="4">
    <nc r="F32">
      <v>8</v>
    </nc>
  </rcc>
  <rcc rId="1007" sId="2" numFmtId="4">
    <nc r="G32">
      <v>0</v>
    </nc>
  </rcc>
  <rcc rId="1008" sId="2" numFmtId="4">
    <nc r="B33">
      <v>9</v>
    </nc>
  </rcc>
  <rcc rId="1009" sId="2" numFmtId="4">
    <nc r="C33">
      <v>2</v>
    </nc>
  </rcc>
  <rcc rId="1010" sId="2" numFmtId="4">
    <nc r="D33">
      <v>2</v>
    </nc>
  </rcc>
  <rcc rId="1011" sId="2" numFmtId="4">
    <nc r="E33">
      <v>22</v>
    </nc>
  </rcc>
  <rcc rId="1012" sId="2" numFmtId="4">
    <nc r="F33">
      <v>16</v>
    </nc>
  </rcc>
  <rcc rId="1013" sId="2" numFmtId="4">
    <nc r="G33">
      <v>0</v>
    </nc>
  </rcc>
  <rcc rId="1014" sId="2" numFmtId="4">
    <nc r="B34">
      <v>9</v>
    </nc>
  </rcc>
  <rcc rId="1015" sId="2" numFmtId="4">
    <nc r="C34">
      <v>14</v>
    </nc>
  </rcc>
  <rcc rId="1016" sId="2" numFmtId="4">
    <nc r="D34">
      <v>4</v>
    </nc>
  </rcc>
  <rcc rId="1017" sId="2" numFmtId="4">
    <nc r="E34">
      <v>5</v>
    </nc>
  </rcc>
  <rcc rId="1018" sId="2" numFmtId="4">
    <nc r="F34">
      <v>5</v>
    </nc>
  </rcc>
  <rcc rId="1019" sId="2" numFmtId="4">
    <nc r="G34">
      <v>0</v>
    </nc>
  </rcc>
  <rcc rId="1020" sId="5" numFmtId="4">
    <nc r="B108">
      <v>11</v>
    </nc>
  </rcc>
  <rcc rId="1021" sId="5" numFmtId="4">
    <nc r="C108">
      <v>50</v>
    </nc>
  </rcc>
  <rcc rId="1022" sId="5" numFmtId="4">
    <nc r="D108">
      <v>1</v>
    </nc>
  </rcc>
  <rcc rId="1023" sId="5" numFmtId="4">
    <nc r="E108">
      <v>6</v>
    </nc>
  </rcc>
  <rcc rId="1024" sId="5" numFmtId="4">
    <nc r="F108">
      <v>2</v>
    </nc>
  </rcc>
  <rcc rId="1025" sId="5" numFmtId="4">
    <nc r="G108">
      <v>1</v>
    </nc>
  </rcc>
</revisions>
</file>

<file path=xl/revisions/revisionLog18.xml><?xml version="1.0" encoding="utf-8"?>
<revisions xmlns="http://schemas.openxmlformats.org/spreadsheetml/2006/main" xmlns:r="http://schemas.openxmlformats.org/officeDocument/2006/relationships">
  <rcc rId="1026" sId="8" numFmtId="4">
    <nc r="G46">
      <v>2</v>
    </nc>
  </rcc>
  <rcc rId="1027" sId="8" numFmtId="4">
    <nc r="H46">
      <v>0</v>
    </nc>
  </rcc>
  <rcc rId="1028" sId="8" numFmtId="4">
    <nc r="B47">
      <v>16</v>
    </nc>
  </rcc>
  <rcc rId="1029" sId="8" numFmtId="4">
    <nc r="C47">
      <v>82</v>
    </nc>
  </rcc>
  <rcc rId="1030" sId="8" numFmtId="4">
    <nc r="D47">
      <v>5</v>
    </nc>
  </rcc>
  <rcc rId="1031" sId="8" numFmtId="4">
    <nc r="E47">
      <v>7</v>
    </nc>
  </rcc>
  <rcc rId="1032" sId="8" numFmtId="4">
    <nc r="F47">
      <v>4</v>
    </nc>
  </rcc>
  <rcc rId="1033" sId="8" numFmtId="4">
    <nc r="G47">
      <v>2</v>
    </nc>
  </rcc>
  <rcc rId="1034" sId="8" numFmtId="4">
    <nc r="H47">
      <v>0</v>
    </nc>
  </rcc>
  <rcc rId="1035" sId="8" numFmtId="4">
    <nc r="B48">
      <v>16</v>
    </nc>
  </rcc>
  <rcc rId="1036" sId="8" numFmtId="4">
    <nc r="C48">
      <v>69</v>
    </nc>
  </rcc>
  <rcc rId="1037" sId="8" numFmtId="4">
    <nc r="D48">
      <v>3</v>
    </nc>
  </rcc>
  <rcc rId="1038" sId="8" numFmtId="4">
    <nc r="E48">
      <v>15</v>
    </nc>
  </rcc>
  <rcc rId="1039" sId="8" numFmtId="4">
    <nc r="F48">
      <v>7</v>
    </nc>
  </rcc>
  <rcc rId="1040" sId="8" numFmtId="4">
    <nc r="G48">
      <v>10</v>
    </nc>
  </rcc>
  <rcc rId="1041" sId="8" numFmtId="4">
    <nc r="H48">
      <v>3</v>
    </nc>
  </rcc>
  <rcc rId="1042" sId="8" numFmtId="4">
    <nc r="B49">
      <v>16</v>
    </nc>
  </rcc>
  <rcc rId="1043" sId="8" numFmtId="4">
    <nc r="C49">
      <v>69</v>
    </nc>
  </rcc>
  <rcc rId="1044" sId="8" numFmtId="4">
    <nc r="D49">
      <v>4</v>
    </nc>
  </rcc>
  <rcc rId="1045" sId="8" numFmtId="4">
    <nc r="E49">
      <v>13</v>
    </nc>
  </rcc>
  <rcc rId="1046" sId="8" numFmtId="4">
    <nc r="F49">
      <v>6</v>
    </nc>
  </rcc>
  <rcc rId="1047" sId="8" numFmtId="4">
    <nc r="G49">
      <v>12</v>
    </nc>
  </rcc>
  <rcc rId="1048" sId="8" numFmtId="4">
    <nc r="H49">
      <v>1</v>
    </nc>
  </rcc>
  <rcc rId="1049" sId="11" numFmtId="4">
    <oc r="C9">
      <v>85</v>
    </oc>
    <nc r="C9">
      <v>97</v>
    </nc>
  </rcc>
  <rcc rId="1050" sId="11" numFmtId="4">
    <oc r="E9">
      <v>1</v>
    </oc>
    <nc r="E9">
      <v>11</v>
    </nc>
  </rcc>
  <rcc rId="1051" sId="11" numFmtId="4">
    <oc r="F9">
      <v>1</v>
    </oc>
    <nc r="F9">
      <v>4</v>
    </nc>
  </rcc>
  <rcc rId="1052" sId="11" numFmtId="4">
    <oc r="G9">
      <v>1</v>
    </oc>
    <nc r="G9">
      <v>5</v>
    </nc>
  </rcc>
  <rcc rId="1053" sId="11" numFmtId="4">
    <oc r="H9">
      <v>1</v>
    </oc>
    <nc r="H9">
      <v>3</v>
    </nc>
  </rcc>
  <rcc rId="1054" sId="11" numFmtId="4">
    <nc r="B10">
      <v>20</v>
    </nc>
  </rcc>
  <rcc rId="1055" sId="11" numFmtId="4">
    <nc r="C10">
      <v>97</v>
    </nc>
  </rcc>
  <rcc rId="1056" sId="11" numFmtId="4">
    <nc r="D10">
      <v>2</v>
    </nc>
  </rcc>
  <rcc rId="1057" sId="11" numFmtId="4">
    <nc r="E10">
      <v>4</v>
    </nc>
  </rcc>
  <rcc rId="1058" sId="11" numFmtId="4">
    <nc r="F10">
      <v>6</v>
    </nc>
  </rcc>
  <rcc rId="1059" sId="11" numFmtId="4">
    <nc r="G10">
      <v>6</v>
    </nc>
  </rcc>
  <rcc rId="1060" sId="11" numFmtId="4">
    <nc r="H10">
      <v>6</v>
    </nc>
  </rcc>
  <rcc rId="1061" sId="11" numFmtId="4">
    <nc r="B11">
      <v>20</v>
    </nc>
  </rcc>
  <rcc rId="1062" sId="11" numFmtId="4">
    <nc r="C11">
      <v>96</v>
    </nc>
  </rcc>
  <rcc rId="1063" sId="11" numFmtId="4">
    <nc r="D11">
      <v>1</v>
    </nc>
  </rcc>
  <rcc rId="1064" sId="11" numFmtId="4">
    <nc r="E11">
      <v>16</v>
    </nc>
  </rcc>
  <rcc rId="1065" sId="11" numFmtId="4">
    <nc r="F11">
      <v>6</v>
    </nc>
  </rcc>
  <rcc rId="1066" sId="11" numFmtId="4">
    <nc r="G11">
      <v>3</v>
    </nc>
  </rcc>
  <rcc rId="1067" sId="11" numFmtId="4">
    <nc r="H11">
      <v>0</v>
    </nc>
  </rcc>
</revisions>
</file>

<file path=xl/revisions/revisionLog19.xml><?xml version="1.0" encoding="utf-8"?>
<revisions xmlns="http://schemas.openxmlformats.org/spreadsheetml/2006/main" xmlns:r="http://schemas.openxmlformats.org/officeDocument/2006/relationships">
  <rcc rId="1068" sId="5" numFmtId="4">
    <nc r="B109">
      <v>11</v>
    </nc>
  </rcc>
  <rcc rId="1069" sId="5" numFmtId="4">
    <nc r="C109">
      <v>50</v>
    </nc>
  </rcc>
  <rcc rId="1070" sId="5" numFmtId="4">
    <nc r="D109">
      <v>2</v>
    </nc>
  </rcc>
  <rcc rId="1071" sId="5" numFmtId="4">
    <nc r="E109">
      <v>16</v>
    </nc>
  </rcc>
  <rcc rId="1072" sId="5" numFmtId="4">
    <nc r="F109">
      <v>1</v>
    </nc>
  </rcc>
  <rcc rId="1073" sId="5" numFmtId="4">
    <nc r="G109">
      <v>2</v>
    </nc>
  </rcc>
  <rcc rId="1074" sId="5" numFmtId="4">
    <nc r="B110">
      <v>11</v>
    </nc>
  </rcc>
  <rcc rId="1075" sId="5" numFmtId="4">
    <nc r="C110">
      <v>50</v>
    </nc>
  </rcc>
  <rcc rId="1076" sId="5" numFmtId="4">
    <nc r="D110">
      <v>3</v>
    </nc>
  </rcc>
  <rcc rId="1077" sId="5" numFmtId="4">
    <nc r="E110">
      <v>17</v>
    </nc>
  </rcc>
  <rcc rId="1078" sId="5" numFmtId="4">
    <nc r="F110">
      <v>1</v>
    </nc>
  </rcc>
  <rcc rId="1079" sId="5" numFmtId="4">
    <nc r="G110">
      <v>1</v>
    </nc>
  </rcc>
  <rcc rId="1080" sId="2" numFmtId="4">
    <nc r="B35">
      <v>9</v>
    </nc>
  </rcc>
  <rcc rId="1081" sId="2" numFmtId="4">
    <nc r="C35">
      <v>6</v>
    </nc>
  </rcc>
  <rcc rId="1082" sId="2" numFmtId="4">
    <nc r="D35">
      <v>2</v>
    </nc>
  </rcc>
  <rcc rId="1083" sId="2" numFmtId="4">
    <nc r="E35">
      <v>6</v>
    </nc>
  </rcc>
  <rcc rId="1084" sId="2" numFmtId="4">
    <nc r="F35">
      <v>5</v>
    </nc>
  </rcc>
  <rcc rId="1085" sId="2" numFmtId="4">
    <nc r="G35">
      <v>0</v>
    </nc>
  </rcc>
  <rcc rId="1086" sId="2" numFmtId="4">
    <nc r="B36">
      <v>9</v>
    </nc>
  </rcc>
  <rcc rId="1087" sId="2" numFmtId="4">
    <nc r="C36">
      <v>1</v>
    </nc>
  </rcc>
  <rcc rId="1088" sId="2" numFmtId="4">
    <nc r="D36">
      <v>2</v>
    </nc>
  </rcc>
  <rcc rId="1089" sId="2" numFmtId="4">
    <nc r="E36">
      <v>6</v>
    </nc>
  </rcc>
  <rcc rId="1090" sId="2" numFmtId="4">
    <nc r="F36">
      <v>8</v>
    </nc>
  </rcc>
  <rcc rId="1091" sId="2" numFmtId="4">
    <nc r="G36">
      <v>0</v>
    </nc>
  </rcc>
  <rcc rId="1092" sId="2" numFmtId="4">
    <nc r="B37">
      <v>9</v>
    </nc>
  </rcc>
  <rcc rId="1093" sId="2" numFmtId="4">
    <nc r="C37">
      <v>6</v>
    </nc>
  </rcc>
  <rcc rId="1094" sId="2" numFmtId="4">
    <nc r="D37">
      <v>3</v>
    </nc>
  </rcc>
  <rcc rId="1095" sId="2" numFmtId="4">
    <nc r="E37">
      <v>20</v>
    </nc>
  </rcc>
  <rcc rId="1096" sId="2" numFmtId="4">
    <nc r="F37">
      <v>3</v>
    </nc>
  </rcc>
  <rcc rId="1097" sId="2" numFmtId="4">
    <nc r="G37">
      <v>0</v>
    </nc>
  </rcc>
</revisions>
</file>

<file path=xl/revisions/revisionLog20.xml><?xml version="1.0" encoding="utf-8"?>
<revisions xmlns="http://schemas.openxmlformats.org/spreadsheetml/2006/main" xmlns:r="http://schemas.openxmlformats.org/officeDocument/2006/relationships">
  <rcc rId="1098" sId="8" numFmtId="4">
    <nc r="B50">
      <v>16</v>
    </nc>
  </rcc>
  <rcc rId="1099" sId="8" numFmtId="4">
    <nc r="C50">
      <v>66</v>
    </nc>
  </rcc>
  <rcc rId="1100" sId="8" numFmtId="4">
    <nc r="D50">
      <v>2</v>
    </nc>
  </rcc>
  <rcc rId="1101" sId="8" numFmtId="4">
    <nc r="E50">
      <v>10</v>
    </nc>
  </rcc>
  <rcc rId="1102" sId="8" numFmtId="4">
    <nc r="F50">
      <v>3</v>
    </nc>
  </rcc>
  <rcc rId="1103" sId="8" numFmtId="4">
    <nc r="G50">
      <v>11</v>
    </nc>
  </rcc>
  <rcc rId="1104" sId="8" numFmtId="4">
    <nc r="H50">
      <v>0</v>
    </nc>
  </rcc>
  <rcc rId="1105" sId="8" numFmtId="4">
    <nc r="B51">
      <v>16</v>
    </nc>
  </rcc>
  <rcc rId="1106" sId="8" numFmtId="4">
    <nc r="C51">
      <v>66</v>
    </nc>
  </rcc>
  <rcc rId="1107" sId="8" numFmtId="4">
    <nc r="D51">
      <v>3</v>
    </nc>
  </rcc>
  <rcc rId="1108" sId="8" numFmtId="4">
    <nc r="E51">
      <v>7</v>
    </nc>
  </rcc>
  <rcc rId="1109" sId="8" numFmtId="4">
    <nc r="F51">
      <v>7</v>
    </nc>
  </rcc>
  <rcc rId="1110" sId="8" numFmtId="4">
    <nc r="G51">
      <v>8</v>
    </nc>
  </rcc>
  <rcc rId="1111" sId="8" numFmtId="4">
    <nc r="H51">
      <v>0</v>
    </nc>
  </rcc>
  <rcc rId="1112" sId="8" numFmtId="4">
    <oc r="E15">
      <v>7</v>
    </oc>
    <nc r="E15">
      <v>2</v>
    </nc>
  </rcc>
  <rcc rId="1113" sId="8" numFmtId="4">
    <oc r="F15">
      <v>16</v>
    </oc>
    <nc r="F15">
      <v>4</v>
    </nc>
  </rcc>
  <rcc rId="1114" sId="8" numFmtId="4">
    <oc r="G15">
      <v>3</v>
    </oc>
    <nc r="G15">
      <v>1</v>
    </nc>
  </rcc>
  <rcc rId="1115" sId="8" numFmtId="4">
    <nc r="B52">
      <v>16</v>
    </nc>
  </rcc>
  <rcc rId="1116" sId="8" numFmtId="4">
    <nc r="C52">
      <v>71</v>
    </nc>
  </rcc>
  <rcc rId="1117" sId="8" numFmtId="4">
    <nc r="D52">
      <v>2</v>
    </nc>
  </rcc>
  <rcc rId="1118" sId="8" numFmtId="4">
    <nc r="E52">
      <v>2</v>
    </nc>
  </rcc>
  <rcc rId="1119" sId="8" numFmtId="4">
    <nc r="F52">
      <v>4</v>
    </nc>
  </rcc>
  <rcc rId="1120" sId="8" numFmtId="4">
    <nc r="G52">
      <v>1</v>
    </nc>
  </rcc>
  <rcc rId="1121" sId="8" numFmtId="4">
    <nc r="H52">
      <v>0</v>
    </nc>
  </rcc>
  <rcc rId="1122" sId="8" numFmtId="4">
    <nc r="B53">
      <v>16</v>
    </nc>
  </rcc>
</revisions>
</file>

<file path=xl/revisions/revisionLog21.xml><?xml version="1.0" encoding="utf-8"?>
<revisions xmlns="http://schemas.openxmlformats.org/spreadsheetml/2006/main" xmlns:r="http://schemas.openxmlformats.org/officeDocument/2006/relationships">
  <rcc rId="1123" sId="5" numFmtId="4">
    <nc r="B111">
      <v>11</v>
    </nc>
  </rcc>
  <rcc rId="1124" sId="5" numFmtId="4">
    <nc r="C111">
      <v>34</v>
    </nc>
  </rcc>
  <rcc rId="1125" sId="5" numFmtId="4">
    <nc r="D111">
      <v>2</v>
    </nc>
  </rcc>
  <rcc rId="1126" sId="5" numFmtId="4">
    <nc r="E111">
      <v>12</v>
    </nc>
  </rcc>
  <rcc rId="1127" sId="5" numFmtId="4">
    <nc r="F111">
      <v>0</v>
    </nc>
  </rcc>
  <rcc rId="1128" sId="5" numFmtId="4">
    <nc r="G111">
      <v>0</v>
    </nc>
  </rcc>
  <rcc rId="1129" sId="5" numFmtId="4">
    <nc r="B112">
      <v>11</v>
    </nc>
  </rcc>
  <rcc rId="1130" sId="5" numFmtId="4">
    <nc r="C112">
      <v>34</v>
    </nc>
  </rcc>
  <rcc rId="1131" sId="5" numFmtId="4">
    <nc r="D112">
      <v>3</v>
    </nc>
  </rcc>
  <rcc rId="1132" sId="5" numFmtId="4">
    <nc r="E112">
      <v>8</v>
    </nc>
  </rcc>
  <rcc rId="1133" sId="5" numFmtId="4">
    <nc r="F112">
      <v>0</v>
    </nc>
  </rcc>
  <rcc rId="1134" sId="5" numFmtId="4">
    <nc r="G112">
      <v>0</v>
    </nc>
  </rcc>
  <rcc rId="1135" sId="5" numFmtId="4">
    <nc r="B113">
      <v>11</v>
    </nc>
  </rcc>
  <rcc rId="1136" sId="5" numFmtId="4">
    <nc r="C113">
      <v>34</v>
    </nc>
  </rcc>
  <rcc rId="1137" sId="5" numFmtId="4">
    <nc r="D113">
      <v>1</v>
    </nc>
  </rcc>
  <rcc rId="1138" sId="5" numFmtId="4">
    <nc r="E113">
      <v>17</v>
    </nc>
  </rcc>
  <rcc rId="1139" sId="5" numFmtId="4">
    <nc r="F113">
      <v>0</v>
    </nc>
  </rcc>
  <rcc rId="1140" sId="5" numFmtId="4">
    <nc r="G113">
      <v>5</v>
    </nc>
  </rcc>
  <rcc rId="1141" sId="5" numFmtId="4">
    <nc r="B114">
      <v>11</v>
    </nc>
  </rcc>
  <rcc rId="1142" sId="5" numFmtId="4">
    <nc r="C114">
      <v>52</v>
    </nc>
  </rcc>
  <rcc rId="1143" sId="5" numFmtId="4">
    <nc r="D114">
      <v>2</v>
    </nc>
  </rcc>
  <rcc rId="1144" sId="5" numFmtId="4">
    <nc r="E114">
      <v>14</v>
    </nc>
  </rcc>
  <rcc rId="1145" sId="5" numFmtId="4">
    <nc r="F114">
      <v>0</v>
    </nc>
  </rcc>
  <rcc rId="1146" sId="5" numFmtId="4">
    <nc r="G114">
      <v>0</v>
    </nc>
  </rcc>
  <rcc rId="1147" sId="5" numFmtId="4">
    <nc r="B115">
      <v>11</v>
    </nc>
  </rcc>
  <rcc rId="1148" sId="5" numFmtId="4">
    <nc r="C115">
      <v>52</v>
    </nc>
  </rcc>
  <rcc rId="1149" sId="5" numFmtId="4">
    <nc r="D115">
      <v>3</v>
    </nc>
  </rcc>
  <rcc rId="1150" sId="5" numFmtId="4">
    <nc r="E115">
      <v>16</v>
    </nc>
  </rcc>
  <rcc rId="1151" sId="5" numFmtId="4">
    <nc r="F115">
      <v>1</v>
    </nc>
  </rcc>
  <rcc rId="1152" sId="5" numFmtId="4">
    <nc r="G115">
      <v>3</v>
    </nc>
  </rcc>
  <rcc rId="1153" sId="5" numFmtId="4">
    <nc r="B116">
      <v>11</v>
    </nc>
  </rcc>
  <rcc rId="1154" sId="5" numFmtId="4">
    <nc r="C116">
      <v>52</v>
    </nc>
  </rcc>
  <rcc rId="1155" sId="5" numFmtId="4">
    <nc r="D116">
      <v>4</v>
    </nc>
  </rcc>
  <rcc rId="1156" sId="5" numFmtId="4">
    <nc r="E116">
      <v>19</v>
    </nc>
  </rcc>
  <rcc rId="1157" sId="5" numFmtId="4">
    <nc r="F116">
      <v>1</v>
    </nc>
  </rcc>
  <rcc rId="1158" sId="5" numFmtId="4">
    <nc r="G116">
      <v>0</v>
    </nc>
  </rcc>
  <rcc rId="1159" sId="5" numFmtId="4">
    <nc r="B117">
      <v>11</v>
    </nc>
  </rcc>
  <rcc rId="1160" sId="5" numFmtId="4">
    <nc r="C117">
      <v>52</v>
    </nc>
  </rcc>
  <rcc rId="1161" sId="5" numFmtId="4">
    <nc r="D117">
      <v>5</v>
    </nc>
  </rcc>
  <rcc rId="1162" sId="5" numFmtId="4">
    <nc r="E117">
      <v>23</v>
    </nc>
  </rcc>
  <rcc rId="1163" sId="5" numFmtId="4">
    <nc r="F117">
      <v>0</v>
    </nc>
  </rcc>
  <rcc rId="1164" sId="5" numFmtId="4">
    <nc r="G117">
      <v>0</v>
    </nc>
  </rcc>
</revisions>
</file>

<file path=xl/revisions/revisionLog22.xml><?xml version="1.0" encoding="utf-8"?>
<revisions xmlns="http://schemas.openxmlformats.org/spreadsheetml/2006/main" xmlns:r="http://schemas.openxmlformats.org/officeDocument/2006/relationships">
  <rcc rId="1165" sId="8" numFmtId="4">
    <nc r="C53">
      <v>71</v>
    </nc>
  </rcc>
  <rcc rId="1166" sId="8" numFmtId="4">
    <nc r="D53">
      <v>3</v>
    </nc>
  </rcc>
  <rcc rId="1167" sId="8" numFmtId="4">
    <nc r="E53">
      <v>2</v>
    </nc>
  </rcc>
  <rcc rId="1168" sId="8" numFmtId="4">
    <nc r="F53">
      <v>4</v>
    </nc>
  </rcc>
  <rcc rId="1169" sId="8" numFmtId="4">
    <nc r="G53">
      <v>1</v>
    </nc>
  </rcc>
  <rcc rId="1170" sId="8" numFmtId="4">
    <nc r="H53">
      <v>0</v>
    </nc>
  </rcc>
  <rcc rId="1171" sId="8" numFmtId="4">
    <nc r="B54">
      <v>16</v>
    </nc>
  </rcc>
  <rcc rId="1172" sId="8" numFmtId="4">
    <nc r="C54">
      <v>71</v>
    </nc>
  </rcc>
  <rcc rId="1173" sId="8" numFmtId="4">
    <nc r="D54">
      <v>4</v>
    </nc>
  </rcc>
  <rcc rId="1174" sId="8" numFmtId="4">
    <nc r="E54">
      <v>1</v>
    </nc>
  </rcc>
  <rcc rId="1175" sId="8" numFmtId="4">
    <nc r="F54">
      <v>4</v>
    </nc>
  </rcc>
  <rcc rId="1176" sId="8" numFmtId="4">
    <nc r="G54">
      <v>0</v>
    </nc>
  </rcc>
  <rcc rId="1177" sId="8" numFmtId="4">
    <nc r="H54">
      <v>0</v>
    </nc>
  </rcc>
  <rcc rId="1178" sId="8" numFmtId="4">
    <nc r="B55">
      <v>16</v>
    </nc>
  </rcc>
  <rcc rId="1179" sId="8" numFmtId="4">
    <nc r="C55">
      <v>71</v>
    </nc>
  </rcc>
  <rcc rId="1180" sId="8" numFmtId="4">
    <nc r="D55">
      <v>5</v>
    </nc>
  </rcc>
  <rcc rId="1181" sId="8" numFmtId="4">
    <nc r="E55">
      <v>2</v>
    </nc>
  </rcc>
  <rcc rId="1182" sId="8" numFmtId="4">
    <nc r="F55">
      <v>6</v>
    </nc>
  </rcc>
  <rcc rId="1183" sId="8" numFmtId="4">
    <nc r="G55">
      <v>1</v>
    </nc>
  </rcc>
  <rcc rId="1184" sId="8" numFmtId="4">
    <nc r="H55">
      <v>0</v>
    </nc>
  </rcc>
</revisions>
</file>

<file path=xl/revisions/revisionLog23.xml><?xml version="1.0" encoding="utf-8"?>
<revisions xmlns="http://schemas.openxmlformats.org/spreadsheetml/2006/main" xmlns:r="http://schemas.openxmlformats.org/officeDocument/2006/relationships">
  <rcc rId="1185" sId="5" numFmtId="4">
    <nc r="B118">
      <v>11</v>
    </nc>
  </rcc>
  <rcc rId="1186" sId="5" numFmtId="4">
    <nc r="C118">
      <v>26</v>
    </nc>
  </rcc>
  <rcc rId="1187" sId="5" numFmtId="4">
    <nc r="D118">
      <v>4</v>
    </nc>
  </rcc>
  <rcc rId="1188" sId="5" numFmtId="4">
    <nc r="E118">
      <v>17</v>
    </nc>
  </rcc>
  <rcc rId="1189" sId="5" numFmtId="4">
    <nc r="F118">
      <v>9</v>
    </nc>
  </rcc>
  <rcc rId="1190" sId="5" numFmtId="4">
    <nc r="G118">
      <v>1</v>
    </nc>
  </rcc>
  <rcc rId="1191" sId="5" numFmtId="4">
    <nc r="B119">
      <v>11</v>
    </nc>
  </rcc>
  <rcc rId="1192" sId="5" numFmtId="4">
    <nc r="C119">
      <v>26</v>
    </nc>
  </rcc>
  <rcc rId="1193" sId="5" numFmtId="4">
    <nc r="D119">
      <v>5</v>
    </nc>
  </rcc>
  <rcc rId="1194" sId="5" numFmtId="4">
    <nc r="E119">
      <v>20</v>
    </nc>
  </rcc>
  <rcc rId="1195" sId="5" numFmtId="4">
    <nc r="F119">
      <v>6</v>
    </nc>
  </rcc>
  <rcc rId="1196" sId="5" numFmtId="4">
    <nc r="G119">
      <v>5</v>
    </nc>
  </rcc>
  <rcc rId="1197" sId="5" numFmtId="4">
    <nc r="B120">
      <v>11</v>
    </nc>
  </rcc>
  <rcc rId="1198" sId="5" numFmtId="4">
    <nc r="C120">
      <v>26</v>
    </nc>
  </rcc>
  <rcc rId="1199" sId="5" numFmtId="4">
    <nc r="D120">
      <v>6</v>
    </nc>
  </rcc>
  <rcc rId="1200" sId="5" numFmtId="4">
    <nc r="E120">
      <v>16</v>
    </nc>
  </rcc>
  <rcc rId="1201" sId="5" numFmtId="4">
    <nc r="F120">
      <v>5</v>
    </nc>
  </rcc>
  <rcc rId="1202" sId="5" numFmtId="4">
    <nc r="G120">
      <v>7</v>
    </nc>
  </rcc>
  <rcc rId="1203" sId="5" numFmtId="4">
    <nc r="B121">
      <v>11</v>
    </nc>
  </rcc>
  <rcc rId="1204" sId="5" numFmtId="4">
    <nc r="C121">
      <v>43</v>
    </nc>
  </rcc>
  <rcc rId="1205" sId="5" numFmtId="4">
    <nc r="D121">
      <v>4</v>
    </nc>
  </rcc>
  <rcc rId="1206" sId="5" numFmtId="4">
    <nc r="E121">
      <v>29</v>
    </nc>
  </rcc>
  <rcc rId="1207" sId="5" numFmtId="4">
    <nc r="F121">
      <v>4</v>
    </nc>
  </rcc>
  <rcc rId="1208" sId="5" numFmtId="4">
    <nc r="G121">
      <v>6</v>
    </nc>
  </rcc>
  <rcc rId="1209" sId="2" numFmtId="4">
    <nc r="B38">
      <v>9</v>
    </nc>
  </rcc>
  <rcc rId="1210" sId="2" numFmtId="4">
    <nc r="C38">
      <v>21</v>
    </nc>
  </rcc>
  <rcc rId="1211" sId="2" numFmtId="4">
    <nc r="D38">
      <v>2</v>
    </nc>
  </rcc>
  <rcc rId="1212" sId="2" numFmtId="4">
    <nc r="E38">
      <v>30</v>
    </nc>
  </rcc>
  <rcc rId="1213" sId="2" numFmtId="4">
    <nc r="F38">
      <v>22</v>
    </nc>
  </rcc>
  <rcc rId="1214" sId="2" numFmtId="4">
    <nc r="G38">
      <v>0</v>
    </nc>
  </rcc>
</revisions>
</file>

<file path=xl/revisions/revisionLog24.xml><?xml version="1.0" encoding="utf-8"?>
<revisions xmlns="http://schemas.openxmlformats.org/spreadsheetml/2006/main" xmlns:r="http://schemas.openxmlformats.org/officeDocument/2006/relationships">
  <rcc rId="1215" sId="2" numFmtId="4">
    <nc r="B39">
      <v>9</v>
    </nc>
  </rcc>
  <rcc rId="1216" sId="2" numFmtId="4">
    <nc r="C39">
      <v>5</v>
    </nc>
  </rcc>
  <rcc rId="1217" sId="2" numFmtId="4">
    <nc r="D39">
      <v>2</v>
    </nc>
  </rcc>
  <rcc rId="1218" sId="2" numFmtId="4">
    <nc r="E39">
      <v>10</v>
    </nc>
  </rcc>
  <rcc rId="1219" sId="2" numFmtId="4">
    <nc r="F39">
      <v>8</v>
    </nc>
  </rcc>
  <rcc rId="1220" sId="2" numFmtId="4">
    <nc r="G39">
      <v>15</v>
    </nc>
  </rcc>
  <rcc rId="1221" sId="2" numFmtId="4">
    <nc r="B40">
      <v>9</v>
    </nc>
  </rcc>
  <rcc rId="1222" sId="2" numFmtId="4">
    <nc r="C40">
      <v>5</v>
    </nc>
  </rcc>
  <rcc rId="1223" sId="2" numFmtId="4">
    <nc r="D40">
      <v>3</v>
    </nc>
  </rcc>
  <rcc rId="1224" sId="2" numFmtId="4">
    <nc r="E40">
      <v>8</v>
    </nc>
  </rcc>
  <rcc rId="1225" sId="2" numFmtId="4">
    <nc r="F40">
      <v>7</v>
    </nc>
  </rcc>
  <rcc rId="1226" sId="2" numFmtId="4">
    <nc r="G40">
      <v>2</v>
    </nc>
  </rcc>
  <rcc rId="1227" sId="2" numFmtId="4">
    <nc r="B41">
      <v>9</v>
    </nc>
  </rcc>
  <rcc rId="1228" sId="2" numFmtId="4">
    <nc r="C41">
      <v>5</v>
    </nc>
  </rcc>
  <rcc rId="1229" sId="2" numFmtId="4">
    <nc r="D41">
      <v>4</v>
    </nc>
  </rcc>
  <rcc rId="1230" sId="2" numFmtId="4">
    <nc r="E41">
      <v>7</v>
    </nc>
  </rcc>
  <rcc rId="1231" sId="2" numFmtId="4">
    <nc r="F41">
      <v>9</v>
    </nc>
  </rcc>
  <rcc rId="1232" sId="2" numFmtId="4">
    <nc r="G41">
      <v>4</v>
    </nc>
  </rcc>
  <rcc rId="1233" sId="5" numFmtId="4">
    <nc r="B122">
      <v>11</v>
    </nc>
  </rcc>
  <rcc rId="1234" sId="5" numFmtId="4">
    <nc r="C122">
      <v>43</v>
    </nc>
  </rcc>
  <rcc rId="1235" sId="5" numFmtId="4">
    <nc r="D122">
      <v>5</v>
    </nc>
  </rcc>
  <rcc rId="1236" sId="5" numFmtId="4">
    <nc r="E122">
      <v>33</v>
    </nc>
  </rcc>
  <rcc rId="1237" sId="5" numFmtId="4">
    <nc r="F122">
      <v>6</v>
    </nc>
  </rcc>
  <rcc rId="1238" sId="5" numFmtId="4">
    <nc r="G122">
      <v>4</v>
    </nc>
  </rcc>
  <rcc rId="1239" sId="5" numFmtId="4">
    <nc r="B123">
      <v>11</v>
    </nc>
  </rcc>
  <rcc rId="1240" sId="5" numFmtId="4">
    <nc r="C123">
      <v>23</v>
    </nc>
  </rcc>
</revisions>
</file>

<file path=xl/revisions/revisionLog25.xml><?xml version="1.0" encoding="utf-8"?>
<revisions xmlns="http://schemas.openxmlformats.org/spreadsheetml/2006/main" xmlns:r="http://schemas.openxmlformats.org/officeDocument/2006/relationships">
  <rcc rId="1241" sId="8" numFmtId="4">
    <nc r="B56">
      <v>16</v>
    </nc>
  </rcc>
  <rcc rId="1242" sId="8" numFmtId="4">
    <nc r="C56">
      <v>66</v>
    </nc>
  </rcc>
  <rcc rId="1243" sId="8" numFmtId="4">
    <nc r="D56">
      <v>4</v>
    </nc>
  </rcc>
  <rcc rId="1244" sId="8" numFmtId="4">
    <nc r="E56">
      <v>13</v>
    </nc>
  </rcc>
  <rcc rId="1245" sId="8" numFmtId="4">
    <nc r="F56">
      <v>2</v>
    </nc>
  </rcc>
  <rcc rId="1246" sId="8" numFmtId="4">
    <nc r="G56">
      <v>6</v>
    </nc>
  </rcc>
  <rcc rId="1247" sId="8" numFmtId="4">
    <nc r="H56">
      <v>0</v>
    </nc>
  </rcc>
  <rcc rId="1248" sId="8" numFmtId="4">
    <nc r="B57">
      <v>16</v>
    </nc>
  </rcc>
  <rcc rId="1249" sId="8" numFmtId="4">
    <nc r="C57">
      <v>73</v>
    </nc>
  </rcc>
  <rcc rId="1250" sId="8" numFmtId="4">
    <nc r="D57">
      <v>5</v>
    </nc>
  </rcc>
  <rcc rId="1251" sId="8" numFmtId="4">
    <nc r="E57">
      <v>9</v>
    </nc>
  </rcc>
  <rcc rId="1252" sId="8" numFmtId="4">
    <nc r="F57">
      <v>5</v>
    </nc>
  </rcc>
  <rcc rId="1253" sId="8" numFmtId="4">
    <nc r="G57">
      <v>3</v>
    </nc>
  </rcc>
  <rcc rId="1254" sId="8" numFmtId="4">
    <nc r="H57">
      <v>1</v>
    </nc>
  </rcc>
  <rcc rId="1255" sId="8" numFmtId="4">
    <nc r="B58">
      <v>16</v>
    </nc>
  </rcc>
  <rcc rId="1256" sId="8" numFmtId="4">
    <nc r="C58">
      <v>73</v>
    </nc>
  </rcc>
  <rcc rId="1257" sId="8" numFmtId="4">
    <nc r="D58">
      <v>4</v>
    </nc>
  </rcc>
  <rcc rId="1258" sId="8" numFmtId="4">
    <nc r="E58">
      <v>3</v>
    </nc>
  </rcc>
  <rcc rId="1259" sId="8" numFmtId="4">
    <nc r="F58">
      <v>7</v>
    </nc>
  </rcc>
  <rcc rId="1260" sId="8" numFmtId="4">
    <nc r="G58">
      <v>2</v>
    </nc>
  </rcc>
  <rcc rId="1261" sId="8" numFmtId="4">
    <nc r="H58">
      <v>3</v>
    </nc>
  </rcc>
  <rcc rId="1262" sId="8" numFmtId="4">
    <nc r="B59">
      <v>16</v>
    </nc>
  </rcc>
  <rcc rId="1263" sId="8" numFmtId="4">
    <nc r="C59">
      <v>73</v>
    </nc>
  </rcc>
  <rcc rId="1264" sId="8" numFmtId="4">
    <nc r="D59">
      <v>3</v>
    </nc>
  </rcc>
  <rcc rId="1265" sId="8" numFmtId="4">
    <nc r="E59">
      <v>5</v>
    </nc>
  </rcc>
  <rcc rId="1266" sId="8" numFmtId="4">
    <nc r="F59">
      <v>5</v>
    </nc>
  </rcc>
  <rcc rId="1267" sId="8" numFmtId="4">
    <nc r="G59">
      <v>5</v>
    </nc>
  </rcc>
  <rcc rId="1268" sId="8" numFmtId="4">
    <nc r="H59">
      <v>2</v>
    </nc>
  </rcc>
  <rcc rId="1269" sId="8" numFmtId="4">
    <nc r="B60">
      <v>16</v>
    </nc>
  </rcc>
  <rcc rId="1270" sId="8" numFmtId="4">
    <nc r="C60">
      <v>73</v>
    </nc>
  </rcc>
  <rcc rId="1271" sId="8" numFmtId="4">
    <nc r="D60">
      <v>2</v>
    </nc>
  </rcc>
  <rcc rId="1272" sId="8" numFmtId="4">
    <nc r="E60">
      <v>3</v>
    </nc>
  </rcc>
  <rcc rId="1273" sId="8" numFmtId="4">
    <nc r="F60">
      <v>3</v>
    </nc>
  </rcc>
  <rcc rId="1274" sId="8" numFmtId="4">
    <nc r="G60">
      <v>4</v>
    </nc>
  </rcc>
  <rcc rId="1275" sId="8" numFmtId="4">
    <nc r="H60">
      <v>1</v>
    </nc>
  </rcc>
  <rcc rId="1276" sId="8" numFmtId="4">
    <nc r="B61">
      <v>16</v>
    </nc>
  </rcc>
  <rcc rId="1277" sId="8" numFmtId="4">
    <nc r="C61">
      <v>73</v>
    </nc>
  </rcc>
  <rcc rId="1278" sId="8" numFmtId="4">
    <nc r="D61">
      <v>6</v>
    </nc>
  </rcc>
  <rcc rId="1279" sId="8" numFmtId="4">
    <nc r="E61">
      <v>9</v>
    </nc>
  </rcc>
  <rcc rId="1280" sId="8" numFmtId="4">
    <nc r="F61">
      <v>9</v>
    </nc>
  </rcc>
  <rcc rId="1281" sId="8" numFmtId="4">
    <nc r="G61">
      <v>2</v>
    </nc>
  </rcc>
  <rcc rId="1282" sId="8" numFmtId="4">
    <nc r="H61">
      <v>0</v>
    </nc>
  </rcc>
  <rcc rId="1283" sId="11">
    <oc r="I5" t="inlineStr">
      <is>
        <t>Portuguesa</t>
      </is>
    </oc>
    <nc r="I5" t="inlineStr">
      <is>
        <t>yaracuy</t>
      </is>
    </nc>
  </rcc>
  <rcc rId="1284" sId="11" numFmtId="4">
    <nc r="B12">
      <v>20</v>
    </nc>
  </rcc>
  <rcc rId="1285" sId="11" numFmtId="4">
    <nc r="C12">
      <v>96</v>
    </nc>
  </rcc>
  <rcc rId="1286" sId="11" numFmtId="4">
    <nc r="D12">
      <v>2</v>
    </nc>
  </rcc>
  <rcc rId="1287" sId="11" numFmtId="4">
    <nc r="E12">
      <v>0</v>
    </nc>
  </rcc>
  <rcc rId="1288" sId="11" numFmtId="4">
    <nc r="F12">
      <v>0</v>
    </nc>
  </rcc>
  <rcc rId="1289" sId="11" numFmtId="4">
    <nc r="G12">
      <v>0</v>
    </nc>
  </rcc>
  <rcc rId="1290" sId="11" numFmtId="4">
    <nc r="H12">
      <v>1</v>
    </nc>
  </rcc>
  <rcc rId="1291" sId="11" numFmtId="4">
    <nc r="B13">
      <v>20</v>
    </nc>
  </rcc>
  <rcc rId="1292" sId="11" numFmtId="4">
    <nc r="C13">
      <v>97</v>
    </nc>
  </rcc>
  <rcc rId="1293" sId="11" numFmtId="4">
    <nc r="D13">
      <v>4</v>
    </nc>
  </rcc>
  <rcc rId="1294" sId="11" numFmtId="4">
    <nc r="E13">
      <v>41</v>
    </nc>
  </rcc>
  <rcc rId="1295" sId="11" numFmtId="4">
    <nc r="F13">
      <v>16</v>
    </nc>
  </rcc>
  <rcc rId="1296" sId="11" numFmtId="4">
    <nc r="G13">
      <v>9</v>
    </nc>
  </rcc>
  <rcc rId="1297" sId="11" numFmtId="4">
    <nc r="H13">
      <v>0</v>
    </nc>
  </rcc>
  <rcc rId="1298" sId="11" numFmtId="4">
    <nc r="B14">
      <v>20</v>
    </nc>
  </rcc>
  <rcc rId="1299" sId="11" numFmtId="4">
    <nc r="C14">
      <v>97</v>
    </nc>
  </rcc>
  <rcc rId="1300" sId="11" numFmtId="4">
    <nc r="D14">
      <v>3</v>
    </nc>
  </rcc>
  <rcc rId="1301" sId="11" numFmtId="4">
    <nc r="E14">
      <v>30</v>
    </nc>
  </rcc>
  <rcc rId="1302" sId="11" numFmtId="4">
    <nc r="F14">
      <v>15</v>
    </nc>
  </rcc>
  <rcc rId="1303" sId="11" numFmtId="4">
    <nc r="G14">
      <v>16</v>
    </nc>
  </rcc>
  <rcc rId="1304" sId="11" numFmtId="4">
    <nc r="H14">
      <v>0</v>
    </nc>
  </rcc>
</revisions>
</file>

<file path=xl/revisions/revisionLog26.xml><?xml version="1.0" encoding="utf-8"?>
<revisions xmlns="http://schemas.openxmlformats.org/spreadsheetml/2006/main" xmlns:r="http://schemas.openxmlformats.org/officeDocument/2006/relationships">
  <rcc rId="1305" sId="5" numFmtId="4">
    <nc r="D123">
      <v>3</v>
    </nc>
  </rcc>
  <rcc rId="1306" sId="5" numFmtId="4">
    <nc r="E123">
      <v>16</v>
    </nc>
  </rcc>
  <rcc rId="1307" sId="5" numFmtId="4">
    <nc r="F123">
      <v>4</v>
    </nc>
  </rcc>
  <rcc rId="1308" sId="5" numFmtId="4">
    <nc r="G123">
      <v>2</v>
    </nc>
  </rcc>
  <rcc rId="1309" sId="5" numFmtId="4">
    <nc r="B124">
      <v>11</v>
    </nc>
  </rcc>
  <rcc rId="1310" sId="5" numFmtId="4">
    <nc r="C124">
      <v>23</v>
    </nc>
  </rcc>
  <rcc rId="1311" sId="5" numFmtId="4">
    <nc r="D124">
      <v>2</v>
    </nc>
  </rcc>
  <rcc rId="1312" sId="5" numFmtId="4">
    <nc r="E124">
      <v>12</v>
    </nc>
  </rcc>
  <rcc rId="1313" sId="5" numFmtId="4">
    <nc r="F124">
      <v>5</v>
    </nc>
  </rcc>
  <rcc rId="1314" sId="5" numFmtId="4">
    <nc r="G124">
      <v>8</v>
    </nc>
  </rcc>
  <rcc rId="1315" sId="5" numFmtId="4">
    <nc r="B125">
      <v>11</v>
    </nc>
  </rcc>
  <rcc rId="1316" sId="5" numFmtId="4">
    <nc r="C125">
      <v>23</v>
    </nc>
  </rcc>
  <rcc rId="1317" sId="5" numFmtId="4">
    <nc r="D125">
      <v>4</v>
    </nc>
  </rcc>
  <rcc rId="1318" sId="5" numFmtId="4">
    <nc r="E125">
      <v>21</v>
    </nc>
  </rcc>
  <rcc rId="1319" sId="5" numFmtId="4">
    <nc r="F125">
      <v>0</v>
    </nc>
  </rcc>
  <rcc rId="1320" sId="5" numFmtId="4">
    <nc r="G125">
      <v>5</v>
    </nc>
  </rcc>
  <rcc rId="1321" sId="5" numFmtId="4">
    <nc r="B126">
      <v>11</v>
    </nc>
  </rcc>
  <rcc rId="1322" sId="5" numFmtId="4">
    <nc r="C126">
      <v>57</v>
    </nc>
  </rcc>
  <rcc rId="1323" sId="5" numFmtId="4">
    <nc r="D126">
      <v>1</v>
    </nc>
  </rcc>
  <rcc rId="1324" sId="5" numFmtId="4">
    <nc r="E126">
      <v>9</v>
    </nc>
  </rcc>
  <rcc rId="1325" sId="5" numFmtId="4">
    <nc r="F126">
      <v>2</v>
    </nc>
  </rcc>
  <rcc rId="1326" sId="5" numFmtId="4">
    <nc r="G126">
      <v>0</v>
    </nc>
  </rcc>
  <rcc rId="1327" sId="5" numFmtId="4">
    <nc r="B127">
      <v>11</v>
    </nc>
  </rcc>
  <rcc rId="1328" sId="5" numFmtId="4">
    <nc r="C127">
      <v>29</v>
    </nc>
  </rcc>
  <rcc rId="1329" sId="5" numFmtId="4">
    <nc r="D127">
      <v>6</v>
    </nc>
  </rcc>
  <rcc rId="1330" sId="5" numFmtId="4">
    <nc r="E127">
      <v>27</v>
    </nc>
  </rcc>
  <rcc rId="1331" sId="5" numFmtId="4">
    <nc r="F127">
      <v>4</v>
    </nc>
  </rcc>
  <rcc rId="1332" sId="5" numFmtId="4">
    <nc r="G127">
      <v>0</v>
    </nc>
  </rcc>
  <rcc rId="1333" sId="5" numFmtId="4">
    <nc r="B128">
      <v>11</v>
    </nc>
  </rcc>
  <rcc rId="1334" sId="5" numFmtId="4">
    <nc r="C128">
      <v>29</v>
    </nc>
  </rcc>
  <rcc rId="1335" sId="5" numFmtId="4">
    <nc r="D128">
      <v>5</v>
    </nc>
  </rcc>
  <rcc rId="1336" sId="5" numFmtId="4">
    <nc r="E128">
      <v>25</v>
    </nc>
  </rcc>
  <rcc rId="1337" sId="5" numFmtId="4">
    <nc r="F128">
      <v>5</v>
    </nc>
  </rcc>
  <rcc rId="1338" sId="5" numFmtId="4">
    <nc r="G128">
      <v>0</v>
    </nc>
  </rcc>
  <rcc rId="1339" sId="5" numFmtId="4">
    <nc r="B129">
      <v>11</v>
    </nc>
  </rcc>
  <rcc rId="1340" sId="5" numFmtId="4">
    <nc r="C129">
      <v>29</v>
    </nc>
  </rcc>
  <rcc rId="1341" sId="5" numFmtId="4">
    <nc r="D129">
      <v>4</v>
    </nc>
  </rcc>
  <rcc rId="1342" sId="5" numFmtId="4">
    <nc r="E129">
      <v>19</v>
    </nc>
  </rcc>
  <rcc rId="1343" sId="5" numFmtId="4">
    <nc r="F129">
      <v>4</v>
    </nc>
  </rcc>
  <rcc rId="1344" sId="5" numFmtId="4">
    <nc r="G129">
      <v>2</v>
    </nc>
  </rcc>
  <rcc rId="1345" sId="5" numFmtId="4">
    <nc r="B130">
      <v>11</v>
    </nc>
  </rcc>
  <rcc rId="1346" sId="5" numFmtId="4">
    <nc r="C130">
      <v>57</v>
    </nc>
  </rcc>
  <rcc rId="1347" sId="5" numFmtId="4">
    <nc r="D130">
      <v>4</v>
    </nc>
  </rcc>
  <rcc rId="1348" sId="5" numFmtId="4">
    <nc r="E130">
      <v>11</v>
    </nc>
  </rcc>
  <rcc rId="1349" sId="5" numFmtId="4">
    <nc r="F130">
      <v>0</v>
    </nc>
  </rcc>
  <rcc rId="1350" sId="5" numFmtId="4">
    <nc r="G130">
      <v>0</v>
    </nc>
  </rcc>
  <rcc rId="1351" sId="5" numFmtId="4">
    <nc r="B131">
      <v>11</v>
    </nc>
  </rcc>
  <rcc rId="1352" sId="5" numFmtId="4">
    <nc r="C131">
      <v>57</v>
    </nc>
  </rcc>
  <rcc rId="1353" sId="5" numFmtId="4">
    <nc r="D131">
      <v>3</v>
    </nc>
  </rcc>
  <rcc rId="1354" sId="5" numFmtId="4">
    <nc r="E131">
      <v>7</v>
    </nc>
  </rcc>
  <rcc rId="1355" sId="5" numFmtId="4">
    <nc r="F131">
      <v>0</v>
    </nc>
  </rcc>
  <rcc rId="1356" sId="5" numFmtId="4">
    <nc r="G131">
      <v>0</v>
    </nc>
  </rcc>
  <rcc rId="1357" sId="5" numFmtId="4">
    <nc r="B132">
      <v>11</v>
    </nc>
  </rcc>
  <rcc rId="1358" sId="5" numFmtId="4">
    <nc r="C132">
      <v>57</v>
    </nc>
  </rcc>
  <rcc rId="1359" sId="5" numFmtId="4">
    <nc r="D132">
      <v>2</v>
    </nc>
  </rcc>
  <rcc rId="1360" sId="5" numFmtId="4">
    <nc r="E132">
      <v>17</v>
    </nc>
  </rcc>
  <rcc rId="1361" sId="5" numFmtId="4">
    <nc r="F132">
      <v>3</v>
    </nc>
  </rcc>
  <rcc rId="1362" sId="5" numFmtId="4">
    <nc r="G132">
      <v>0</v>
    </nc>
  </rcc>
  <rcc rId="1363" sId="5" numFmtId="4">
    <nc r="B133">
      <v>11</v>
    </nc>
  </rcc>
  <rcc rId="1364" sId="5" numFmtId="4">
    <nc r="C133">
      <v>57</v>
    </nc>
  </rcc>
  <rcc rId="1365" sId="5" numFmtId="4">
    <nc r="D133">
      <v>5</v>
    </nc>
  </rcc>
  <rcc rId="1366" sId="5" numFmtId="4">
    <nc r="E133">
      <v>13</v>
    </nc>
  </rcc>
  <rcc rId="1367" sId="5" numFmtId="4">
    <nc r="F133">
      <v>8</v>
    </nc>
  </rcc>
  <rcc rId="1368" sId="5" numFmtId="4">
    <nc r="G133">
      <v>0</v>
    </nc>
  </rcc>
  <rcc rId="1369" sId="2" numFmtId="4">
    <nc r="B42">
      <v>9</v>
    </nc>
  </rcc>
  <rcc rId="1370" sId="2" numFmtId="4">
    <nc r="C42">
      <v>16</v>
    </nc>
  </rcc>
  <rcc rId="1371" sId="2" numFmtId="4">
    <nc r="D42">
      <v>2</v>
    </nc>
  </rcc>
  <rcc rId="1372" sId="2" numFmtId="4">
    <nc r="E42">
      <v>27</v>
    </nc>
  </rcc>
  <rcc rId="1373" sId="2" numFmtId="4">
    <nc r="F42">
      <v>32</v>
    </nc>
  </rcc>
  <rcc rId="1374" sId="2" numFmtId="4">
    <nc r="G42">
      <v>0</v>
    </nc>
  </rcc>
  <rcc rId="1375" sId="2" numFmtId="4">
    <nc r="B43">
      <v>9</v>
    </nc>
  </rcc>
  <rcc rId="1376" sId="2" numFmtId="4">
    <nc r="C43">
      <v>9</v>
    </nc>
  </rcc>
  <rcc rId="1377" sId="2" numFmtId="4">
    <nc r="D43">
      <v>4</v>
    </nc>
  </rcc>
  <rcc rId="1378" sId="2" numFmtId="4">
    <nc r="E43">
      <v>4</v>
    </nc>
  </rcc>
  <rcc rId="1379" sId="2" numFmtId="4">
    <nc r="F43">
      <v>5</v>
    </nc>
  </rcc>
  <rcc rId="1380" sId="2" numFmtId="4">
    <nc r="G43">
      <v>0</v>
    </nc>
  </rcc>
</revisions>
</file>

<file path=xl/revisions/revisionLog27.xml><?xml version="1.0" encoding="utf-8"?>
<revisions xmlns="http://schemas.openxmlformats.org/spreadsheetml/2006/main" xmlns:r="http://schemas.openxmlformats.org/officeDocument/2006/relationships">
  <rcc rId="1381" sId="8" numFmtId="4">
    <nc r="B62">
      <v>16</v>
    </nc>
  </rcc>
  <rcc rId="1382" sId="8" numFmtId="4">
    <nc r="C62">
      <v>81</v>
    </nc>
  </rcc>
  <rcc rId="1383" sId="8" numFmtId="4">
    <nc r="D62">
      <v>5</v>
    </nc>
  </rcc>
  <rcc rId="1384" sId="8" numFmtId="4">
    <nc r="E62">
      <v>8</v>
    </nc>
  </rcc>
  <rcc rId="1385" sId="8" numFmtId="4">
    <nc r="F62">
      <v>6</v>
    </nc>
  </rcc>
  <rcc rId="1386" sId="8" numFmtId="4">
    <nc r="G62">
      <v>9</v>
    </nc>
  </rcc>
  <rcc rId="1387" sId="8" numFmtId="4">
    <nc r="H62">
      <v>4</v>
    </nc>
  </rcc>
  <rcc rId="1388" sId="8" numFmtId="4">
    <nc r="B63">
      <v>16</v>
    </nc>
  </rcc>
  <rcc rId="1389" sId="8" numFmtId="4">
    <nc r="C63">
      <v>81</v>
    </nc>
  </rcc>
  <rcc rId="1390" sId="8" numFmtId="4">
    <nc r="D63">
      <v>4</v>
    </nc>
  </rcc>
  <rcc rId="1391" sId="8" numFmtId="4">
    <nc r="E63">
      <v>10</v>
    </nc>
  </rcc>
  <rcc rId="1392" sId="8" numFmtId="4">
    <nc r="F63">
      <v>5</v>
    </nc>
  </rcc>
  <rcc rId="1393" sId="8" numFmtId="4">
    <nc r="G63">
      <v>6</v>
    </nc>
  </rcc>
  <rcc rId="1394" sId="8" numFmtId="4">
    <nc r="H63">
      <v>1</v>
    </nc>
  </rcc>
  <rcc rId="1395" sId="11">
    <oc r="I5" t="inlineStr">
      <is>
        <t>yaracuy</t>
      </is>
    </oc>
    <nc r="I5" t="inlineStr">
      <is>
        <t>Portuguesa</t>
      </is>
    </nc>
  </rcc>
  <rcc rId="1396" sId="11" numFmtId="4">
    <nc r="B15">
      <v>20</v>
    </nc>
  </rcc>
  <rcc rId="1397" sId="11" numFmtId="4">
    <nc r="D15">
      <v>1</v>
    </nc>
  </rcc>
  <rcc rId="1398" sId="11" numFmtId="4">
    <nc r="E15">
      <v>15</v>
    </nc>
  </rcc>
  <rcc rId="1399" sId="11" numFmtId="4">
    <nc r="F15">
      <v>6</v>
    </nc>
  </rcc>
  <rcc rId="1400" sId="11" numFmtId="4">
    <nc r="G15">
      <v>3</v>
    </nc>
  </rcc>
  <rcc rId="1401" sId="11" numFmtId="4">
    <nc r="H15">
      <v>0</v>
    </nc>
  </rcc>
  <rcc rId="1402" sId="8" numFmtId="4">
    <nc r="B64">
      <v>16</v>
    </nc>
  </rcc>
  <rcc rId="1403" sId="8" numFmtId="4">
    <nc r="C64">
      <v>78</v>
    </nc>
  </rcc>
  <rcc rId="1404" sId="8" numFmtId="4">
    <nc r="D64">
      <v>4</v>
    </nc>
  </rcc>
  <rcc rId="1405" sId="8" numFmtId="4">
    <nc r="E64">
      <v>17</v>
    </nc>
  </rcc>
  <rcc rId="1406" sId="8" numFmtId="4">
    <nc r="F64">
      <v>4</v>
    </nc>
  </rcc>
  <rcc rId="1407" sId="8" numFmtId="4">
    <nc r="G64">
      <v>2</v>
    </nc>
  </rcc>
  <rcc rId="1408" sId="8" numFmtId="4">
    <nc r="H64">
      <v>0</v>
    </nc>
  </rcc>
  <rcc rId="1409" sId="8" numFmtId="4">
    <nc r="B65">
      <v>16</v>
    </nc>
  </rcc>
  <rcc rId="1410" sId="8" numFmtId="4">
    <nc r="C65">
      <v>78</v>
    </nc>
  </rcc>
  <rcc rId="1411" sId="8" numFmtId="4">
    <nc r="D65">
      <v>5</v>
    </nc>
  </rcc>
  <rcc rId="1412" sId="8" numFmtId="4">
    <nc r="E65">
      <v>14</v>
    </nc>
  </rcc>
  <rcc rId="1413" sId="8" numFmtId="4">
    <nc r="F65">
      <v>7</v>
    </nc>
  </rcc>
  <rcc rId="1414" sId="8" numFmtId="4">
    <nc r="G65">
      <v>4</v>
    </nc>
  </rcc>
  <rcc rId="1415" sId="8" numFmtId="4">
    <nc r="H65">
      <v>0</v>
    </nc>
  </rcc>
  <rcc rId="1416" sId="11" numFmtId="4">
    <nc r="C15">
      <v>87</v>
    </nc>
  </rcc>
  <rcc rId="1417" sId="11" numFmtId="4">
    <nc r="B16">
      <v>20</v>
    </nc>
  </rcc>
  <rcc rId="1418" sId="11" numFmtId="4">
    <nc r="C16">
      <v>86</v>
    </nc>
  </rcc>
  <rcc rId="1419" sId="11" numFmtId="4">
    <nc r="D16">
      <v>12</v>
    </nc>
  </rcc>
</revisions>
</file>

<file path=xl/revisions/revisionLog28.xml><?xml version="1.0" encoding="utf-8"?>
<revisions xmlns="http://schemas.openxmlformats.org/spreadsheetml/2006/main" xmlns:r="http://schemas.openxmlformats.org/officeDocument/2006/relationships">
  <rcc rId="1420" sId="5" numFmtId="4">
    <nc r="B134">
      <v>11</v>
    </nc>
  </rcc>
  <rcc rId="1421" sId="5" numFmtId="4">
    <nc r="C134">
      <v>53</v>
    </nc>
  </rcc>
  <rcc rId="1422" sId="5" numFmtId="4">
    <nc r="D134">
      <v>4</v>
    </nc>
  </rcc>
  <rcc rId="1423" sId="5" numFmtId="4">
    <nc r="E134">
      <v>25</v>
    </nc>
  </rcc>
  <rcc rId="1424" sId="5" numFmtId="4">
    <nc r="F134">
      <v>0</v>
    </nc>
  </rcc>
  <rcc rId="1425" sId="5" numFmtId="4">
    <nc r="G134">
      <v>0</v>
    </nc>
  </rcc>
  <rcc rId="1426" sId="5" numFmtId="4">
    <nc r="B135">
      <v>11</v>
    </nc>
  </rcc>
  <rcc rId="1427" sId="5" numFmtId="4">
    <nc r="C135">
      <v>53</v>
    </nc>
  </rcc>
  <rcc rId="1428" sId="5" numFmtId="4">
    <nc r="D135">
      <v>3</v>
    </nc>
  </rcc>
  <rcc rId="1429" sId="5" numFmtId="4">
    <nc r="E135">
      <v>32</v>
    </nc>
  </rcc>
  <rcc rId="1430" sId="5" numFmtId="4">
    <nc r="F135">
      <v>0</v>
    </nc>
  </rcc>
  <rcc rId="1431" sId="5" numFmtId="4">
    <nc r="G135">
      <v>2</v>
    </nc>
  </rcc>
  <rcc rId="1432" sId="5" numFmtId="4">
    <nc r="B136">
      <v>11</v>
    </nc>
  </rcc>
  <rcc rId="1433" sId="5" numFmtId="4">
    <nc r="C136">
      <v>39</v>
    </nc>
  </rcc>
  <rcc rId="1434" sId="5" numFmtId="4">
    <nc r="D136">
      <v>5</v>
    </nc>
  </rcc>
  <rcc rId="1435" sId="5" numFmtId="4">
    <nc r="E136">
      <v>11</v>
    </nc>
  </rcc>
  <rcc rId="1436" sId="5" numFmtId="4">
    <nc r="F136">
      <v>5</v>
    </nc>
  </rcc>
  <rcc rId="1437" sId="5" numFmtId="4">
    <nc r="G136">
      <v>9</v>
    </nc>
  </rcc>
  <rcc rId="1438" sId="5" numFmtId="4">
    <nc r="B137">
      <v>11</v>
    </nc>
  </rcc>
  <rcc rId="1439" sId="5" numFmtId="4">
    <nc r="C137">
      <v>39</v>
    </nc>
  </rcc>
  <rcc rId="1440" sId="5" numFmtId="4">
    <nc r="D137">
      <v>4</v>
    </nc>
  </rcc>
  <rcc rId="1441" sId="5" numFmtId="4">
    <nc r="E137">
      <v>13</v>
    </nc>
  </rcc>
  <rcc rId="1442" sId="5" numFmtId="4">
    <nc r="F137">
      <v>8</v>
    </nc>
  </rcc>
  <rcc rId="1443" sId="5" numFmtId="4">
    <nc r="G137">
      <v>4</v>
    </nc>
  </rcc>
  <rcc rId="1444" sId="5" numFmtId="4">
    <nc r="B138">
      <v>11</v>
    </nc>
  </rcc>
  <rcc rId="1445" sId="5" numFmtId="4">
    <nc r="C138">
      <v>39</v>
    </nc>
  </rcc>
  <rcc rId="1446" sId="5" numFmtId="4">
    <nc r="D138">
      <v>3</v>
    </nc>
  </rcc>
  <rcc rId="1447" sId="5" numFmtId="4">
    <nc r="E138">
      <v>15</v>
    </nc>
  </rcc>
  <rcc rId="1448" sId="5" numFmtId="4">
    <nc r="F138">
      <v>7</v>
    </nc>
  </rcc>
  <rcc rId="1449" sId="5" numFmtId="4">
    <nc r="G138">
      <v>3</v>
    </nc>
  </rcc>
  <rcc rId="1450" sId="5" numFmtId="4">
    <nc r="B139">
      <v>11</v>
    </nc>
  </rcc>
  <rcc rId="1451" sId="5" numFmtId="4">
    <nc r="C139">
      <v>51</v>
    </nc>
  </rcc>
  <rcc rId="1452" sId="5" numFmtId="4">
    <nc r="D139">
      <v>5</v>
    </nc>
  </rcc>
  <rcc rId="1453" sId="5" numFmtId="4">
    <nc r="E139">
      <v>2</v>
    </nc>
  </rcc>
  <rcc rId="1454" sId="5" numFmtId="4">
    <nc r="F139">
      <v>0</v>
    </nc>
  </rcc>
  <rcc rId="1455" sId="5" numFmtId="4">
    <nc r="G139">
      <v>0</v>
    </nc>
  </rcc>
  <rcc rId="1456" sId="5" numFmtId="4">
    <nc r="B140">
      <v>11</v>
    </nc>
  </rcc>
  <rcc rId="1457" sId="5" numFmtId="4">
    <nc r="C140">
      <v>33</v>
    </nc>
  </rcc>
  <rcc rId="1458" sId="5" numFmtId="4">
    <nc r="D140">
      <v>3</v>
    </nc>
  </rcc>
  <rcc rId="1459" sId="5" numFmtId="4">
    <nc r="E140">
      <v>25</v>
    </nc>
  </rcc>
  <rcc rId="1460" sId="5" numFmtId="4">
    <nc r="F140">
      <v>3</v>
    </nc>
  </rcc>
  <rcc rId="1461" sId="5" numFmtId="4">
    <nc r="G140">
      <v>0</v>
    </nc>
  </rcc>
  <rcc rId="1462" sId="5" numFmtId="4">
    <nc r="B141">
      <v>11</v>
    </nc>
  </rcc>
  <rcc rId="1463" sId="5" numFmtId="4">
    <nc r="C141">
      <v>33</v>
    </nc>
  </rcc>
  <rcc rId="1464" sId="5" numFmtId="4">
    <nc r="D141">
      <v>2</v>
    </nc>
  </rcc>
  <rcc rId="1465" sId="5" numFmtId="4">
    <nc r="E141">
      <v>17</v>
    </nc>
  </rcc>
  <rcc rId="1466" sId="5" numFmtId="4">
    <nc r="F141">
      <v>3</v>
    </nc>
  </rcc>
  <rcc rId="1467" sId="5" numFmtId="4">
    <nc r="G141">
      <v>5</v>
    </nc>
  </rcc>
  <rcc rId="1468" sId="5" numFmtId="4">
    <nc r="B142">
      <v>11</v>
    </nc>
  </rcc>
  <rcc rId="1469" sId="5" numFmtId="4">
    <nc r="C142">
      <v>51</v>
    </nc>
  </rcc>
  <rcc rId="1470" sId="5" numFmtId="4">
    <nc r="D142">
      <v>4</v>
    </nc>
  </rcc>
  <rcc rId="1471" sId="5" numFmtId="4">
    <nc r="E142">
      <v>6</v>
    </nc>
  </rcc>
  <rcc rId="1472" sId="5" numFmtId="4">
    <nc r="F142">
      <v>1</v>
    </nc>
  </rcc>
  <rcc rId="1473" sId="5" numFmtId="4">
    <nc r="G142">
      <v>0</v>
    </nc>
  </rcc>
  <rcc rId="1474" sId="5" numFmtId="4">
    <nc r="B143">
      <v>11</v>
    </nc>
  </rcc>
  <rcc rId="1475" sId="5" numFmtId="4">
    <nc r="C143">
      <v>51</v>
    </nc>
  </rcc>
  <rcc rId="1476" sId="5" numFmtId="4">
    <nc r="D143">
      <v>3</v>
    </nc>
  </rcc>
  <rcc rId="1477" sId="5" numFmtId="4">
    <nc r="E143">
      <v>3</v>
    </nc>
  </rcc>
  <rcc rId="1478" sId="5" numFmtId="4">
    <nc r="F143">
      <v>0</v>
    </nc>
  </rcc>
  <rcc rId="1479" sId="5" numFmtId="4">
    <nc r="G143">
      <v>0</v>
    </nc>
  </rcc>
  <rcc rId="1480" sId="5" numFmtId="4">
    <nc r="B144">
      <v>11</v>
    </nc>
  </rcc>
  <rcc rId="1481" sId="5" numFmtId="4">
    <nc r="C144">
      <v>58</v>
    </nc>
  </rcc>
  <rcc rId="1482" sId="5" numFmtId="4">
    <nc r="D144">
      <v>5</v>
    </nc>
  </rcc>
  <rcc rId="1483" sId="5" numFmtId="4">
    <nc r="E144">
      <v>14</v>
    </nc>
  </rcc>
  <rcc rId="1484" sId="5" numFmtId="4">
    <nc r="F144">
      <v>10</v>
    </nc>
  </rcc>
  <rcc rId="1485" sId="5" numFmtId="4">
    <nc r="G144">
      <v>4</v>
    </nc>
  </rcc>
  <rcc rId="1486" sId="5" numFmtId="4">
    <nc r="B145">
      <v>11</v>
    </nc>
  </rcc>
  <rcc rId="1487" sId="5" numFmtId="4">
    <nc r="C145">
      <v>45</v>
    </nc>
  </rcc>
  <rcc rId="1488" sId="5" numFmtId="4">
    <nc r="D145">
      <v>5</v>
    </nc>
  </rcc>
  <rcc rId="1489" sId="5" numFmtId="4">
    <nc r="E145">
      <v>7</v>
    </nc>
  </rcc>
  <rcc rId="1490" sId="5" numFmtId="4">
    <nc r="F145">
      <v>17</v>
    </nc>
  </rcc>
  <rcc rId="1491" sId="5" numFmtId="4">
    <nc r="G145">
      <v>3</v>
    </nc>
  </rcc>
  <rcc rId="1492" sId="5" numFmtId="4">
    <nc r="B146">
      <v>11</v>
    </nc>
  </rcc>
  <rcc rId="1493" sId="5" numFmtId="4">
    <nc r="C146">
      <v>45</v>
    </nc>
  </rcc>
  <rcc rId="1494" sId="5" numFmtId="4">
    <nc r="D146">
      <v>4</v>
    </nc>
  </rcc>
  <rcc rId="1495" sId="5" numFmtId="4">
    <nc r="E146">
      <v>11</v>
    </nc>
  </rcc>
  <rcc rId="1496" sId="5" numFmtId="4">
    <nc r="F146">
      <v>27</v>
    </nc>
  </rcc>
  <rcc rId="1497" sId="5" numFmtId="4">
    <nc r="G146">
      <v>5</v>
    </nc>
  </rcc>
  <rcc rId="1498" sId="5" numFmtId="4">
    <nc r="B147">
      <v>11</v>
    </nc>
  </rcc>
  <rcc rId="1499" sId="5" numFmtId="4">
    <nc r="C147">
      <v>58</v>
    </nc>
  </rcc>
  <rcc rId="1500" sId="5" numFmtId="4">
    <nc r="D147">
      <v>4</v>
    </nc>
  </rcc>
  <rcc rId="1501" sId="5" numFmtId="4">
    <nc r="E147">
      <v>10</v>
    </nc>
  </rcc>
  <rcc rId="1502" sId="5" numFmtId="4">
    <nc r="F147">
      <v>7</v>
    </nc>
  </rcc>
  <rcc rId="1503" sId="5" numFmtId="4">
    <nc r="G147">
      <v>2</v>
    </nc>
  </rcc>
  <rcc rId="1504" sId="5" numFmtId="4">
    <nc r="B148">
      <v>11</v>
    </nc>
  </rcc>
  <rcc rId="1505" sId="5" numFmtId="4">
    <nc r="C148">
      <v>32</v>
    </nc>
  </rcc>
  <rcc rId="1506" sId="5" numFmtId="4">
    <nc r="D148">
      <v>4</v>
    </nc>
  </rcc>
  <rcc rId="1507" sId="5" numFmtId="4">
    <nc r="E148">
      <v>15</v>
    </nc>
  </rcc>
  <rcc rId="1508" sId="5" numFmtId="4">
    <nc r="F148">
      <v>3</v>
    </nc>
  </rcc>
  <rcc rId="1509" sId="5" numFmtId="4">
    <nc r="G148">
      <v>1</v>
    </nc>
  </rcc>
  <rcc rId="1510" sId="5" numFmtId="4">
    <nc r="B149">
      <v>11</v>
    </nc>
  </rcc>
  <rcc rId="1511" sId="5" numFmtId="4">
    <nc r="C149">
      <v>32</v>
    </nc>
  </rcc>
  <rcc rId="1512" sId="5" numFmtId="4">
    <nc r="D149">
      <v>5</v>
    </nc>
  </rcc>
  <rcc rId="1513" sId="5" numFmtId="4">
    <nc r="E149">
      <v>15</v>
    </nc>
  </rcc>
  <rcc rId="1514" sId="5" numFmtId="4">
    <nc r="F149">
      <v>0</v>
    </nc>
  </rcc>
  <rcc rId="1515" sId="5" numFmtId="4">
    <nc r="G149">
      <v>0</v>
    </nc>
  </rcc>
  <rcc rId="1516" sId="5" numFmtId="4">
    <nc r="B150">
      <v>11</v>
    </nc>
  </rcc>
  <rcc rId="1517" sId="5" numFmtId="4">
    <nc r="C150">
      <v>58</v>
    </nc>
  </rcc>
  <rcc rId="1518" sId="5" numFmtId="4">
    <nc r="D150">
      <v>3</v>
    </nc>
  </rcc>
  <rcc rId="1519" sId="5" numFmtId="4">
    <nc r="E150">
      <v>21</v>
    </nc>
  </rcc>
  <rcc rId="1520" sId="5" numFmtId="4">
    <nc r="F150">
      <v>22</v>
    </nc>
  </rcc>
  <rcc rId="1521" sId="5" numFmtId="4">
    <nc r="G150">
      <v>8</v>
    </nc>
  </rcc>
  <rcc rId="1522" sId="5" numFmtId="4">
    <nc r="B151">
      <v>11</v>
    </nc>
  </rcc>
  <rcc rId="1523" sId="5" numFmtId="4">
    <nc r="C151">
      <v>58</v>
    </nc>
  </rcc>
  <rcc rId="1524" sId="5" numFmtId="4">
    <nc r="D151">
      <v>2</v>
    </nc>
  </rcc>
  <rcc rId="1525" sId="5" numFmtId="4">
    <nc r="E151">
      <v>19</v>
    </nc>
  </rcc>
  <rcc rId="1526" sId="5" numFmtId="4">
    <nc r="F151">
      <v>3</v>
    </nc>
  </rcc>
  <rcc rId="1527" sId="5" numFmtId="4">
    <nc r="G151">
      <v>6</v>
    </nc>
  </rcc>
  <rcc rId="1528" sId="5" numFmtId="4">
    <nc r="B152">
      <v>11</v>
    </nc>
  </rcc>
  <rcc rId="1529" sId="5" numFmtId="4">
    <nc r="C152">
      <v>61</v>
    </nc>
  </rcc>
  <rcc rId="1530" sId="5" numFmtId="4">
    <nc r="D152">
      <v>2</v>
    </nc>
  </rcc>
  <rcc rId="1531" sId="5" numFmtId="4">
    <nc r="E152">
      <v>14</v>
    </nc>
  </rcc>
  <rcc rId="1532" sId="5" numFmtId="4">
    <nc r="F152">
      <v>5</v>
    </nc>
  </rcc>
  <rcc rId="1533" sId="5" numFmtId="4">
    <nc r="G152">
      <v>2</v>
    </nc>
  </rcc>
  <rcc rId="1534" sId="5" numFmtId="4">
    <nc r="B153">
      <v>11</v>
    </nc>
  </rcc>
  <rcc rId="1535" sId="5" numFmtId="4">
    <nc r="C153">
      <v>47</v>
    </nc>
  </rcc>
  <rcc rId="1536" sId="5" numFmtId="4">
    <nc r="D153">
      <v>4</v>
    </nc>
  </rcc>
  <rcc rId="1537" sId="5" numFmtId="4">
    <nc r="E153">
      <v>18</v>
    </nc>
  </rcc>
  <rcc rId="1538" sId="5" numFmtId="4">
    <nc r="F153">
      <v>2</v>
    </nc>
  </rcc>
  <rcc rId="1539" sId="5" numFmtId="4">
    <nc r="G153">
      <v>3</v>
    </nc>
  </rcc>
</revisions>
</file>

<file path=xl/revisions/revisionLog29.xml><?xml version="1.0" encoding="utf-8"?>
<revisions xmlns="http://schemas.openxmlformats.org/spreadsheetml/2006/main" xmlns:r="http://schemas.openxmlformats.org/officeDocument/2006/relationships">
  <rcc rId="1540" sId="11" numFmtId="4">
    <oc r="D16">
      <v>12</v>
    </oc>
    <nc r="D16">
      <v>1</v>
    </nc>
  </rcc>
  <rcc rId="1541" sId="11" numFmtId="4">
    <nc r="E16">
      <v>12</v>
    </nc>
  </rcc>
  <rcc rId="1542" sId="11" numFmtId="4">
    <nc r="F16">
      <v>6</v>
    </nc>
  </rcc>
  <rcc rId="1543" sId="11" numFmtId="4">
    <nc r="G16">
      <v>2</v>
    </nc>
  </rcc>
  <rcc rId="1544" sId="11" numFmtId="4">
    <nc r="H16">
      <v>0</v>
    </nc>
  </rcc>
  <rcc rId="1545" sId="8" numFmtId="4">
    <nc r="B66">
      <v>16</v>
    </nc>
  </rcc>
  <rcc rId="1546" sId="8" numFmtId="4">
    <nc r="C66">
      <v>76</v>
    </nc>
  </rcc>
  <rcc rId="1547" sId="8" numFmtId="4">
    <nc r="D66">
      <v>5</v>
    </nc>
  </rcc>
  <rcc rId="1548" sId="8" numFmtId="4">
    <nc r="E66">
      <v>3</v>
    </nc>
  </rcc>
  <rcc rId="1549" sId="8" numFmtId="4">
    <nc r="F66">
      <v>1</v>
    </nc>
  </rcc>
  <rcc rId="1550" sId="8" numFmtId="4">
    <nc r="H66">
      <v>0</v>
    </nc>
  </rcc>
  <rcc rId="1551" sId="8" numFmtId="4">
    <nc r="G66">
      <v>0</v>
    </nc>
  </rcc>
  <rcc rId="1552" sId="8" numFmtId="4">
    <nc r="B67">
      <v>16</v>
    </nc>
  </rcc>
  <rcc rId="1553" sId="8" numFmtId="4">
    <nc r="C67">
      <v>76</v>
    </nc>
  </rcc>
  <rcc rId="1554" sId="8" numFmtId="4">
    <nc r="D67">
      <v>4</v>
    </nc>
  </rcc>
  <rcc rId="1555" sId="8" numFmtId="4">
    <nc r="E67">
      <v>4</v>
    </nc>
  </rcc>
  <rcc rId="1556" sId="8" numFmtId="4">
    <nc r="F67">
      <v>2</v>
    </nc>
  </rcc>
  <rcc rId="1557" sId="8" numFmtId="4">
    <nc r="G67">
      <v>2</v>
    </nc>
  </rcc>
  <rcc rId="1558" sId="8" numFmtId="4">
    <nc r="H67">
      <v>0</v>
    </nc>
  </rcc>
  <rcc rId="1559" sId="8" numFmtId="4">
    <nc r="B68">
      <v>16</v>
    </nc>
  </rcc>
  <rcc rId="1560" sId="8" numFmtId="4">
    <nc r="C68">
      <v>69</v>
    </nc>
  </rcc>
  <rcc rId="1561" sId="8" numFmtId="4">
    <nc r="D68">
      <v>5</v>
    </nc>
  </rcc>
  <rcc rId="1562" sId="8" numFmtId="4">
    <nc r="E68">
      <v>10</v>
    </nc>
  </rcc>
  <rcc rId="1563" sId="8" numFmtId="4">
    <nc r="F68">
      <v>2</v>
    </nc>
  </rcc>
  <rcc rId="1564" sId="8" numFmtId="4">
    <nc r="G68">
      <v>12</v>
    </nc>
  </rcc>
  <rcc rId="1565" sId="8" numFmtId="4">
    <nc r="H68">
      <v>2</v>
    </nc>
  </rcc>
  <rcc rId="1566" sId="8" numFmtId="4">
    <nc r="B69">
      <v>16</v>
    </nc>
  </rcc>
  <rcc rId="1567" sId="8" numFmtId="4">
    <nc r="C69">
      <v>69</v>
    </nc>
  </rcc>
  <rcc rId="1568" sId="8" numFmtId="4">
    <nc r="D69">
      <v>5</v>
    </nc>
  </rcc>
  <rcc rId="1569" sId="8" numFmtId="4">
    <nc r="E69">
      <v>4</v>
    </nc>
  </rcc>
  <rcc rId="1570" sId="8" numFmtId="4">
    <nc r="F69">
      <v>5</v>
    </nc>
  </rcc>
  <rcc rId="1571" sId="8" numFmtId="4">
    <nc r="G69">
      <v>3</v>
    </nc>
  </rcc>
  <rcc rId="1572" sId="8" numFmtId="4">
    <nc r="H69">
      <v>0</v>
    </nc>
  </rcc>
</revisions>
</file>

<file path=xl/revisions/revisionLog30.xml><?xml version="1.0" encoding="utf-8"?>
<revisions xmlns="http://schemas.openxmlformats.org/spreadsheetml/2006/main" xmlns:r="http://schemas.openxmlformats.org/officeDocument/2006/relationships">
  <rcc rId="1573" sId="5" numFmtId="4">
    <nc r="B154">
      <v>11</v>
    </nc>
  </rcc>
  <rcc rId="1574" sId="5" numFmtId="4">
    <nc r="C154">
      <v>47</v>
    </nc>
  </rcc>
  <rcc rId="1575" sId="5" numFmtId="4">
    <nc r="D154">
      <v>3</v>
    </nc>
  </rcc>
  <rcc rId="1576" sId="5" numFmtId="4">
    <nc r="E154">
      <v>11</v>
    </nc>
  </rcc>
  <rcc rId="1577" sId="5" numFmtId="4">
    <nc r="F154">
      <v>1</v>
    </nc>
  </rcc>
  <rcc rId="1578" sId="5" numFmtId="4">
    <nc r="G154">
      <v>4</v>
    </nc>
  </rcc>
  <rcc rId="1579" sId="5" numFmtId="4">
    <nc r="B155">
      <v>11</v>
    </nc>
  </rcc>
  <rcc rId="1580" sId="5" numFmtId="4">
    <nc r="C155">
      <v>28</v>
    </nc>
  </rcc>
  <rcc rId="1581" sId="5" numFmtId="4">
    <nc r="D155">
      <v>4</v>
    </nc>
  </rcc>
  <rcc rId="1582" sId="5" numFmtId="4">
    <nc r="E155">
      <v>10</v>
    </nc>
  </rcc>
  <rcc rId="1583" sId="5" numFmtId="4">
    <nc r="F155">
      <v>10</v>
    </nc>
  </rcc>
  <rcc rId="1584" sId="5" numFmtId="4">
    <nc r="G155">
      <v>7</v>
    </nc>
  </rcc>
  <rcc rId="1585" sId="5" numFmtId="4">
    <nc r="B156">
      <v>11</v>
    </nc>
  </rcc>
  <rcc rId="1586" sId="5" numFmtId="4">
    <nc r="C156">
      <v>28</v>
    </nc>
  </rcc>
  <rcc rId="1587" sId="5" numFmtId="4">
    <nc r="D156">
      <v>3</v>
    </nc>
  </rcc>
  <rcc rId="1588" sId="5" numFmtId="4">
    <nc r="E156">
      <v>9</v>
    </nc>
  </rcc>
  <rcc rId="1589" sId="5" numFmtId="4">
    <nc r="F156">
      <v>6</v>
    </nc>
  </rcc>
  <rcc rId="1590" sId="5" numFmtId="4">
    <nc r="G156">
      <v>1</v>
    </nc>
  </rcc>
  <rcc rId="1591" sId="5" numFmtId="4">
    <nc r="B157">
      <v>11</v>
    </nc>
  </rcc>
  <rcc rId="1592" sId="5" numFmtId="4">
    <nc r="C157">
      <v>28</v>
    </nc>
  </rcc>
  <rcc rId="1593" sId="5" numFmtId="4">
    <nc r="D157">
      <v>5</v>
    </nc>
  </rcc>
  <rcc rId="1594" sId="5" numFmtId="4">
    <nc r="E157">
      <v>10</v>
    </nc>
  </rcc>
  <rcc rId="1595" sId="5" numFmtId="4">
    <nc r="F157">
      <v>12</v>
    </nc>
  </rcc>
  <rcc rId="1596" sId="5" numFmtId="4">
    <nc r="G157">
      <v>4</v>
    </nc>
  </rcc>
  <rcc rId="1597" sId="5" numFmtId="4">
    <nc r="B158">
      <v>11</v>
    </nc>
  </rcc>
  <rcc rId="1598" sId="5" numFmtId="4">
    <nc r="C158">
      <v>47</v>
    </nc>
  </rcc>
  <rcc rId="1599" sId="5" numFmtId="4">
    <nc r="D158">
      <v>2</v>
    </nc>
  </rcc>
  <rcc rId="1600" sId="5" numFmtId="4">
    <nc r="E158">
      <v>19</v>
    </nc>
  </rcc>
  <rcc rId="1601" sId="5" numFmtId="4">
    <nc r="F158">
      <v>5</v>
    </nc>
  </rcc>
  <rcc rId="1602" sId="5" numFmtId="4">
    <nc r="G158">
      <v>1</v>
    </nc>
  </rcc>
  <rcc rId="1603" sId="5" numFmtId="4">
    <nc r="B159">
      <v>11</v>
    </nc>
  </rcc>
  <rcc rId="1604" sId="5" numFmtId="4">
    <nc r="C159">
      <v>54</v>
    </nc>
  </rcc>
  <rcc rId="1605" sId="5" numFmtId="4">
    <nc r="D159">
      <v>2</v>
    </nc>
  </rcc>
  <rcc rId="1606" sId="5" numFmtId="4">
    <nc r="E159">
      <v>17</v>
    </nc>
  </rcc>
  <rcc rId="1607" sId="5" numFmtId="4">
    <nc r="F159">
      <v>3</v>
    </nc>
  </rcc>
  <rcc rId="1608" sId="5" numFmtId="4">
    <nc r="G159">
      <v>0</v>
    </nc>
  </rcc>
  <rcc rId="1609" sId="5" numFmtId="4">
    <nc r="B160">
      <v>11</v>
    </nc>
  </rcc>
  <rcc rId="1610" sId="5" numFmtId="4">
    <nc r="C160">
      <v>62</v>
    </nc>
  </rcc>
  <rcc rId="1611" sId="5" numFmtId="4">
    <nc r="D160">
      <v>4</v>
    </nc>
  </rcc>
  <rcc rId="1612" sId="5" numFmtId="4">
    <nc r="E160">
      <v>61</v>
    </nc>
  </rcc>
  <rcc rId="1613" sId="5" numFmtId="4">
    <nc r="F160">
      <v>31</v>
    </nc>
  </rcc>
  <rcc rId="1614" sId="5" numFmtId="4">
    <nc r="G160">
      <v>2</v>
    </nc>
  </rcc>
  <rcc rId="1615" sId="5" numFmtId="4">
    <nc r="B161">
      <v>11</v>
    </nc>
  </rcc>
  <rcc rId="1616" sId="5" numFmtId="4">
    <nc r="C161">
      <v>62</v>
    </nc>
  </rcc>
  <rcc rId="1617" sId="5" numFmtId="4">
    <nc r="D161">
      <v>3</v>
    </nc>
  </rcc>
  <rcc rId="1618" sId="5" numFmtId="4">
    <nc r="E161">
      <v>52</v>
    </nc>
  </rcc>
  <rcc rId="1619" sId="5" numFmtId="4">
    <nc r="F161">
      <v>23</v>
    </nc>
  </rcc>
  <rcc rId="1620" sId="5" numFmtId="4">
    <nc r="G161">
      <v>0</v>
    </nc>
  </rcc>
  <rcc rId="1621" sId="5" numFmtId="4">
    <nc r="B162">
      <v>11</v>
    </nc>
  </rcc>
  <rcc rId="1622" sId="5" numFmtId="4">
    <nc r="C162">
      <v>62</v>
    </nc>
  </rcc>
  <rcc rId="1623" sId="5" numFmtId="4">
    <nc r="D162">
      <v>2</v>
    </nc>
  </rcc>
  <rcc rId="1624" sId="5" numFmtId="4">
    <nc r="E162">
      <v>32</v>
    </nc>
  </rcc>
  <rcc rId="1625" sId="5" numFmtId="4">
    <nc r="F162">
      <v>18</v>
    </nc>
  </rcc>
  <rcc rId="1626" sId="5" numFmtId="4">
    <nc r="G162">
      <v>0</v>
    </nc>
  </rcc>
  <rcc rId="1627" sId="5" numFmtId="4">
    <nc r="B163">
      <v>11</v>
    </nc>
  </rcc>
  <rcc rId="1628" sId="5" numFmtId="4">
    <nc r="C163">
      <v>48</v>
    </nc>
  </rcc>
  <rcc rId="1629" sId="5" numFmtId="4">
    <nc r="D163">
      <v>3</v>
    </nc>
  </rcc>
  <rcc rId="1630" sId="5" numFmtId="4">
    <nc r="E163">
      <v>28</v>
    </nc>
  </rcc>
  <rcc rId="1631" sId="5" numFmtId="4">
    <nc r="F163">
      <v>1</v>
    </nc>
  </rcc>
  <rcc rId="1632" sId="5" numFmtId="4">
    <nc r="G163">
      <v>16</v>
    </nc>
  </rcc>
  <rcc rId="1633" sId="5" numFmtId="4">
    <nc r="B164">
      <v>11</v>
    </nc>
  </rcc>
  <rcc rId="1634" sId="5" numFmtId="4">
    <nc r="C164">
      <v>48</v>
    </nc>
  </rcc>
  <rcc rId="1635" sId="5" numFmtId="4">
    <nc r="D164">
      <v>2</v>
    </nc>
  </rcc>
  <rcc rId="1636" sId="5" numFmtId="4">
    <nc r="E164">
      <v>16</v>
    </nc>
  </rcc>
  <rcc rId="1637" sId="5" numFmtId="4">
    <nc r="F164">
      <v>1</v>
    </nc>
  </rcc>
  <rcc rId="1638" sId="5" numFmtId="4">
    <nc r="G164">
      <v>9</v>
    </nc>
  </rcc>
  <rcc rId="1639" sId="2" numFmtId="4">
    <nc r="B44">
      <v>9</v>
    </nc>
  </rcc>
  <rcc rId="1640" sId="2" numFmtId="4">
    <nc r="C44">
      <v>19</v>
    </nc>
  </rcc>
  <rcc rId="1641" sId="2" numFmtId="4">
    <nc r="D44">
      <v>4</v>
    </nc>
  </rcc>
  <rcc rId="1642" sId="2" numFmtId="4">
    <nc r="E44">
      <v>6</v>
    </nc>
  </rcc>
  <rcc rId="1643" sId="2" numFmtId="4">
    <nc r="F44">
      <v>14</v>
    </nc>
  </rcc>
  <rcc rId="1644" sId="2" numFmtId="4">
    <nc r="G44">
      <v>0</v>
    </nc>
  </rcc>
  <rcc rId="1645" sId="5" numFmtId="4">
    <nc r="B165">
      <v>11</v>
    </nc>
  </rcc>
  <rcc rId="1646" sId="5" numFmtId="4">
    <nc r="C165">
      <v>41</v>
    </nc>
  </rcc>
  <rcc rId="1647" sId="5" numFmtId="4">
    <nc r="D165">
      <v>4</v>
    </nc>
  </rcc>
  <rcc rId="1648" sId="5" numFmtId="4">
    <nc r="E165">
      <v>21</v>
    </nc>
  </rcc>
  <rcc rId="1649" sId="5" numFmtId="4">
    <nc r="F165">
      <v>8</v>
    </nc>
  </rcc>
  <rcc rId="1650" sId="5" numFmtId="4">
    <nc r="G165">
      <v>6</v>
    </nc>
  </rcc>
</revisions>
</file>

<file path=xl/revisions/revisionLog31.xml><?xml version="1.0" encoding="utf-8"?>
<revisions xmlns="http://schemas.openxmlformats.org/spreadsheetml/2006/main" xmlns:r="http://schemas.openxmlformats.org/officeDocument/2006/relationships">
  <rcc rId="1651" sId="8" numFmtId="4">
    <nc r="B70">
      <v>16</v>
    </nc>
  </rcc>
  <rcc rId="1652" sId="8" numFmtId="4">
    <nc r="C70">
      <v>74</v>
    </nc>
  </rcc>
  <rcc rId="1653" sId="8" numFmtId="4">
    <nc r="D70">
      <v>5</v>
    </nc>
  </rcc>
  <rcc rId="1654" sId="8" numFmtId="4">
    <nc r="E70">
      <v>8</v>
    </nc>
  </rcc>
  <rcc rId="1655" sId="8" numFmtId="4">
    <nc r="F70">
      <v>3</v>
    </nc>
  </rcc>
  <rcc rId="1656" sId="8" numFmtId="4">
    <nc r="H70">
      <v>0</v>
    </nc>
  </rcc>
  <rcc rId="1657" sId="8" numFmtId="4">
    <nc r="G70">
      <v>0</v>
    </nc>
  </rcc>
  <rcc rId="1658" sId="8" numFmtId="4">
    <nc r="B71">
      <v>16</v>
    </nc>
  </rcc>
  <rcc rId="1659" sId="8" numFmtId="4">
    <nc r="C71">
      <v>74</v>
    </nc>
  </rcc>
  <rcc rId="1660" sId="8" numFmtId="4">
    <nc r="D71">
      <v>6</v>
    </nc>
  </rcc>
  <rcc rId="1661" sId="8" numFmtId="4">
    <nc r="E71">
      <v>7</v>
    </nc>
  </rcc>
  <rcc rId="1662" sId="8" numFmtId="4">
    <nc r="F71">
      <v>0</v>
    </nc>
  </rcc>
  <rcc rId="1663" sId="8" numFmtId="4">
    <nc r="G71">
      <v>0</v>
    </nc>
  </rcc>
  <rcc rId="1664" sId="8" numFmtId="4">
    <nc r="H71">
      <v>0</v>
    </nc>
  </rcc>
</revisions>
</file>

<file path=xl/revisions/revisionLog32.xml><?xml version="1.0" encoding="utf-8"?>
<revisions xmlns="http://schemas.openxmlformats.org/spreadsheetml/2006/main" xmlns:r="http://schemas.openxmlformats.org/officeDocument/2006/relationships">
  <rcc rId="1665" sId="5" numFmtId="4">
    <nc r="B166">
      <v>11</v>
    </nc>
  </rcc>
  <rcc rId="1666" sId="5" numFmtId="4">
    <nc r="C166">
      <v>44</v>
    </nc>
  </rcc>
  <rcc rId="1667" sId="5" numFmtId="4">
    <nc r="D166">
      <v>5</v>
    </nc>
  </rcc>
  <rcc rId="1668" sId="5" numFmtId="4">
    <nc r="E166">
      <v>1</v>
    </nc>
  </rcc>
  <rcc rId="1669" sId="5" numFmtId="4">
    <nc r="F166">
      <v>20</v>
    </nc>
  </rcc>
  <rcc rId="1670" sId="5" numFmtId="4">
    <nc r="G166">
      <v>3</v>
    </nc>
  </rcc>
  <rcc rId="1671" sId="5" numFmtId="4">
    <nc r="B167">
      <v>11</v>
    </nc>
  </rcc>
  <rcc rId="1672" sId="5" numFmtId="4">
    <nc r="C167">
      <v>44</v>
    </nc>
  </rcc>
  <rcc rId="1673" sId="5" numFmtId="4">
    <nc r="D167">
      <v>6</v>
    </nc>
  </rcc>
  <rcc rId="1674" sId="5" numFmtId="4">
    <nc r="E167">
      <v>3</v>
    </nc>
  </rcc>
  <rcc rId="1675" sId="5" numFmtId="4">
    <nc r="F167">
      <v>15</v>
    </nc>
  </rcc>
  <rcc rId="1676" sId="5" numFmtId="4">
    <nc r="G167">
      <v>7</v>
    </nc>
  </rcc>
  <rcc rId="1677" sId="2" numFmtId="4">
    <nc r="B45">
      <v>9</v>
    </nc>
  </rcc>
  <rcc rId="1678" sId="2" numFmtId="4">
    <nc r="C45">
      <v>9</v>
    </nc>
  </rcc>
  <rcc rId="1679" sId="2" numFmtId="4">
    <nc r="D45">
      <v>1</v>
    </nc>
  </rcc>
  <rcc rId="1680" sId="2" numFmtId="4">
    <oc r="D43">
      <v>4</v>
    </oc>
    <nc r="D43">
      <v>1</v>
    </nc>
  </rcc>
  <rcc rId="1681" sId="2" numFmtId="4">
    <oc r="E43">
      <v>4</v>
    </oc>
    <nc r="E43">
      <v>1</v>
    </nc>
  </rcc>
  <rcc rId="1682" sId="2" numFmtId="4">
    <oc r="F43">
      <v>5</v>
    </oc>
    <nc r="F43">
      <v>1</v>
    </nc>
  </rcc>
</revisions>
</file>

<file path=xl/revisions/revisionLog33.xml><?xml version="1.0" encoding="utf-8"?>
<revisions xmlns="http://schemas.openxmlformats.org/spreadsheetml/2006/main" xmlns:r="http://schemas.openxmlformats.org/officeDocument/2006/relationships">
  <rcc rId="1683" sId="11" numFmtId="4">
    <nc r="B17">
      <v>20</v>
    </nc>
  </rcc>
  <rcc rId="1684" sId="11" numFmtId="4">
    <nc r="C17">
      <v>97</v>
    </nc>
  </rcc>
  <rcc rId="1685" sId="11" numFmtId="4">
    <nc r="D17">
      <v>5</v>
    </nc>
  </rcc>
  <rcc rId="1686" sId="11" numFmtId="4">
    <nc r="E17">
      <v>21</v>
    </nc>
  </rcc>
  <rcc rId="1687" sId="11" numFmtId="4">
    <nc r="F17">
      <v>20</v>
    </nc>
  </rcc>
  <rcc rId="1688" sId="11" numFmtId="4">
    <nc r="G17">
      <v>10</v>
    </nc>
  </rcc>
  <rcc rId="1689" sId="11" numFmtId="4">
    <nc r="H17">
      <v>0</v>
    </nc>
  </rcc>
  <rcc rId="1690" sId="11" numFmtId="4">
    <nc r="B18">
      <v>20</v>
    </nc>
  </rcc>
  <rcc rId="1691" sId="11" numFmtId="4">
    <nc r="C18">
      <v>97</v>
    </nc>
  </rcc>
  <rcc rId="1692" sId="11" numFmtId="4">
    <nc r="D18">
      <v>6</v>
    </nc>
  </rcc>
  <rcc rId="1693" sId="11" numFmtId="4">
    <nc r="E18">
      <v>20</v>
    </nc>
  </rcc>
  <rcc rId="1694" sId="11" numFmtId="4">
    <nc r="F18">
      <v>18</v>
    </nc>
  </rcc>
  <rcc rId="1695" sId="11" numFmtId="4">
    <nc r="G18">
      <v>10</v>
    </nc>
  </rcc>
  <rcc rId="1696" sId="11" numFmtId="4">
    <nc r="H18">
      <v>0</v>
    </nc>
  </rcc>
  <rcc rId="1697" sId="8" numFmtId="4">
    <nc r="B72">
      <v>16</v>
    </nc>
  </rcc>
  <rcc rId="1698" sId="8" numFmtId="4">
    <nc r="C72">
      <v>77</v>
    </nc>
  </rcc>
  <rcc rId="1699" sId="8" numFmtId="4">
    <nc r="D72">
      <v>4</v>
    </nc>
  </rcc>
  <rcc rId="1700" sId="8" numFmtId="4">
    <nc r="E72">
      <v>19</v>
    </nc>
  </rcc>
  <rcc rId="1701" sId="8" numFmtId="4">
    <nc r="F72">
      <v>1</v>
    </nc>
  </rcc>
  <rcc rId="1702" sId="8" numFmtId="4">
    <nc r="G72">
      <v>5</v>
    </nc>
  </rcc>
  <rcc rId="1703" sId="8" numFmtId="4">
    <nc r="H72">
      <v>0</v>
    </nc>
  </rcc>
  <rcc rId="1704" sId="8" numFmtId="4">
    <nc r="B73">
      <v>16</v>
    </nc>
  </rcc>
  <rcc rId="1705" sId="8" numFmtId="4">
    <nc r="C73">
      <v>77</v>
    </nc>
  </rcc>
  <rcc rId="1706" sId="8" numFmtId="4">
    <nc r="D73">
      <v>5</v>
    </nc>
  </rcc>
  <rcc rId="1707" sId="8" numFmtId="4">
    <nc r="E73">
      <v>23</v>
    </nc>
  </rcc>
  <rcc rId="1708" sId="8" numFmtId="4">
    <nc r="F73">
      <v>0</v>
    </nc>
  </rcc>
  <rcc rId="1709" sId="8" numFmtId="4">
    <nc r="G73">
      <v>8</v>
    </nc>
  </rcc>
  <rcc rId="1710" sId="8" numFmtId="4">
    <nc r="H73">
      <v>0</v>
    </nc>
  </rcc>
  <rcc rId="1711" sId="8" numFmtId="4">
    <nc r="B74">
      <v>16</v>
    </nc>
  </rcc>
  <rcc rId="1712" sId="8" numFmtId="4">
    <nc r="C74">
      <v>77</v>
    </nc>
  </rcc>
  <rcc rId="1713" sId="8" numFmtId="4">
    <nc r="D74">
      <v>6</v>
    </nc>
  </rcc>
  <rcc rId="1714" sId="8" numFmtId="4">
    <nc r="E74">
      <v>16</v>
    </nc>
  </rcc>
  <rcc rId="1715" sId="8" numFmtId="4">
    <nc r="F74">
      <v>0</v>
    </nc>
  </rcc>
  <rcc rId="1716" sId="8" numFmtId="4">
    <nc r="G74">
      <v>7</v>
    </nc>
  </rcc>
  <rcc rId="1717" sId="8" numFmtId="4">
    <nc r="H74">
      <v>1</v>
    </nc>
  </rcc>
  <rcc rId="1718" sId="8" numFmtId="4">
    <nc r="B75">
      <v>16</v>
    </nc>
  </rcc>
  <rcc rId="1719" sId="8" numFmtId="4">
    <nc r="C75">
      <v>70</v>
    </nc>
  </rcc>
  <rcc rId="1720" sId="8" numFmtId="4">
    <nc r="D75">
      <v>7</v>
    </nc>
  </rcc>
  <rcc rId="1721" sId="8" numFmtId="4">
    <nc r="E75">
      <v>2</v>
    </nc>
  </rcc>
  <rcc rId="1722" sId="8" numFmtId="4">
    <nc r="F75">
      <v>3</v>
    </nc>
  </rcc>
  <rcc rId="1723" sId="8" numFmtId="4">
    <nc r="G75">
      <v>7</v>
    </nc>
  </rcc>
  <rcc rId="1724" sId="8" numFmtId="4">
    <nc r="H75">
      <v>0</v>
    </nc>
  </rcc>
  <rcc rId="1725" sId="8" numFmtId="4">
    <nc r="B76">
      <v>16</v>
    </nc>
  </rcc>
  <rcc rId="1726" sId="8" numFmtId="4">
    <nc r="C76">
      <v>70</v>
    </nc>
  </rcc>
  <rcc rId="1727" sId="8" numFmtId="4">
    <nc r="D76">
      <v>6</v>
    </nc>
  </rcc>
  <rcc rId="1728" sId="8" numFmtId="4">
    <nc r="E76">
      <v>7</v>
    </nc>
  </rcc>
  <rcc rId="1729" sId="8" numFmtId="4">
    <nc r="F76">
      <v>10</v>
    </nc>
  </rcc>
  <rcc rId="1730" sId="8" numFmtId="4">
    <nc r="G76">
      <v>11</v>
    </nc>
  </rcc>
  <rcc rId="1731" sId="8" numFmtId="4">
    <nc r="H76">
      <v>0</v>
    </nc>
  </rcc>
</revisions>
</file>

<file path=xl/revisions/revisionLog34.xml><?xml version="1.0" encoding="utf-8"?>
<revisions xmlns="http://schemas.openxmlformats.org/spreadsheetml/2006/main" xmlns:r="http://schemas.openxmlformats.org/officeDocument/2006/relationships">
  <rcc rId="1732" sId="2" numFmtId="4">
    <nc r="E45">
      <v>1</v>
    </nc>
  </rcc>
  <rcc rId="1733" sId="2" numFmtId="4">
    <nc r="F45">
      <v>1</v>
    </nc>
  </rcc>
  <rcc rId="1734" sId="2" numFmtId="4">
    <nc r="G45">
      <v>0</v>
    </nc>
  </rcc>
  <rcc rId="1735" sId="2" numFmtId="4">
    <oc r="D45">
      <v>1</v>
    </oc>
    <nc r="D45">
      <v>2</v>
    </nc>
  </rcc>
  <rcc rId="1736" sId="2" numFmtId="4">
    <nc r="B46">
      <v>9</v>
    </nc>
  </rcc>
  <rcc rId="1737" sId="2" numFmtId="4">
    <nc r="C46">
      <v>9</v>
    </nc>
  </rcc>
  <rcc rId="1738" sId="2" numFmtId="4">
    <nc r="D46">
      <v>3</v>
    </nc>
  </rcc>
  <rcc rId="1739" sId="2" numFmtId="4">
    <nc r="E46">
      <v>1</v>
    </nc>
  </rcc>
  <rcc rId="1740" sId="2" numFmtId="4">
    <nc r="F46">
      <v>1</v>
    </nc>
  </rcc>
  <rcc rId="1741" sId="2" numFmtId="4">
    <nc r="G46">
      <v>0</v>
    </nc>
  </rcc>
  <rcc rId="1742" sId="2" numFmtId="4">
    <nc r="B47">
      <v>9</v>
    </nc>
  </rcc>
  <rcc rId="1743" sId="2" numFmtId="4">
    <nc r="C47">
      <v>9</v>
    </nc>
  </rcc>
  <rcc rId="1744" sId="2" numFmtId="4">
    <nc r="D47">
      <v>4</v>
    </nc>
  </rcc>
  <rcc rId="1745" sId="2" numFmtId="4">
    <nc r="E47">
      <v>1</v>
    </nc>
  </rcc>
  <rcc rId="1746" sId="2" numFmtId="4">
    <nc r="F47">
      <v>2</v>
    </nc>
  </rcc>
  <rcc rId="1747" sId="2" numFmtId="4">
    <nc r="G47">
      <v>0</v>
    </nc>
  </rcc>
  <rcc rId="1748" sId="5" numFmtId="4">
    <nc r="B168">
      <v>11</v>
    </nc>
  </rcc>
  <rcc rId="1749" sId="5" numFmtId="4">
    <nc r="C168">
      <v>60</v>
    </nc>
  </rcc>
  <rcc rId="1750" sId="5" numFmtId="4">
    <nc r="D168">
      <v>4</v>
    </nc>
  </rcc>
  <rcc rId="1751" sId="5" numFmtId="4">
    <nc r="E168">
      <v>20</v>
    </nc>
  </rcc>
  <rcc rId="1752" sId="5" numFmtId="4">
    <nc r="F168">
      <v>2</v>
    </nc>
  </rcc>
  <rcc rId="1753" sId="5" numFmtId="4">
    <nc r="G168">
      <v>0</v>
    </nc>
  </rcc>
  <rcc rId="1754" sId="5" numFmtId="4">
    <nc r="B169">
      <v>11</v>
    </nc>
  </rcc>
  <rcc rId="1755" sId="5" numFmtId="4">
    <nc r="C169">
      <v>60</v>
    </nc>
  </rcc>
  <rcc rId="1756" sId="5" numFmtId="4">
    <nc r="D169">
      <v>5</v>
    </nc>
  </rcc>
  <rcc rId="1757" sId="5" numFmtId="4">
    <nc r="E169">
      <v>19</v>
    </nc>
  </rcc>
  <rcc rId="1758" sId="5" numFmtId="4">
    <nc r="F169">
      <v>10</v>
    </nc>
  </rcc>
  <rcc rId="1759" sId="5" numFmtId="4">
    <nc r="G169">
      <v>5</v>
    </nc>
  </rcc>
  <rcc rId="1760" sId="5" numFmtId="4">
    <nc r="B170">
      <v>11</v>
    </nc>
  </rcc>
  <rcc rId="1761" sId="5" numFmtId="4">
    <nc r="C170">
      <v>30</v>
    </nc>
  </rcc>
  <rcc rId="1762" sId="5" numFmtId="4">
    <nc r="D170">
      <v>4</v>
    </nc>
  </rcc>
  <rcc rId="1763" sId="5" numFmtId="4">
    <nc r="E170">
      <v>8</v>
    </nc>
  </rcc>
  <rcc rId="1764" sId="5" numFmtId="4">
    <nc r="F170">
      <v>4</v>
    </nc>
  </rcc>
  <rcc rId="1765" sId="5" numFmtId="4">
    <nc r="G170">
      <v>2</v>
    </nc>
  </rcc>
  <rcc rId="1766" sId="5" numFmtId="4">
    <nc r="B171">
      <v>11</v>
    </nc>
  </rcc>
  <rcc rId="1767" sId="5" numFmtId="4">
    <nc r="C171">
      <v>60</v>
    </nc>
  </rcc>
  <rcc rId="1768" sId="5" numFmtId="4">
    <nc r="D171">
      <v>6</v>
    </nc>
  </rcc>
  <rcc rId="1769" sId="5" numFmtId="4">
    <nc r="E171">
      <v>17</v>
    </nc>
  </rcc>
  <rcc rId="1770" sId="5" numFmtId="4">
    <nc r="F171">
      <v>11</v>
    </nc>
  </rcc>
  <rcc rId="1771" sId="5" numFmtId="4">
    <nc r="G171">
      <v>3</v>
    </nc>
  </rcc>
  <rcc rId="1772" sId="5" numFmtId="4">
    <nc r="B172">
      <v>11</v>
    </nc>
  </rcc>
  <rcc rId="1773" sId="5" numFmtId="4">
    <nc r="C172">
      <v>60</v>
    </nc>
  </rcc>
  <rcc rId="1774" sId="5" numFmtId="4">
    <nc r="D172">
      <v>7</v>
    </nc>
  </rcc>
  <rcc rId="1775" sId="5" numFmtId="4">
    <nc r="E172">
      <v>21</v>
    </nc>
  </rcc>
  <rcc rId="1776" sId="5" numFmtId="4">
    <nc r="F172">
      <v>4</v>
    </nc>
  </rcc>
  <rcc rId="1777" sId="5" numFmtId="4">
    <nc r="G172">
      <v>4</v>
    </nc>
  </rcc>
  <rcc rId="1778" sId="5" numFmtId="4">
    <nc r="B173">
      <v>11</v>
    </nc>
  </rcc>
  <rcc rId="1779" sId="5" numFmtId="4">
    <nc r="C173">
      <v>27</v>
    </nc>
  </rcc>
  <rcc rId="1780" sId="5" numFmtId="4">
    <nc r="D173">
      <v>4</v>
    </nc>
  </rcc>
  <rcc rId="1781" sId="5" numFmtId="4">
    <nc r="E173">
      <v>7</v>
    </nc>
  </rcc>
  <rcc rId="1782" sId="5" numFmtId="4">
    <nc r="F173">
      <v>0</v>
    </nc>
  </rcc>
  <rcc rId="1783" sId="5" numFmtId="4">
    <nc r="G173">
      <v>0</v>
    </nc>
  </rcc>
  <rcc rId="1784" sId="5" numFmtId="4">
    <nc r="B174">
      <v>11</v>
    </nc>
  </rcc>
  <rcc rId="1785" sId="5" numFmtId="4">
    <nc r="C174">
      <v>25</v>
    </nc>
  </rcc>
  <rcc rId="1786" sId="5" numFmtId="4">
    <nc r="D174">
      <v>6</v>
    </nc>
  </rcc>
  <rcc rId="1787" sId="5" numFmtId="4">
    <nc r="E174">
      <v>6</v>
    </nc>
  </rcc>
  <rcc rId="1788" sId="5" numFmtId="4">
    <nc r="F174">
      <v>4</v>
    </nc>
  </rcc>
  <rcc rId="1789" sId="5" numFmtId="4">
    <nc r="G174">
      <v>2</v>
    </nc>
  </rcc>
  <rcc rId="1790" sId="5" numFmtId="4">
    <nc r="B175">
      <v>11</v>
    </nc>
  </rcc>
  <rcc rId="1791" sId="5" numFmtId="4">
    <nc r="C175">
      <v>25</v>
    </nc>
  </rcc>
  <rcc rId="1792" sId="5" numFmtId="4">
    <nc r="D175">
      <v>5</v>
    </nc>
  </rcc>
  <rcc rId="1793" sId="5" numFmtId="4">
    <nc r="E175">
      <v>7</v>
    </nc>
  </rcc>
  <rcc rId="1794" sId="5" numFmtId="4">
    <nc r="F175">
      <v>4</v>
    </nc>
  </rcc>
  <rcc rId="1795" sId="5" numFmtId="4">
    <nc r="G175">
      <v>4</v>
    </nc>
  </rcc>
  <rcc rId="1796" sId="5" numFmtId="4">
    <nc r="B176">
      <v>11</v>
    </nc>
  </rcc>
  <rcc rId="1797" sId="5" numFmtId="4">
    <nc r="C176">
      <v>25</v>
    </nc>
  </rcc>
  <rcc rId="1798" sId="5" numFmtId="4">
    <nc r="D176">
      <v>4</v>
    </nc>
  </rcc>
  <rcc rId="1799" sId="5" numFmtId="4">
    <nc r="E176">
      <v>5</v>
    </nc>
  </rcc>
  <rcc rId="1800" sId="5" numFmtId="4">
    <nc r="F176">
      <v>3</v>
    </nc>
  </rcc>
  <rcc rId="1801" sId="5" numFmtId="4">
    <nc r="G176">
      <v>5</v>
    </nc>
  </rcc>
  <rcc rId="1802" sId="5" numFmtId="4">
    <nc r="B177">
      <v>11</v>
    </nc>
  </rcc>
  <rcc rId="1803" sId="5" numFmtId="4">
    <nc r="C177">
      <v>25</v>
    </nc>
  </rcc>
  <rcc rId="1804" sId="5" numFmtId="4">
    <nc r="D177">
      <v>3</v>
    </nc>
  </rcc>
  <rcc rId="1805" sId="5" numFmtId="4">
    <nc r="E177">
      <v>10</v>
    </nc>
  </rcc>
  <rcc rId="1806" sId="5" numFmtId="4">
    <nc r="F177">
      <v>9</v>
    </nc>
  </rcc>
  <rcc rId="1807" sId="5" numFmtId="4">
    <nc r="G177">
      <v>3</v>
    </nc>
  </rcc>
  <rcc rId="1808" sId="5" numFmtId="4">
    <nc r="B178">
      <v>11</v>
    </nc>
  </rcc>
  <rcc rId="1809" sId="5" numFmtId="4">
    <nc r="C178">
      <v>37</v>
    </nc>
  </rcc>
  <rcc rId="1810" sId="5" numFmtId="4">
    <nc r="D178">
      <v>4</v>
    </nc>
  </rcc>
  <rcc rId="1811" sId="5" numFmtId="4">
    <nc r="E178">
      <v>11</v>
    </nc>
  </rcc>
  <rcc rId="1812" sId="5" numFmtId="4">
    <nc r="F178">
      <v>2</v>
    </nc>
  </rcc>
  <rcc rId="1813" sId="5" numFmtId="4">
    <nc r="G178">
      <v>2</v>
    </nc>
  </rcc>
  <rcc rId="1814" sId="5" numFmtId="4">
    <nc r="B179">
      <v>11</v>
    </nc>
  </rcc>
  <rcc rId="1815" sId="5" numFmtId="4">
    <nc r="C179">
      <v>30</v>
    </nc>
  </rcc>
  <rcc rId="1816" sId="5" numFmtId="4">
    <nc r="D179">
      <v>6</v>
    </nc>
  </rcc>
  <rcc rId="1817" sId="5" numFmtId="4">
    <nc r="E179">
      <v>11</v>
    </nc>
  </rcc>
  <rcc rId="1818" sId="5" numFmtId="4">
    <nc r="F179">
      <v>6</v>
    </nc>
  </rcc>
  <rcc rId="1819" sId="5" numFmtId="4">
    <nc r="G179">
      <v>1</v>
    </nc>
  </rcc>
  <rcc rId="1820" sId="5" numFmtId="4">
    <nc r="B180">
      <v>11</v>
    </nc>
  </rcc>
  <rcc rId="1821" sId="5" numFmtId="4">
    <nc r="C180">
      <v>30</v>
    </nc>
  </rcc>
  <rcc rId="1822" sId="5" numFmtId="4">
    <nc r="D180">
      <v>5</v>
    </nc>
  </rcc>
  <rcc rId="1823" sId="5" numFmtId="4">
    <nc r="E180">
      <v>6</v>
    </nc>
  </rcc>
  <rcc rId="1824" sId="5" numFmtId="4">
    <nc r="F180">
      <v>3</v>
    </nc>
  </rcc>
  <rcc rId="1825" sId="5" numFmtId="4">
    <nc r="G180">
      <v>4</v>
    </nc>
  </rcc>
  <rcc rId="1826" sId="5" numFmtId="4">
    <nc r="B181">
      <v>11</v>
    </nc>
  </rcc>
  <rcc rId="1827" sId="5" numFmtId="4">
    <nc r="C181">
      <v>27</v>
    </nc>
  </rcc>
  <rcc rId="1828" sId="5" numFmtId="4">
    <nc r="D181">
      <v>5</v>
    </nc>
  </rcc>
  <rcc rId="1829" sId="5" numFmtId="4">
    <nc r="E181">
      <v>8</v>
    </nc>
  </rcc>
  <rcc rId="1830" sId="5" numFmtId="4">
    <nc r="F181">
      <v>0</v>
    </nc>
  </rcc>
  <rcc rId="1831" sId="5" numFmtId="4">
    <nc r="G181">
      <v>0</v>
    </nc>
  </rcc>
  <rcc rId="1832" sId="2" numFmtId="4">
    <nc r="B48">
      <v>9</v>
    </nc>
  </rcc>
  <rcc rId="1833" sId="2" numFmtId="4">
    <nc r="C48">
      <v>17</v>
    </nc>
  </rcc>
  <rcc rId="1834" sId="2" numFmtId="4">
    <nc r="D48">
      <v>4</v>
    </nc>
  </rcc>
  <rcc rId="1835" sId="2" numFmtId="4">
    <nc r="E48">
      <v>40</v>
    </nc>
  </rcc>
  <rcc rId="1836" sId="2" numFmtId="4">
    <nc r="F48">
      <v>51</v>
    </nc>
  </rcc>
  <rcc rId="1837" sId="2" numFmtId="4">
    <nc r="G48">
      <v>0</v>
    </nc>
  </rcc>
  <rcc rId="1838" sId="2" numFmtId="4">
    <nc r="B49">
      <v>9</v>
    </nc>
  </rcc>
  <rcc rId="1839" sId="2" numFmtId="4">
    <nc r="C49">
      <v>17</v>
    </nc>
  </rcc>
  <rcc rId="1840" sId="2" numFmtId="4">
    <nc r="D49">
      <v>3</v>
    </nc>
  </rcc>
  <rcc rId="1841" sId="2" numFmtId="4">
    <nc r="E49">
      <v>30</v>
    </nc>
  </rcc>
  <rcc rId="1842" sId="2" numFmtId="4">
    <nc r="F49">
      <v>20</v>
    </nc>
  </rcc>
  <rcc rId="1843" sId="2" numFmtId="4">
    <nc r="G49">
      <v>1</v>
    </nc>
  </rcc>
  <rcc rId="1844" sId="2" numFmtId="4">
    <nc r="B50">
      <v>9</v>
    </nc>
  </rcc>
  <rcc rId="1845" sId="2" numFmtId="4">
    <nc r="C50">
      <v>17</v>
    </nc>
  </rcc>
  <rcc rId="1846" sId="2" numFmtId="4">
    <nc r="D50">
      <v>2</v>
    </nc>
  </rcc>
  <rcc rId="1847" sId="2" numFmtId="4">
    <nc r="E50">
      <v>12</v>
    </nc>
  </rcc>
  <rcc rId="1848" sId="2" numFmtId="4">
    <nc r="F50">
      <v>24</v>
    </nc>
  </rcc>
  <rcc rId="1849" sId="2" numFmtId="4">
    <nc r="G50">
      <v>0</v>
    </nc>
  </rcc>
  <rcc rId="1850" sId="2" numFmtId="4">
    <nc r="B51">
      <v>9</v>
    </nc>
  </rcc>
  <rcc rId="1851" sId="2" numFmtId="4">
    <nc r="C51">
      <v>12</v>
    </nc>
  </rcc>
  <rcc rId="1852" sId="2" numFmtId="4">
    <nc r="D51">
      <v>2</v>
    </nc>
  </rcc>
  <rcc rId="1853" sId="2" numFmtId="4">
    <nc r="E51">
      <v>45</v>
    </nc>
  </rcc>
  <rcc rId="1854" sId="2" numFmtId="4">
    <nc r="F51">
      <v>19</v>
    </nc>
  </rcc>
  <rcc rId="1855" sId="2" numFmtId="4">
    <nc r="G51">
      <v>0</v>
    </nc>
  </rcc>
  <rcc rId="1856" sId="5" numFmtId="4">
    <nc r="B182">
      <v>11</v>
    </nc>
  </rcc>
  <rcc rId="1857" sId="5" numFmtId="4">
    <nc r="C182">
      <v>38</v>
    </nc>
  </rcc>
  <rcc rId="1858" sId="5" numFmtId="4">
    <nc r="E182">
      <v>4</v>
    </nc>
  </rcc>
  <rcc rId="1859" sId="5" numFmtId="4">
    <nc r="F182">
      <v>12</v>
    </nc>
  </rcc>
  <rcc rId="1860" sId="5" numFmtId="4">
    <nc r="G182">
      <v>3</v>
    </nc>
  </rcc>
</revisions>
</file>

<file path=xl/revisions/revisionLog35.xml><?xml version="1.0" encoding="utf-8"?>
<revisions xmlns="http://schemas.openxmlformats.org/spreadsheetml/2006/main" xmlns:r="http://schemas.openxmlformats.org/officeDocument/2006/relationships">
  <rcc rId="1861" sId="5" numFmtId="4">
    <nc r="D182">
      <v>4</v>
    </nc>
  </rcc>
  <rcc rId="1862" sId="5" numFmtId="4">
    <oc r="E182">
      <v>4</v>
    </oc>
    <nc r="E182">
      <v>12</v>
    </nc>
  </rcc>
  <rcc rId="1863" sId="5" numFmtId="4">
    <oc r="F182">
      <v>12</v>
    </oc>
    <nc r="F182">
      <v>3</v>
    </nc>
  </rcc>
  <rcc rId="1864" sId="5" numFmtId="4">
    <oc r="G182">
      <v>3</v>
    </oc>
    <nc r="G182">
      <v>0</v>
    </nc>
  </rcc>
  <rcc rId="1865" sId="5" numFmtId="4">
    <nc r="B183">
      <v>11</v>
    </nc>
  </rcc>
  <rcc rId="1866" sId="5" numFmtId="4">
    <nc r="C183">
      <v>38</v>
    </nc>
  </rcc>
  <rcc rId="1867" sId="5" numFmtId="4">
    <nc r="D183">
      <v>5</v>
    </nc>
  </rcc>
  <rcc rId="1868" sId="5" numFmtId="4">
    <nc r="E183">
      <v>8</v>
    </nc>
  </rcc>
  <rcc rId="1869" sId="5" numFmtId="4">
    <nc r="F183">
      <v>2</v>
    </nc>
  </rcc>
  <rcc rId="1870" sId="5" numFmtId="4">
    <nc r="G183">
      <v>1</v>
    </nc>
  </rcc>
  <rcc rId="1871" sId="5" numFmtId="4">
    <nc r="B184">
      <v>11</v>
    </nc>
  </rcc>
  <rcc rId="1872" sId="5" numFmtId="4">
    <nc r="C184">
      <v>38</v>
    </nc>
  </rcc>
  <rcc rId="1873" sId="5" numFmtId="4">
    <nc r="D184">
      <v>6</v>
    </nc>
  </rcc>
  <rcc rId="1874" sId="5" numFmtId="4">
    <nc r="E184">
      <v>6</v>
    </nc>
  </rcc>
  <rcc rId="1875" sId="5" numFmtId="4">
    <nc r="F184">
      <v>3</v>
    </nc>
  </rcc>
  <rcc rId="1876" sId="5" numFmtId="4">
    <nc r="G184">
      <v>0</v>
    </nc>
  </rcc>
  <rcc rId="1877" sId="5" numFmtId="4">
    <nc r="B185">
      <v>11</v>
    </nc>
  </rcc>
  <rcc rId="1878" sId="5" numFmtId="4">
    <nc r="C185">
      <v>38</v>
    </nc>
  </rcc>
  <rcc rId="1879" sId="5" numFmtId="4">
    <nc r="D185">
      <v>7</v>
    </nc>
  </rcc>
  <rcc rId="1880" sId="5" numFmtId="4">
    <nc r="E185">
      <v>5</v>
    </nc>
  </rcc>
  <rcc rId="1881" sId="5" numFmtId="4">
    <nc r="F185">
      <v>1</v>
    </nc>
  </rcc>
  <rcc rId="1882" sId="5" numFmtId="4">
    <nc r="G185">
      <v>1</v>
    </nc>
  </rcc>
  <rcc rId="1883" sId="2" numFmtId="4">
    <nc r="B52">
      <v>9</v>
    </nc>
  </rcc>
  <rcc rId="1884" sId="2" numFmtId="4">
    <nc r="C52">
      <v>19</v>
    </nc>
  </rcc>
  <rcc rId="1885" sId="2" numFmtId="4">
    <nc r="D52">
      <v>5</v>
    </nc>
  </rcc>
  <rcc rId="1886" sId="2" numFmtId="4">
    <nc r="E52">
      <v>10</v>
    </nc>
  </rcc>
  <rcc rId="1887" sId="2" numFmtId="4">
    <nc r="F52">
      <v>14</v>
    </nc>
  </rcc>
  <rcc rId="1888" sId="2" numFmtId="4">
    <nc r="G52">
      <v>1</v>
    </nc>
  </rcc>
  <rcc rId="1889" sId="2" numFmtId="4">
    <nc r="B53">
      <v>9</v>
    </nc>
  </rcc>
  <rcc rId="1890" sId="2" numFmtId="4">
    <nc r="C53">
      <v>11</v>
    </nc>
  </rcc>
  <rcc rId="1891" sId="2" numFmtId="4">
    <nc r="D53">
      <v>2</v>
    </nc>
  </rcc>
  <rcc rId="1892" sId="2" numFmtId="4">
    <nc r="E53">
      <v>78</v>
    </nc>
  </rcc>
  <rcc rId="1893" sId="2" numFmtId="4">
    <nc r="F53">
      <v>35</v>
    </nc>
  </rcc>
  <rcc rId="1894" sId="2" numFmtId="4">
    <nc r="G53">
      <v>0</v>
    </nc>
  </rcc>
  <rcc rId="1895" sId="2" numFmtId="4">
    <nc r="B54">
      <v>9</v>
    </nc>
  </rcc>
  <rcc rId="1896" sId="2" numFmtId="4">
    <nc r="C54">
      <v>19</v>
    </nc>
  </rcc>
  <rcc rId="1897" sId="2" numFmtId="4">
    <nc r="D54">
      <v>6</v>
    </nc>
  </rcc>
  <rcc rId="1898" sId="2" numFmtId="4">
    <nc r="E54">
      <v>6</v>
    </nc>
  </rcc>
  <rcc rId="1899" sId="2" numFmtId="4">
    <nc r="F54">
      <v>17</v>
    </nc>
  </rcc>
  <rcc rId="1900" sId="2" numFmtId="4">
    <nc r="G54">
      <v>0</v>
    </nc>
  </rcc>
  <rcc rId="1901" sId="2" numFmtId="4">
    <nc r="B55">
      <v>9</v>
    </nc>
  </rcc>
  <rcc rId="1902" sId="2" numFmtId="4">
    <nc r="C55">
      <v>11</v>
    </nc>
  </rcc>
  <rcc rId="1903" sId="2" numFmtId="4">
    <nc r="D55">
      <v>1</v>
    </nc>
  </rcc>
  <rcc rId="1904" sId="2" numFmtId="4">
    <nc r="E55">
      <v>117</v>
    </nc>
  </rcc>
  <rcc rId="1905" sId="2" numFmtId="4">
    <nc r="F55">
      <v>49</v>
    </nc>
  </rcc>
  <rcc rId="1906" sId="2" numFmtId="4">
    <nc r="G55">
      <v>0</v>
    </nc>
  </rcc>
  <rcc rId="1907" sId="2" numFmtId="4">
    <nc r="B56">
      <v>9</v>
    </nc>
  </rcc>
  <rcc rId="1908" sId="2" numFmtId="4">
    <nc r="C56">
      <v>11</v>
    </nc>
  </rcc>
  <rcc rId="1909" sId="2" numFmtId="4">
    <nc r="D56">
      <v>3</v>
    </nc>
  </rcc>
  <rcc rId="1910" sId="2" numFmtId="4">
    <nc r="E56">
      <v>70</v>
    </nc>
  </rcc>
  <rcc rId="1911" sId="2" numFmtId="4">
    <nc r="F56">
      <v>40</v>
    </nc>
  </rcc>
  <rcc rId="1912" sId="2" numFmtId="4">
    <nc r="G56">
      <v>0</v>
    </nc>
  </rcc>
  <rcc rId="1913" sId="2" numFmtId="4">
    <nc r="B57">
      <v>9</v>
    </nc>
  </rcc>
  <rcc rId="1914" sId="2" numFmtId="4">
    <nc r="C57">
      <v>11</v>
    </nc>
  </rcc>
  <rcc rId="1915" sId="2" numFmtId="4">
    <nc r="D57">
      <v>4</v>
    </nc>
  </rcc>
  <rcc rId="1916" sId="2" numFmtId="4">
    <nc r="E57">
      <v>86</v>
    </nc>
  </rcc>
  <rcc rId="1917" sId="2" numFmtId="4">
    <nc r="F57">
      <v>26</v>
    </nc>
  </rcc>
  <rcc rId="1918" sId="2" numFmtId="4">
    <nc r="G57">
      <v>0</v>
    </nc>
  </rcc>
</revisions>
</file>

<file path=xl/revisions/revisionLog36.xml><?xml version="1.0" encoding="utf-8"?>
<revisions xmlns="http://schemas.openxmlformats.org/spreadsheetml/2006/main" xmlns:r="http://schemas.openxmlformats.org/officeDocument/2006/relationships">
  <rcc rId="1919" sId="11" numFmtId="4">
    <nc r="B19">
      <v>20</v>
    </nc>
  </rcc>
  <rcc rId="1920" sId="11" numFmtId="4">
    <nc r="C19">
      <v>96</v>
    </nc>
  </rcc>
  <rcc rId="1921" sId="11" numFmtId="4">
    <nc r="D19">
      <v>3</v>
    </nc>
  </rcc>
  <rcc rId="1922" sId="11" numFmtId="4">
    <nc r="E19">
      <v>0</v>
    </nc>
  </rcc>
  <rcc rId="1923" sId="11" numFmtId="4">
    <nc r="F19">
      <v>1</v>
    </nc>
  </rcc>
  <rcc rId="1924" sId="11" numFmtId="4">
    <nc r="G19">
      <v>2</v>
    </nc>
  </rcc>
  <rcc rId="1925" sId="11" numFmtId="4">
    <nc r="H19">
      <v>0</v>
    </nc>
  </rcc>
  <rcc rId="1926" sId="8" numFmtId="4">
    <nc r="B77">
      <v>16</v>
    </nc>
  </rcc>
  <rcc rId="1927" sId="8" numFmtId="4">
    <nc r="C77">
      <v>81</v>
    </nc>
  </rcc>
  <rcc rId="1928" sId="8" numFmtId="4">
    <nc r="D77">
      <v>6</v>
    </nc>
  </rcc>
  <rcc rId="1929" sId="8" numFmtId="4">
    <nc r="E77">
      <v>6</v>
    </nc>
  </rcc>
  <rcc rId="1930" sId="8" numFmtId="4">
    <nc r="F77">
      <v>7</v>
    </nc>
  </rcc>
  <rcc rId="1931" sId="8" numFmtId="4">
    <nc r="G77">
      <v>10</v>
    </nc>
  </rcc>
  <rcc rId="1932" sId="8" numFmtId="4">
    <nc r="H77">
      <v>2</v>
    </nc>
  </rcc>
  <rcc rId="1933" sId="8" numFmtId="4">
    <nc r="B78">
      <v>16</v>
    </nc>
  </rcc>
  <rcc rId="1934" sId="8" numFmtId="4">
    <nc r="C78">
      <v>81</v>
    </nc>
  </rcc>
  <rcc rId="1935" sId="8" numFmtId="4">
    <nc r="D78">
      <v>7</v>
    </nc>
  </rcc>
  <rcc rId="1936" sId="8" numFmtId="4">
    <nc r="E78">
      <v>11</v>
    </nc>
  </rcc>
  <rcc rId="1937" sId="8" numFmtId="4">
    <nc r="F78">
      <v>5</v>
    </nc>
  </rcc>
  <rcc rId="1938" sId="8" numFmtId="4">
    <nc r="G78">
      <v>9</v>
    </nc>
  </rcc>
  <rcc rId="1939" sId="8" numFmtId="4">
    <nc r="H78">
      <v>3</v>
    </nc>
  </rcc>
  <rcc rId="1940" sId="8" numFmtId="4">
    <nc r="B79">
      <v>16</v>
    </nc>
  </rcc>
  <rcc rId="1941" sId="8" numFmtId="4">
    <nc r="C79">
      <v>67</v>
    </nc>
  </rcc>
  <rcc rId="1942" sId="8" numFmtId="4">
    <nc r="D79">
      <v>3</v>
    </nc>
  </rcc>
  <rcc rId="1943" sId="8" numFmtId="4">
    <nc r="E79">
      <v>5</v>
    </nc>
  </rcc>
  <rcc rId="1944" sId="8" numFmtId="4">
    <nc r="F79">
      <v>2</v>
    </nc>
  </rcc>
  <rcc rId="1945" sId="8" numFmtId="4">
    <nc r="G79">
      <v>2</v>
    </nc>
  </rcc>
  <rcc rId="1946" sId="8" numFmtId="4">
    <nc r="H79">
      <v>0</v>
    </nc>
  </rcc>
  <rcc rId="1947" sId="8" numFmtId="4">
    <nc r="B80">
      <v>16</v>
    </nc>
  </rcc>
  <rcc rId="1948" sId="8" numFmtId="4">
    <nc r="C80">
      <v>67</v>
    </nc>
  </rcc>
  <rcc rId="1949" sId="8" numFmtId="4">
    <nc r="D80">
      <v>4</v>
    </nc>
  </rcc>
  <rcc rId="1950" sId="8" numFmtId="4">
    <nc r="E80">
      <v>8</v>
    </nc>
  </rcc>
</revisions>
</file>

<file path=xl/revisions/revisionLog37.xml><?xml version="1.0" encoding="utf-8"?>
<revisions xmlns="http://schemas.openxmlformats.org/spreadsheetml/2006/main" xmlns:r="http://schemas.openxmlformats.org/officeDocument/2006/relationships">
  <rcc rId="1951" sId="5" numFmtId="4">
    <nc r="B186">
      <v>11</v>
    </nc>
  </rcc>
  <rcc rId="1952" sId="5" numFmtId="4">
    <nc r="C186">
      <v>59</v>
    </nc>
  </rcc>
  <rcc rId="1953" sId="5" numFmtId="4">
    <nc r="D186">
      <v>4</v>
    </nc>
  </rcc>
  <rcc rId="1954" sId="5" numFmtId="4">
    <nc r="E186">
      <v>6</v>
    </nc>
  </rcc>
  <rcc rId="1955" sId="5" numFmtId="4">
    <nc r="F186">
      <v>14</v>
    </nc>
  </rcc>
  <rcc rId="1956" sId="5" numFmtId="4">
    <nc r="G186">
      <v>0</v>
    </nc>
  </rcc>
  <rcc rId="1957" sId="5" numFmtId="4">
    <nc r="B187">
      <v>11</v>
    </nc>
  </rcc>
  <rcc rId="1958" sId="5" numFmtId="4">
    <nc r="C187">
      <v>59</v>
    </nc>
  </rcc>
  <rcc rId="1959" sId="5" numFmtId="4">
    <nc r="D187">
      <v>5</v>
    </nc>
  </rcc>
  <rcc rId="1960" sId="5" numFmtId="4">
    <nc r="E187">
      <v>2</v>
    </nc>
  </rcc>
  <rcc rId="1961" sId="5" numFmtId="4">
    <nc r="F187">
      <v>11</v>
    </nc>
  </rcc>
  <rcc rId="1962" sId="5" numFmtId="4">
    <nc r="G187">
      <v>2</v>
    </nc>
  </rcc>
  <rcc rId="1963" sId="5" numFmtId="4">
    <nc r="B188">
      <v>11</v>
    </nc>
  </rcc>
  <rcc rId="1964" sId="5" numFmtId="4">
    <nc r="C188">
      <v>40</v>
    </nc>
  </rcc>
  <rcc rId="1965" sId="5" numFmtId="4">
    <nc r="D188">
      <v>4</v>
    </nc>
  </rcc>
  <rcc rId="1966" sId="5" numFmtId="4">
    <nc r="E188">
      <v>3</v>
    </nc>
  </rcc>
  <rcc rId="1967" sId="5" numFmtId="4">
    <nc r="F188">
      <v>2</v>
    </nc>
  </rcc>
  <rcc rId="1968" sId="5" numFmtId="4">
    <nc r="G188">
      <v>3</v>
    </nc>
  </rcc>
  <rcc rId="1969" sId="5" numFmtId="4">
    <nc r="B189">
      <v>11</v>
    </nc>
  </rcc>
  <rcc rId="1970" sId="5" numFmtId="4">
    <nc r="C189">
      <v>40</v>
    </nc>
  </rcc>
  <rcc rId="1971" sId="5" numFmtId="4">
    <nc r="D189">
      <v>5</v>
    </nc>
  </rcc>
  <rcc rId="1972" sId="5" numFmtId="4">
    <nc r="E189">
      <v>6</v>
    </nc>
  </rcc>
  <rcc rId="1973" sId="5" numFmtId="4">
    <nc r="F189">
      <v>5</v>
    </nc>
  </rcc>
  <rcc rId="1974" sId="5" numFmtId="4">
    <nc r="G189">
      <v>3</v>
    </nc>
  </rcc>
  <rcc rId="1975" sId="5" numFmtId="4">
    <nc r="B190">
      <v>11</v>
    </nc>
  </rcc>
  <rcc rId="1976" sId="5" numFmtId="4">
    <nc r="C190">
      <v>40</v>
    </nc>
  </rcc>
  <rcc rId="1977" sId="5" numFmtId="4">
    <nc r="D190">
      <v>6</v>
    </nc>
  </rcc>
  <rcc rId="1978" sId="5" numFmtId="4">
    <nc r="E190">
      <v>2</v>
    </nc>
  </rcc>
  <rcc rId="1979" sId="5" numFmtId="4">
    <nc r="F190">
      <v>0</v>
    </nc>
  </rcc>
  <rcc rId="1980" sId="5" numFmtId="4">
    <nc r="G190">
      <v>0</v>
    </nc>
  </rcc>
  <rcc rId="1981" sId="5" numFmtId="4">
    <nc r="B191">
      <v>11</v>
    </nc>
  </rcc>
  <rcc rId="1982" sId="5" numFmtId="4">
    <nc r="C191">
      <v>49</v>
    </nc>
  </rcc>
  <rcc rId="1983" sId="5" numFmtId="4">
    <nc r="D191">
      <v>5</v>
    </nc>
  </rcc>
  <rcc rId="1984" sId="5" numFmtId="4">
    <nc r="E191">
      <v>3</v>
    </nc>
  </rcc>
  <rcc rId="1985" sId="5" numFmtId="4">
    <nc r="F191">
      <v>0</v>
    </nc>
  </rcc>
  <rcc rId="1986" sId="5" numFmtId="4">
    <nc r="G191">
      <v>0</v>
    </nc>
  </rcc>
  <rcc rId="1987" sId="5" numFmtId="4">
    <nc r="B192">
      <v>11</v>
    </nc>
  </rcc>
  <rcc rId="1988" sId="5" numFmtId="4">
    <nc r="C192">
      <v>49</v>
    </nc>
  </rcc>
  <rcc rId="1989" sId="5" numFmtId="4">
    <nc r="D192">
      <v>6</v>
    </nc>
  </rcc>
  <rcc rId="1990" sId="5" numFmtId="4">
    <nc r="E192">
      <v>12</v>
    </nc>
  </rcc>
  <rcc rId="1991" sId="5" numFmtId="4">
    <nc r="F192">
      <v>0</v>
    </nc>
  </rcc>
  <rcc rId="1992" sId="5" numFmtId="4">
    <nc r="G192">
      <v>0</v>
    </nc>
  </rcc>
  <rcc rId="1993" sId="5" numFmtId="4">
    <nc r="B193">
      <v>11</v>
    </nc>
  </rcc>
  <rcc rId="1994" sId="5" numFmtId="4">
    <nc r="C193">
      <v>57</v>
    </nc>
  </rcc>
  <rcc rId="1995" sId="5" numFmtId="4">
    <nc r="D193">
      <v>6</v>
    </nc>
  </rcc>
  <rcc rId="1996" sId="5" numFmtId="4">
    <nc r="E193">
      <v>6</v>
    </nc>
  </rcc>
  <rcc rId="1997" sId="5" numFmtId="4">
    <nc r="F193">
      <v>3</v>
    </nc>
  </rcc>
  <rcc rId="1998" sId="5" numFmtId="4">
    <nc r="G193">
      <v>2</v>
    </nc>
  </rcc>
  <rcc rId="1999" sId="5" numFmtId="4">
    <nc r="B194">
      <v>11</v>
    </nc>
  </rcc>
  <rcc rId="2000" sId="5" numFmtId="4">
    <nc r="C194">
      <v>57</v>
    </nc>
  </rcc>
  <rcc rId="2001" sId="5" numFmtId="4">
    <nc r="D194">
      <v>7</v>
    </nc>
  </rcc>
  <rcc rId="2002" sId="5" numFmtId="4">
    <nc r="E194">
      <v>9</v>
    </nc>
  </rcc>
  <rcc rId="2003" sId="5" numFmtId="4">
    <nc r="F194">
      <v>0</v>
    </nc>
  </rcc>
  <rcc rId="2004" sId="5" numFmtId="4">
    <nc r="G194">
      <v>4</v>
    </nc>
  </rcc>
  <rcc rId="2005" sId="5" numFmtId="4">
    <nc r="B195">
      <v>11</v>
    </nc>
  </rcc>
  <rcc rId="2006" sId="5" numFmtId="4">
    <nc r="C195">
      <v>35</v>
    </nc>
  </rcc>
  <rcc rId="2007" sId="5" numFmtId="4">
    <nc r="D195">
      <v>5</v>
    </nc>
  </rcc>
  <rcc rId="2008" sId="5" numFmtId="4">
    <nc r="E195">
      <v>23</v>
    </nc>
  </rcc>
  <rcc rId="2009" sId="5" numFmtId="4">
    <nc r="F195">
      <v>0</v>
    </nc>
  </rcc>
  <rcc rId="2010" sId="5" numFmtId="4">
    <nc r="G195">
      <v>1</v>
    </nc>
  </rcc>
  <rcc rId="2011" sId="5" numFmtId="4">
    <nc r="B196">
      <v>11</v>
    </nc>
  </rcc>
  <rcc rId="2012" sId="5" numFmtId="4">
    <nc r="C196">
      <v>35</v>
    </nc>
  </rcc>
  <rcc rId="2013" sId="5" numFmtId="4">
    <nc r="D196">
      <v>6</v>
    </nc>
  </rcc>
  <rcc rId="2014" sId="5" numFmtId="4">
    <nc r="E196">
      <v>20</v>
    </nc>
  </rcc>
  <rcc rId="2015" sId="5" numFmtId="4">
    <nc r="F196">
      <v>0</v>
    </nc>
  </rcc>
  <rcc rId="2016" sId="5" numFmtId="4">
    <nc r="G196">
      <v>0</v>
    </nc>
  </rcc>
  <rcc rId="2017" sId="5" numFmtId="4">
    <nc r="B197">
      <v>11</v>
    </nc>
  </rcc>
  <rcc rId="2018" sId="5" numFmtId="4">
    <nc r="C197">
      <v>35</v>
    </nc>
  </rcc>
  <rcc rId="2019" sId="5" numFmtId="4">
    <nc r="D197">
      <v>7</v>
    </nc>
  </rcc>
  <rcc rId="2020" sId="5" numFmtId="4">
    <nc r="E197">
      <v>16</v>
    </nc>
  </rcc>
  <rcc rId="2021" sId="5" numFmtId="4">
    <nc r="F197">
      <v>0</v>
    </nc>
  </rcc>
  <rcc rId="2022" sId="5" numFmtId="4">
    <nc r="G197">
      <v>2</v>
    </nc>
  </rcc>
  <rcc rId="2023" sId="2" numFmtId="4">
    <nc r="B58">
      <v>9</v>
    </nc>
  </rcc>
  <rcc rId="2024" sId="2" numFmtId="4">
    <nc r="C58">
      <v>8</v>
    </nc>
  </rcc>
  <rcc rId="2025" sId="2" numFmtId="4">
    <nc r="D58">
      <v>4</v>
    </nc>
  </rcc>
  <rcc rId="2026" sId="2" numFmtId="4">
    <nc r="E58">
      <v>9</v>
    </nc>
  </rcc>
  <rcc rId="2027" sId="2" numFmtId="4">
    <nc r="F58">
      <v>10</v>
    </nc>
  </rcc>
  <rcc rId="2028" sId="2" numFmtId="4">
    <nc r="G58">
      <v>0</v>
    </nc>
  </rcc>
  <rcc rId="2029" sId="2" numFmtId="4">
    <nc r="B59">
      <v>9</v>
    </nc>
  </rcc>
  <rcc rId="2030" sId="2" numFmtId="4">
    <nc r="C59">
      <v>9</v>
    </nc>
  </rcc>
  <rcc rId="2031" sId="2" numFmtId="4">
    <nc r="D59">
      <v>5</v>
    </nc>
  </rcc>
  <rcc rId="2032" sId="2" numFmtId="4">
    <nc r="E59">
      <v>11</v>
    </nc>
  </rcc>
  <rcc rId="2033" sId="2" numFmtId="4">
    <nc r="F59">
      <v>9</v>
    </nc>
  </rcc>
  <rcc rId="2034" sId="2" numFmtId="4">
    <nc r="G59">
      <v>1</v>
    </nc>
  </rcc>
  <rcc rId="2035" sId="2" numFmtId="4">
    <nc r="B60">
      <v>9</v>
    </nc>
  </rcc>
  <rcc rId="2036" sId="2" numFmtId="4">
    <nc r="C60">
      <v>8</v>
    </nc>
  </rcc>
  <rcc rId="2037" sId="2" numFmtId="4">
    <nc r="D60">
      <v>3</v>
    </nc>
  </rcc>
  <rcc rId="2038" sId="2" numFmtId="4">
    <nc r="E60">
      <v>10</v>
    </nc>
  </rcc>
  <rcc rId="2039" sId="2" numFmtId="4">
    <nc r="F60">
      <v>9</v>
    </nc>
  </rcc>
  <rcc rId="2040" sId="2" numFmtId="4">
    <nc r="G60">
      <v>0</v>
    </nc>
  </rcc>
  <rcc rId="2041" sId="2" numFmtId="4">
    <nc r="B61">
      <v>9</v>
    </nc>
  </rcc>
  <rcc rId="2042" sId="2" numFmtId="4">
    <nc r="C61">
      <v>8</v>
    </nc>
  </rcc>
  <rcc rId="2043" sId="2" numFmtId="4">
    <nc r="D61">
      <v>2</v>
    </nc>
  </rcc>
  <rcc rId="2044" sId="2" numFmtId="4">
    <nc r="E61">
      <v>15</v>
    </nc>
  </rcc>
  <rcc rId="2045" sId="2" numFmtId="4">
    <nc r="F61">
      <v>10</v>
    </nc>
  </rcc>
  <rcc rId="2046" sId="2" numFmtId="4">
    <nc r="G61">
      <v>0</v>
    </nc>
  </rcc>
  <rcc rId="2047" sId="2" numFmtId="4">
    <nc r="B62">
      <v>9</v>
    </nc>
  </rcc>
  <rcc rId="2048" sId="2" numFmtId="4">
    <nc r="C62">
      <v>8</v>
    </nc>
  </rcc>
  <rcc rId="2049" sId="2" numFmtId="4">
    <nc r="D62">
      <v>1</v>
    </nc>
  </rcc>
  <rcc rId="2050" sId="2" numFmtId="4">
    <nc r="E62">
      <v>10</v>
    </nc>
  </rcc>
  <rcc rId="2051" sId="2" numFmtId="4">
    <nc r="F62">
      <v>8</v>
    </nc>
  </rcc>
  <rcc rId="2052" sId="2" numFmtId="4">
    <nc r="G62">
      <v>0</v>
    </nc>
  </rcc>
  <rcc rId="2053" sId="2" numFmtId="4">
    <nc r="B63">
      <v>9</v>
    </nc>
  </rcc>
  <rcc rId="2054" sId="2" numFmtId="4">
    <nc r="C63">
      <v>8</v>
    </nc>
  </rcc>
  <rcc rId="2055" sId="2" numFmtId="4">
    <nc r="D63">
      <v>5</v>
    </nc>
  </rcc>
  <rcc rId="2056" sId="2" numFmtId="4">
    <nc r="E63">
      <v>11</v>
    </nc>
  </rcc>
  <rcc rId="2057" sId="2" numFmtId="4">
    <nc r="F63">
      <v>5</v>
    </nc>
  </rcc>
  <rcc rId="2058" sId="2" numFmtId="4">
    <nc r="G63">
      <v>0</v>
    </nc>
  </rcc>
  <rcc rId="2059" sId="2" numFmtId="4">
    <nc r="B64">
      <v>9</v>
    </nc>
  </rcc>
  <rcc rId="2060" sId="2" numFmtId="4">
    <nc r="C64">
      <v>6</v>
    </nc>
  </rcc>
  <rcc rId="2061" sId="2" numFmtId="4">
    <nc r="D64">
      <v>4</v>
    </nc>
  </rcc>
  <rcc rId="2062" sId="2" numFmtId="4">
    <nc r="E64">
      <v>14</v>
    </nc>
  </rcc>
  <rcc rId="2063" sId="2" numFmtId="4">
    <nc r="F64">
      <v>8</v>
    </nc>
  </rcc>
  <rcc rId="2064" sId="2" numFmtId="4">
    <nc r="G64">
      <v>0</v>
    </nc>
  </rcc>
  <rcc rId="2065" sId="2" numFmtId="4">
    <nc r="B65">
      <v>9</v>
    </nc>
  </rcc>
  <rcc rId="2066" sId="2" numFmtId="4">
    <nc r="C65">
      <v>2</v>
    </nc>
  </rcc>
  <rcc rId="2067" sId="2" numFmtId="4">
    <nc r="D65">
      <v>3</v>
    </nc>
  </rcc>
  <rcc rId="2068" sId="2" numFmtId="4">
    <nc r="E65">
      <v>19</v>
    </nc>
  </rcc>
  <rcc rId="2069" sId="2" numFmtId="4">
    <nc r="F65">
      <v>10</v>
    </nc>
  </rcc>
  <rcc rId="2070" sId="2" numFmtId="4">
    <nc r="G65">
      <v>0</v>
    </nc>
  </rcc>
  <rcc rId="2071" sId="2" numFmtId="4">
    <nc r="B66">
      <v>9</v>
    </nc>
  </rcc>
  <rcc rId="2072" sId="2" numFmtId="4">
    <nc r="C66">
      <v>2</v>
    </nc>
  </rcc>
</revisions>
</file>

<file path=xl/revisions/revisionLog38.xml><?xml version="1.0" encoding="utf-8"?>
<revisions xmlns="http://schemas.openxmlformats.org/spreadsheetml/2006/main" xmlns:r="http://schemas.openxmlformats.org/officeDocument/2006/relationships">
  <rcc rId="2073" sId="8" numFmtId="4">
    <nc r="F80">
      <v>0</v>
    </nc>
  </rcc>
  <rcc rId="2074" sId="8" numFmtId="4">
    <nc r="G80">
      <v>3</v>
    </nc>
  </rcc>
  <rcc rId="2075" sId="8" numFmtId="4">
    <nc r="H80">
      <v>0</v>
    </nc>
  </rcc>
  <rcc rId="2076" sId="8" numFmtId="4">
    <nc r="B81">
      <v>16</v>
    </nc>
  </rcc>
  <rcc rId="2077" sId="8" numFmtId="4">
    <nc r="C81">
      <v>67</v>
    </nc>
  </rcc>
  <rcc rId="2078" sId="8" numFmtId="4">
    <nc r="D81">
      <v>5</v>
    </nc>
  </rcc>
  <rcc rId="2079" sId="8" numFmtId="4">
    <nc r="E81">
      <v>14</v>
    </nc>
  </rcc>
  <rcc rId="2080" sId="8" numFmtId="4">
    <nc r="F81">
      <v>2</v>
    </nc>
  </rcc>
  <rcc rId="2081" sId="8" numFmtId="4">
    <nc r="G81">
      <v>0</v>
    </nc>
  </rcc>
  <rcc rId="2082" sId="8" numFmtId="4">
    <nc r="H81">
      <v>0</v>
    </nc>
  </rcc>
  <rcc rId="2083" sId="8" numFmtId="4">
    <nc r="B82">
      <v>16</v>
    </nc>
  </rcc>
  <rcc rId="2084" sId="8" numFmtId="4">
    <nc r="C82">
      <v>67</v>
    </nc>
  </rcc>
  <rcc rId="2085" sId="8" numFmtId="4">
    <nc r="D82">
      <v>6</v>
    </nc>
  </rcc>
  <rcc rId="2086" sId="8" numFmtId="4">
    <nc r="E82">
      <v>4</v>
    </nc>
  </rcc>
  <rcc rId="2087" sId="8" numFmtId="4">
    <nc r="F82">
      <v>3</v>
    </nc>
  </rcc>
  <rcc rId="2088" sId="8" numFmtId="4">
    <nc r="G82">
      <v>0</v>
    </nc>
  </rcc>
  <rcc rId="2089" sId="8" numFmtId="4">
    <nc r="H82">
      <v>0</v>
    </nc>
  </rcc>
  <rcc rId="2090" sId="8" numFmtId="4">
    <nc r="B83">
      <v>16</v>
    </nc>
  </rcc>
  <rcc rId="2091" sId="8" numFmtId="4">
    <nc r="C83">
      <v>71</v>
    </nc>
  </rcc>
  <rcc rId="2092" sId="8" numFmtId="4">
    <nc r="D83">
      <v>6</v>
    </nc>
  </rcc>
  <rcc rId="2093" sId="8" numFmtId="4">
    <nc r="E83">
      <v>5</v>
    </nc>
  </rcc>
  <rcc rId="2094" sId="8" numFmtId="4">
    <nc r="F83">
      <v>2</v>
    </nc>
  </rcc>
  <rcc rId="2095" sId="8" numFmtId="4">
    <nc r="G83">
      <v>0</v>
    </nc>
  </rcc>
  <rcc rId="2096" sId="8" numFmtId="4">
    <nc r="H83">
      <v>1</v>
    </nc>
  </rcc>
  <rcc rId="2097" sId="8" numFmtId="4">
    <nc r="B84">
      <v>16</v>
    </nc>
  </rcc>
  <rcc rId="2098" sId="8" numFmtId="4">
    <nc r="C84">
      <v>72</v>
    </nc>
  </rcc>
  <rcc rId="2099" sId="8" numFmtId="4">
    <nc r="D84">
      <v>7</v>
    </nc>
  </rcc>
  <rcc rId="2100" sId="8" numFmtId="4">
    <nc r="E84">
      <v>4</v>
    </nc>
  </rcc>
  <rcc rId="2101" sId="8" numFmtId="4">
    <nc r="F84">
      <v>3</v>
    </nc>
  </rcc>
  <rcc rId="2102" sId="8" numFmtId="4">
    <nc r="G84">
      <v>0</v>
    </nc>
  </rcc>
  <rcc rId="2103" sId="8" numFmtId="4">
    <nc r="H84">
      <v>0</v>
    </nc>
  </rcc>
  <rcc rId="2104" sId="8" numFmtId="4">
    <nc r="B85">
      <v>16</v>
    </nc>
  </rcc>
  <rcc rId="2105" sId="8" numFmtId="4">
    <nc r="C85">
      <v>82</v>
    </nc>
  </rcc>
  <rcc rId="2106" sId="8" numFmtId="4">
    <nc r="D85">
      <v>6</v>
    </nc>
  </rcc>
  <rcc rId="2107" sId="8" numFmtId="4">
    <nc r="E85">
      <v>8</v>
    </nc>
  </rcc>
  <rcc rId="2108" sId="8" numFmtId="4">
    <nc r="F85">
      <v>3</v>
    </nc>
  </rcc>
  <rcc rId="2109" sId="8" numFmtId="4">
    <nc r="G85">
      <v>0</v>
    </nc>
  </rcc>
  <rcc rId="2110" sId="8" numFmtId="4">
    <nc r="H85">
      <v>0</v>
    </nc>
  </rcc>
  <rcc rId="2111" sId="8" numFmtId="4">
    <nc r="B86">
      <v>16</v>
    </nc>
  </rcc>
  <rcc rId="2112" sId="8" numFmtId="4">
    <nc r="C86">
      <v>82</v>
    </nc>
  </rcc>
  <rcc rId="2113" sId="8" numFmtId="4">
    <nc r="D86">
      <v>7</v>
    </nc>
  </rcc>
  <rcc rId="2114" sId="8" numFmtId="4">
    <nc r="E86">
      <v>8</v>
    </nc>
  </rcc>
  <rcc rId="2115" sId="8" numFmtId="4">
    <nc r="F86">
      <v>0</v>
    </nc>
  </rcc>
  <rcc rId="2116" sId="8" numFmtId="4">
    <nc r="G86">
      <v>2</v>
    </nc>
  </rcc>
  <rcc rId="2117" sId="8" numFmtId="4">
    <nc r="H86">
      <v>0</v>
    </nc>
  </rcc>
  <rcc rId="2118" sId="8" numFmtId="4">
    <nc r="B87">
      <v>16</v>
    </nc>
  </rcc>
  <rcc rId="2119" sId="8" numFmtId="4">
    <nc r="C87">
      <v>82</v>
    </nc>
  </rcc>
  <rcc rId="2120" sId="8" numFmtId="4">
    <nc r="D87">
      <v>8</v>
    </nc>
  </rcc>
  <rcc rId="2121" sId="8" numFmtId="4">
    <nc r="E87">
      <v>4</v>
    </nc>
  </rcc>
  <rcc rId="2122" sId="8" numFmtId="4">
    <nc r="F87">
      <v>4</v>
    </nc>
  </rcc>
  <rcc rId="2123" sId="8" numFmtId="4">
    <nc r="G87">
      <v>4</v>
    </nc>
  </rcc>
  <rcc rId="2124" sId="8" numFmtId="4">
    <nc r="H87">
      <v>0</v>
    </nc>
  </rcc>
</revisions>
</file>

<file path=xl/revisions/revisionLog39.xml><?xml version="1.0" encoding="utf-8"?>
<revisions xmlns="http://schemas.openxmlformats.org/spreadsheetml/2006/main" xmlns:r="http://schemas.openxmlformats.org/officeDocument/2006/relationships">
  <rcc rId="2125" sId="2" numFmtId="4">
    <nc r="D66">
      <v>4</v>
    </nc>
  </rcc>
  <rcc rId="2126" sId="2" numFmtId="4">
    <nc r="E66">
      <v>46</v>
    </nc>
  </rcc>
  <rcc rId="2127" sId="2" numFmtId="4">
    <nc r="F66">
      <v>39</v>
    </nc>
  </rcc>
  <rcc rId="2128" sId="2" numFmtId="4">
    <nc r="G66">
      <v>0</v>
    </nc>
  </rcc>
  <rcc rId="2129" sId="2" numFmtId="4">
    <nc r="B67">
      <v>9</v>
    </nc>
  </rcc>
  <rcc rId="2130" sId="2" numFmtId="4">
    <nc r="C67">
      <v>14</v>
    </nc>
  </rcc>
  <rcc rId="2131" sId="2" numFmtId="4">
    <nc r="D67">
      <v>5</v>
    </nc>
  </rcc>
  <rcc rId="2132" sId="2" numFmtId="4">
    <nc r="E67">
      <v>6</v>
    </nc>
  </rcc>
  <rcc rId="2133" sId="2" numFmtId="4">
    <nc r="F67">
      <v>3</v>
    </nc>
  </rcc>
  <rcc rId="2134" sId="2" numFmtId="4">
    <nc r="G67">
      <v>0</v>
    </nc>
  </rcc>
  <rcc rId="2135" sId="2" numFmtId="4">
    <nc r="B68">
      <v>9</v>
    </nc>
  </rcc>
  <rcc rId="2136" sId="2" numFmtId="4">
    <nc r="C68">
      <v>14</v>
    </nc>
  </rcc>
  <rcc rId="2137" sId="2" numFmtId="4">
    <nc r="D68">
      <v>6</v>
    </nc>
  </rcc>
  <rcc rId="2138" sId="2" numFmtId="4">
    <nc r="E68">
      <v>4</v>
    </nc>
  </rcc>
  <rcc rId="2139" sId="2" numFmtId="4">
    <nc r="F68">
      <v>4</v>
    </nc>
  </rcc>
  <rcc rId="2140" sId="2" numFmtId="4">
    <nc r="G68">
      <v>0</v>
    </nc>
  </rcc>
  <rcc rId="2141" sId="5">
    <oc r="I3" t="inlineStr">
      <is>
        <t>Falcón</t>
      </is>
    </oc>
    <nc r="I3">
      <v>11</v>
    </nc>
  </rcc>
  <rcc rId="2142" sId="5" numFmtId="4">
    <nc r="B198">
      <v>11</v>
    </nc>
  </rcc>
  <rcc rId="2143" sId="5" numFmtId="4">
    <nc r="C198">
      <v>29</v>
    </nc>
  </rcc>
  <rcc rId="2144" sId="5" numFmtId="4">
    <nc r="D198">
      <v>7</v>
    </nc>
  </rcc>
  <rcc rId="2145" sId="5" numFmtId="4">
    <nc r="E198">
      <v>26</v>
    </nc>
  </rcc>
  <rcc rId="2146" sId="5" numFmtId="4">
    <nc r="F198">
      <v>2</v>
    </nc>
  </rcc>
  <rcc rId="2147" sId="5" numFmtId="4">
    <nc r="G198">
      <v>3</v>
    </nc>
  </rcc>
  <rcc rId="2148" sId="5" numFmtId="4">
    <nc r="B199">
      <v>11</v>
    </nc>
  </rcc>
  <rcc rId="2149" sId="5" numFmtId="4">
    <nc r="C199">
      <v>43</v>
    </nc>
  </rcc>
  <rcc rId="2150" sId="5" numFmtId="4">
    <nc r="D199">
      <v>6</v>
    </nc>
  </rcc>
  <rcc rId="2151" sId="5" numFmtId="4">
    <nc r="E199">
      <v>15</v>
    </nc>
  </rcc>
  <rcc rId="2152" sId="5" numFmtId="4">
    <nc r="F199">
      <v>3</v>
    </nc>
  </rcc>
  <rcc rId="2153" sId="5" numFmtId="4">
    <nc r="G199">
      <v>1</v>
    </nc>
  </rcc>
  <rcc rId="2154" sId="5" numFmtId="4">
    <nc r="B200">
      <v>11</v>
    </nc>
  </rcc>
  <rcc rId="2155" sId="5" numFmtId="4">
    <nc r="C200">
      <v>26</v>
    </nc>
  </rcc>
  <rcc rId="2156" sId="5" numFmtId="4">
    <nc r="D200">
      <v>7</v>
    </nc>
  </rcc>
  <rcc rId="2157" sId="5" numFmtId="4">
    <nc r="E200">
      <v>13</v>
    </nc>
  </rcc>
  <rcc rId="2158" sId="5" numFmtId="4">
    <nc r="F200">
      <v>15</v>
    </nc>
  </rcc>
  <rcc rId="2159" sId="5" numFmtId="4">
    <nc r="G200">
      <v>5</v>
    </nc>
  </rcc>
  <rcc rId="2160" sId="2" numFmtId="4">
    <nc r="B69">
      <v>9</v>
    </nc>
  </rcc>
  <rcc rId="2161" sId="2" numFmtId="4">
    <nc r="C69">
      <v>7</v>
    </nc>
  </rcc>
  <rcc rId="2162" sId="2" numFmtId="4">
    <nc r="D69">
      <v>1</v>
    </nc>
  </rcc>
  <rcc rId="2163" sId="2" numFmtId="4">
    <nc r="E69">
      <v>20</v>
    </nc>
  </rcc>
  <rcc rId="2164" sId="2" numFmtId="4">
    <nc r="F69">
      <v>54</v>
    </nc>
  </rcc>
  <rcc rId="2165" sId="2" numFmtId="4">
    <nc r="G69">
      <v>2</v>
    </nc>
  </rcc>
  <rcc rId="2166" sId="2" numFmtId="4">
    <nc r="B70">
      <v>9</v>
    </nc>
  </rcc>
  <rcc rId="2167" sId="2" numFmtId="4">
    <nc r="C70">
      <v>7</v>
    </nc>
  </rcc>
  <rcc rId="2168" sId="2" numFmtId="4">
    <nc r="D70">
      <v>2</v>
    </nc>
  </rcc>
  <rcc rId="2169" sId="2" numFmtId="4">
    <nc r="E70">
      <v>21</v>
    </nc>
  </rcc>
  <rcc rId="2170" sId="2" numFmtId="4">
    <nc r="F70">
      <v>54</v>
    </nc>
  </rcc>
  <rcc rId="2171" sId="2" numFmtId="4">
    <nc r="G70">
      <v>2</v>
    </nc>
  </rcc>
  <rcc rId="2172" sId="2" numFmtId="4">
    <nc r="B71">
      <v>9</v>
    </nc>
  </rcc>
  <rcc rId="2173" sId="2" numFmtId="4">
    <nc r="C71">
      <v>7</v>
    </nc>
  </rcc>
  <rcc rId="2174" sId="2" numFmtId="4">
    <nc r="D71">
      <v>3</v>
    </nc>
  </rcc>
  <rcc rId="2175" sId="2" numFmtId="4">
    <nc r="F71">
      <v>54</v>
    </nc>
  </rcc>
  <rcc rId="2176" sId="2" numFmtId="4">
    <nc r="G71">
      <v>2</v>
    </nc>
  </rcc>
  <rcc rId="2177" sId="2" numFmtId="4">
    <nc r="E71">
      <v>21</v>
    </nc>
  </rcc>
  <rcc rId="2178" sId="2" numFmtId="4">
    <nc r="B72">
      <v>9</v>
    </nc>
  </rcc>
  <rcc rId="2179" sId="2" numFmtId="4">
    <nc r="C72">
      <v>7</v>
    </nc>
  </rcc>
  <rcc rId="2180" sId="2" numFmtId="4">
    <nc r="D72">
      <v>4</v>
    </nc>
  </rcc>
  <rcc rId="2181" sId="2" numFmtId="4">
    <nc r="E72">
      <v>21</v>
    </nc>
  </rcc>
  <rcc rId="2182" sId="2" numFmtId="4">
    <nc r="F72">
      <v>54</v>
    </nc>
  </rcc>
  <rcc rId="2183" sId="2" numFmtId="4">
    <nc r="G72">
      <v>1</v>
    </nc>
  </rcc>
  <rcc rId="2184" sId="5" numFmtId="4">
    <nc r="B201">
      <v>11</v>
    </nc>
  </rcc>
  <rcc rId="2185" sId="5" numFmtId="4">
    <nc r="C201">
      <v>62</v>
    </nc>
  </rcc>
  <rcc rId="2186" sId="5" numFmtId="4">
    <nc r="D201">
      <v>7</v>
    </nc>
  </rcc>
  <rcc rId="2187" sId="5" numFmtId="4">
    <nc r="E201">
      <v>16</v>
    </nc>
  </rcc>
  <rcc rId="2188" sId="5" numFmtId="4">
    <nc r="F201">
      <v>9</v>
    </nc>
  </rcc>
  <rcc rId="2189" sId="5" numFmtId="4">
    <nc r="G201">
      <v>0</v>
    </nc>
  </rcc>
  <rcc rId="2190" sId="5" numFmtId="4">
    <nc r="B202">
      <v>11</v>
    </nc>
  </rcc>
</revisions>
</file>

<file path=xl/revisions/revisionLog40.xml><?xml version="1.0" encoding="utf-8"?>
<revisions xmlns="http://schemas.openxmlformats.org/spreadsheetml/2006/main" xmlns:r="http://schemas.openxmlformats.org/officeDocument/2006/relationships">
  <rcc rId="2191" sId="8" numFmtId="4">
    <nc r="B88">
      <v>16</v>
    </nc>
  </rcc>
  <rcc rId="2192" sId="8" numFmtId="4">
    <nc r="C88">
      <v>69</v>
    </nc>
  </rcc>
  <rcc rId="2193" sId="8" numFmtId="4">
    <nc r="D88">
      <v>7</v>
    </nc>
  </rcc>
  <rcc rId="2194" sId="8" numFmtId="4">
    <nc r="E88">
      <v>6</v>
    </nc>
  </rcc>
  <rcc rId="2195" sId="8" numFmtId="4">
    <nc r="F88">
      <v>7</v>
    </nc>
  </rcc>
  <rcc rId="2196" sId="8" numFmtId="4">
    <nc r="G88">
      <v>10</v>
    </nc>
  </rcc>
  <rcc rId="2197" sId="8" numFmtId="4">
    <nc r="H88">
      <v>0</v>
    </nc>
  </rcc>
  <rcc rId="2198" sId="8" numFmtId="4">
    <nc r="B89">
      <v>16</v>
    </nc>
  </rcc>
  <rcc rId="2199" sId="8" numFmtId="4">
    <nc r="C89">
      <v>69</v>
    </nc>
  </rcc>
  <rcc rId="2200" sId="8" numFmtId="4">
    <nc r="D89">
      <v>8</v>
    </nc>
  </rcc>
  <rcc rId="2201" sId="8" numFmtId="4">
    <nc r="E89">
      <v>9</v>
    </nc>
  </rcc>
  <rcc rId="2202" sId="8" numFmtId="4">
    <nc r="F89">
      <v>3</v>
    </nc>
  </rcc>
  <rcc rId="2203" sId="8" numFmtId="4">
    <nc r="G89">
      <v>11</v>
    </nc>
  </rcc>
  <rcc rId="2204" sId="8" numFmtId="4">
    <nc r="H89">
      <v>1</v>
    </nc>
  </rcc>
  <rcc rId="2205" sId="11" numFmtId="4">
    <nc r="B20">
      <v>20</v>
    </nc>
  </rcc>
  <rcc rId="2206" sId="11" numFmtId="4">
    <nc r="C20">
      <v>85</v>
    </nc>
  </rcc>
  <rcc rId="2207" sId="11" numFmtId="4">
    <nc r="D20">
      <v>1</v>
    </nc>
  </rcc>
  <rcc rId="2208" sId="11" numFmtId="4">
    <nc r="E20">
      <v>12</v>
    </nc>
  </rcc>
  <rcc rId="2209" sId="11" numFmtId="4">
    <nc r="F20">
      <v>2</v>
    </nc>
  </rcc>
  <rcc rId="2210" sId="11" numFmtId="4">
    <nc r="G20">
      <v>17</v>
    </nc>
  </rcc>
  <rcc rId="2211" sId="11" numFmtId="4">
    <nc r="H20">
      <v>0</v>
    </nc>
  </rcc>
</revisions>
</file>

<file path=xl/revisions/revisionLog41.xml><?xml version="1.0" encoding="utf-8"?>
<revisions xmlns="http://schemas.openxmlformats.org/spreadsheetml/2006/main" xmlns:r="http://schemas.openxmlformats.org/officeDocument/2006/relationships">
  <rcc rId="2212" sId="5" numFmtId="4">
    <nc r="C202">
      <v>62</v>
    </nc>
  </rcc>
  <rcc rId="2213" sId="5" numFmtId="4">
    <nc r="D202">
      <v>6</v>
    </nc>
  </rcc>
  <rcc rId="2214" sId="5" numFmtId="4">
    <nc r="E202">
      <v>14</v>
    </nc>
  </rcc>
  <rcc rId="2215" sId="5" numFmtId="4">
    <nc r="F202">
      <v>9</v>
    </nc>
  </rcc>
  <rcc rId="2216" sId="5" numFmtId="4">
    <nc r="G202">
      <v>2</v>
    </nc>
  </rcc>
  <rcc rId="2217" sId="5" numFmtId="4">
    <nc r="B203">
      <v>11</v>
    </nc>
  </rcc>
  <rcc rId="2218" sId="5" numFmtId="4">
    <nc r="C203">
      <v>62</v>
    </nc>
  </rcc>
  <rcc rId="2219" sId="5" numFmtId="4">
    <nc r="D203">
      <v>5</v>
    </nc>
  </rcc>
  <rcc rId="2220" sId="5" numFmtId="4">
    <nc r="E203">
      <v>13</v>
    </nc>
  </rcc>
  <rcc rId="2221" sId="5" numFmtId="4">
    <nc r="F203">
      <v>11</v>
    </nc>
  </rcc>
  <rcc rId="2222" sId="5" numFmtId="4">
    <nc r="G203">
      <v>1</v>
    </nc>
  </rcc>
  <rcc rId="2223" sId="5" numFmtId="4">
    <nc r="B204">
      <v>11</v>
    </nc>
  </rcc>
  <rcc rId="2224" sId="5" numFmtId="4">
    <nc r="C204">
      <v>53</v>
    </nc>
  </rcc>
  <rcc rId="2225" sId="5" numFmtId="4">
    <nc r="D204">
      <v>6</v>
    </nc>
  </rcc>
  <rcc rId="2226" sId="5" numFmtId="4">
    <nc r="E204">
      <v>17</v>
    </nc>
  </rcc>
  <rcc rId="2227" sId="5" numFmtId="4">
    <nc r="F204">
      <v>8</v>
    </nc>
  </rcc>
  <rcc rId="2228" sId="5" numFmtId="4">
    <nc r="G204">
      <v>5</v>
    </nc>
  </rcc>
  <rcc rId="2229" sId="5" numFmtId="4">
    <nc r="B205">
      <v>11</v>
    </nc>
  </rcc>
  <rcc rId="2230" sId="5" numFmtId="4">
    <nc r="C205">
      <v>53</v>
    </nc>
  </rcc>
  <rcc rId="2231" sId="5" numFmtId="4">
    <nc r="D205">
      <v>5</v>
    </nc>
  </rcc>
  <rcc rId="2232" sId="5" numFmtId="4">
    <nc r="E205">
      <v>20</v>
    </nc>
  </rcc>
  <rcc rId="2233" sId="5" numFmtId="4">
    <nc r="F205">
      <v>5</v>
    </nc>
  </rcc>
  <rcc rId="2234" sId="5" numFmtId="4">
    <nc r="G205">
      <v>3</v>
    </nc>
  </rcc>
  <rcc rId="2235" sId="5" numFmtId="4">
    <nc r="B206">
      <v>11</v>
    </nc>
  </rcc>
  <rcc rId="2236" sId="5" numFmtId="4">
    <nc r="C206">
      <v>61</v>
    </nc>
  </rcc>
  <rcc rId="2237" sId="5" numFmtId="4">
    <nc r="D206">
      <v>3</v>
    </nc>
  </rcc>
  <rcc rId="2238" sId="5" numFmtId="4">
    <nc r="E206">
      <v>14</v>
    </nc>
  </rcc>
  <rcc rId="2239" sId="5" numFmtId="4">
    <nc r="F206">
      <v>2</v>
    </nc>
  </rcc>
  <rcc rId="2240" sId="5" numFmtId="4">
    <nc r="G206">
      <v>1</v>
    </nc>
  </rcc>
  <rcc rId="2241" sId="5" numFmtId="4">
    <nc r="B207">
      <v>11</v>
    </nc>
  </rcc>
  <rcc rId="2242" sId="5" numFmtId="4">
    <nc r="C207">
      <v>54</v>
    </nc>
  </rcc>
  <rcc rId="2243" sId="5" numFmtId="4">
    <nc r="D207">
      <v>3</v>
    </nc>
  </rcc>
  <rcc rId="2244" sId="5" numFmtId="4">
    <nc r="E207">
      <v>17</v>
    </nc>
  </rcc>
  <rcc rId="2245" sId="5" numFmtId="4">
    <nc r="F207">
      <v>3</v>
    </nc>
  </rcc>
  <rcc rId="2246" sId="5" numFmtId="4">
    <nc r="G207">
      <v>0</v>
    </nc>
  </rcc>
  <rcc rId="2247" sId="5" numFmtId="4">
    <nc r="B208">
      <v>11</v>
    </nc>
  </rcc>
  <rcc rId="2248" sId="5" numFmtId="4">
    <nc r="C208">
      <v>48</v>
    </nc>
  </rcc>
  <rcc rId="2249" sId="5" numFmtId="4">
    <nc r="D208">
      <v>6</v>
    </nc>
  </rcc>
  <rcc rId="2250" sId="5" numFmtId="4">
    <nc r="E208">
      <v>14</v>
    </nc>
  </rcc>
  <rcc rId="2251" sId="5" numFmtId="4">
    <nc r="F208">
      <v>2</v>
    </nc>
  </rcc>
  <rcc rId="2252" sId="5" numFmtId="4">
    <nc r="G208">
      <v>0</v>
    </nc>
  </rcc>
  <rcc rId="2253" sId="5" numFmtId="4">
    <nc r="B209">
      <v>11</v>
    </nc>
  </rcc>
  <rcc rId="2254" sId="5" numFmtId="4">
    <nc r="C209">
      <v>48</v>
    </nc>
  </rcc>
  <rcc rId="2255" sId="5" numFmtId="4">
    <nc r="D209">
      <v>5</v>
    </nc>
  </rcc>
  <rcc rId="2256" sId="5" numFmtId="4">
    <nc r="E209">
      <v>8</v>
    </nc>
  </rcc>
  <rcc rId="2257" sId="5" numFmtId="4">
    <nc r="F209">
      <v>3</v>
    </nc>
  </rcc>
  <rcc rId="2258" sId="5" numFmtId="4">
    <nc r="G209">
      <v>12</v>
    </nc>
  </rcc>
  <rcc rId="2259" sId="5" numFmtId="4">
    <nc r="B210">
      <v>11</v>
    </nc>
  </rcc>
  <rcc rId="2260" sId="5" numFmtId="4">
    <nc r="C210">
      <v>48</v>
    </nc>
  </rcc>
  <rcc rId="2261" sId="5" numFmtId="4">
    <nc r="D210">
      <v>4</v>
    </nc>
  </rcc>
  <rcc rId="2262" sId="5" numFmtId="4">
    <nc r="E210">
      <v>17</v>
    </nc>
  </rcc>
  <rcc rId="2263" sId="5" numFmtId="4">
    <nc r="F210">
      <v>2</v>
    </nc>
  </rcc>
  <rcc rId="2264" sId="5" numFmtId="4">
    <nc r="G210">
      <v>19</v>
    </nc>
  </rcc>
  <rcc rId="2265" sId="5" numFmtId="4">
    <nc r="B211">
      <v>11</v>
    </nc>
  </rcc>
  <rcc rId="2266" sId="5" numFmtId="4">
    <nc r="C211">
      <v>63</v>
    </nc>
  </rcc>
  <rcc rId="2267" sId="5" numFmtId="4">
    <nc r="D211">
      <v>7</v>
    </nc>
  </rcc>
  <rcc rId="2268" sId="5" numFmtId="4">
    <nc r="E211">
      <v>6</v>
    </nc>
  </rcc>
  <rcc rId="2269" sId="5" numFmtId="4">
    <nc r="F211">
      <v>1</v>
    </nc>
  </rcc>
  <rcc rId="2270" sId="5" numFmtId="4">
    <nc r="G211">
      <v>1</v>
    </nc>
  </rcc>
  <rcc rId="2271" sId="5" numFmtId="4">
    <nc r="B212">
      <v>11</v>
    </nc>
  </rcc>
  <rcc rId="2272" sId="5" numFmtId="4">
    <nc r="C212">
      <v>63</v>
    </nc>
  </rcc>
  <rcc rId="2273" sId="5" numFmtId="4">
    <nc r="D212">
      <v>6</v>
    </nc>
  </rcc>
  <rcc rId="2274" sId="5" numFmtId="4">
    <nc r="E212">
      <v>8</v>
    </nc>
  </rcc>
  <rcc rId="2275" sId="5" numFmtId="4">
    <nc r="F212">
      <v>2</v>
    </nc>
  </rcc>
  <rcc rId="2276" sId="5" numFmtId="4">
    <nc r="G212">
      <v>0</v>
    </nc>
  </rcc>
  <rcc rId="2277" sId="5" numFmtId="4">
    <nc r="B213">
      <v>11</v>
    </nc>
  </rcc>
  <rcc rId="2278" sId="5" numFmtId="4">
    <nc r="C213">
      <v>63</v>
    </nc>
  </rcc>
  <rcc rId="2279" sId="5" numFmtId="4">
    <nc r="D213">
      <v>5</v>
    </nc>
  </rcc>
  <rcc rId="2280" sId="5" numFmtId="4">
    <nc r="E213">
      <v>13</v>
    </nc>
  </rcc>
  <rcc rId="2281" sId="5" numFmtId="4">
    <nc r="F213">
      <v>2</v>
    </nc>
  </rcc>
  <rcc rId="2282" sId="5" numFmtId="4">
    <nc r="G213">
      <v>3</v>
    </nc>
  </rcc>
  <rcc rId="2283" sId="2" numFmtId="4">
    <nc r="B73">
      <v>9</v>
    </nc>
  </rcc>
  <rcc rId="2284" sId="2" numFmtId="4">
    <nc r="C73">
      <v>6</v>
    </nc>
  </rcc>
  <rcc rId="2285" sId="2" numFmtId="4">
    <nc r="D73">
      <v>5</v>
    </nc>
  </rcc>
  <rcc rId="2286" sId="2" numFmtId="4">
    <nc r="E73">
      <v>12</v>
    </nc>
  </rcc>
  <rcc rId="2287" sId="2" numFmtId="4">
    <nc r="F73">
      <v>8</v>
    </nc>
  </rcc>
  <rcc rId="2288" sId="2" numFmtId="4">
    <nc r="G73">
      <v>1</v>
    </nc>
  </rcc>
  <rcc rId="2289" sId="2" numFmtId="4">
    <nc r="B74">
      <v>9</v>
    </nc>
  </rcc>
  <rcc rId="2290" sId="2" numFmtId="4">
    <nc r="C74">
      <v>6</v>
    </nc>
  </rcc>
  <rcc rId="2291" sId="2" numFmtId="4">
    <nc r="D74">
      <v>6</v>
    </nc>
  </rcc>
  <rcc rId="2292" sId="2" numFmtId="4">
    <nc r="E74">
      <v>8</v>
    </nc>
  </rcc>
  <rcc rId="2293" sId="2" numFmtId="4">
    <nc r="F74">
      <v>3</v>
    </nc>
  </rcc>
  <rcc rId="2294" sId="2" numFmtId="4">
    <nc r="G74">
      <v>0</v>
    </nc>
  </rcc>
</revisions>
</file>

<file path=xl/revisions/revisionLog42.xml><?xml version="1.0" encoding="utf-8"?>
<revisions xmlns="http://schemas.openxmlformats.org/spreadsheetml/2006/main" xmlns:r="http://schemas.openxmlformats.org/officeDocument/2006/relationships">
  <rcc rId="2295" sId="11" numFmtId="4">
    <nc r="B21">
      <v>20</v>
    </nc>
  </rcc>
  <rcc rId="2296" sId="11" numFmtId="4">
    <nc r="C21">
      <v>95</v>
    </nc>
  </rcc>
  <rcc rId="2297" sId="11" numFmtId="4">
    <nc r="D21">
      <v>1</v>
    </nc>
  </rcc>
  <rcc rId="2298" sId="11" numFmtId="4">
    <nc r="E21">
      <v>13</v>
    </nc>
  </rcc>
  <rcc rId="2299" sId="11" numFmtId="4">
    <nc r="F21">
      <v>3</v>
    </nc>
  </rcc>
  <rcc rId="2300" sId="11" numFmtId="4">
    <nc r="G21">
      <v>2</v>
    </nc>
  </rcc>
  <rcc rId="2301" sId="11" numFmtId="4">
    <nc r="H21">
      <v>0</v>
    </nc>
  </rcc>
</revisions>
</file>

<file path=xl/revisions/revisionLog43.xml><?xml version="1.0" encoding="utf-8"?>
<revisions xmlns="http://schemas.openxmlformats.org/spreadsheetml/2006/main" xmlns:r="http://schemas.openxmlformats.org/officeDocument/2006/relationships">
  <rcc rId="2302" sId="2" numFmtId="4">
    <nc r="B75">
      <v>9</v>
    </nc>
  </rcc>
  <rcc rId="2303" sId="2" numFmtId="4">
    <nc r="C75">
      <v>3</v>
    </nc>
  </rcc>
  <rcc rId="2304" sId="2" numFmtId="4">
    <nc r="D75">
      <v>3</v>
    </nc>
  </rcc>
  <rcc rId="2305" sId="2" numFmtId="4">
    <nc r="E75">
      <v>15</v>
    </nc>
  </rcc>
  <rcc rId="2306" sId="2" numFmtId="4">
    <nc r="F75">
      <v>21</v>
    </nc>
  </rcc>
  <rcc rId="2307" sId="2" numFmtId="4">
    <nc r="G75">
      <v>0</v>
    </nc>
  </rcc>
  <rcc rId="2308" sId="2" numFmtId="4">
    <nc r="B76">
      <v>9</v>
    </nc>
  </rcc>
  <rcc rId="2309" sId="2" numFmtId="4">
    <nc r="C76">
      <v>3</v>
    </nc>
  </rcc>
  <rcc rId="2310" sId="2" numFmtId="4">
    <nc r="D76">
      <v>4</v>
    </nc>
  </rcc>
  <rcc rId="2311" sId="2" numFmtId="4">
    <nc r="E76">
      <v>22</v>
    </nc>
  </rcc>
  <rcc rId="2312" sId="2" numFmtId="4">
    <nc r="F76">
      <v>36</v>
    </nc>
  </rcc>
  <rcc rId="2313" sId="2" numFmtId="4">
    <nc r="G76">
      <v>0</v>
    </nc>
  </rcc>
  <rcc rId="2314" sId="5" numFmtId="4">
    <nc r="B214">
      <v>11</v>
    </nc>
  </rcc>
  <rcc rId="2315" sId="5" numFmtId="4">
    <nc r="C214">
      <v>42</v>
    </nc>
  </rcc>
  <rcc rId="2316" sId="5" numFmtId="4">
    <nc r="D214">
      <v>3</v>
    </nc>
  </rcc>
  <rcc rId="2317" sId="5" numFmtId="4">
    <nc r="E214">
      <v>12</v>
    </nc>
  </rcc>
  <rcc rId="2318" sId="5" numFmtId="4">
    <nc r="F214">
      <v>8</v>
    </nc>
  </rcc>
  <rcc rId="2319" sId="5" numFmtId="4">
    <nc r="G214">
      <v>4</v>
    </nc>
  </rcc>
  <rcc rId="2320" sId="5" numFmtId="4">
    <nc r="B215">
      <v>11</v>
    </nc>
  </rcc>
  <rcc rId="2321" sId="5" numFmtId="4">
    <nc r="C215">
      <v>42</v>
    </nc>
  </rcc>
  <rcc rId="2322" sId="5" numFmtId="4">
    <nc r="D215">
      <v>4</v>
    </nc>
  </rcc>
  <rcc rId="2323" sId="5" numFmtId="4">
    <nc r="E215">
      <v>17</v>
    </nc>
  </rcc>
  <rcc rId="2324" sId="5" numFmtId="4">
    <nc r="F215">
      <v>3</v>
    </nc>
  </rcc>
  <rcc rId="2325" sId="5" numFmtId="4">
    <nc r="G215">
      <v>6</v>
    </nc>
  </rcc>
  <rcc rId="2326" sId="2" numFmtId="4">
    <nc r="B77">
      <v>9</v>
    </nc>
  </rcc>
  <rcc rId="2327" sId="2" numFmtId="4">
    <nc r="C77">
      <v>9</v>
    </nc>
  </rcc>
  <rcc rId="2328" sId="2" numFmtId="4">
    <nc r="D77">
      <v>6</v>
    </nc>
  </rcc>
  <rcc rId="2329" sId="2" numFmtId="4">
    <nc r="E77">
      <v>11</v>
    </nc>
  </rcc>
  <rcc rId="2330" sId="2" numFmtId="4">
    <nc r="F77">
      <v>9</v>
    </nc>
  </rcc>
  <rcc rId="2331" sId="2" numFmtId="4">
    <nc r="G77">
      <v>1</v>
    </nc>
  </rcc>
</revisions>
</file>

<file path=xl/revisions/revisionLog44.xml><?xml version="1.0" encoding="utf-8"?>
<revisions xmlns="http://schemas.openxmlformats.org/spreadsheetml/2006/main" xmlns:r="http://schemas.openxmlformats.org/officeDocument/2006/relationships">
  <rcc rId="2332" sId="2" numFmtId="4">
    <nc r="B78">
      <v>9</v>
    </nc>
  </rcc>
  <rcc rId="2333" sId="2" numFmtId="4">
    <nc r="C78">
      <v>18</v>
    </nc>
  </rcc>
  <rcc rId="2334" sId="2" numFmtId="4">
    <nc r="D78">
      <v>5</v>
    </nc>
  </rcc>
  <rcc rId="2335" sId="2" numFmtId="4">
    <nc r="E78">
      <v>3</v>
    </nc>
  </rcc>
  <rcc rId="2336" sId="2" numFmtId="4">
    <nc r="F78">
      <v>12</v>
    </nc>
  </rcc>
  <rcc rId="2337" sId="2" numFmtId="4">
    <nc r="G78">
      <v>0</v>
    </nc>
  </rcc>
  <rcc rId="2338" sId="2" numFmtId="4">
    <nc r="B79">
      <v>9</v>
    </nc>
  </rcc>
  <rcc rId="2339" sId="2" numFmtId="4">
    <nc r="C79">
      <v>18</v>
    </nc>
  </rcc>
  <rcc rId="2340" sId="2" numFmtId="4">
    <nc r="D79">
      <v>6</v>
    </nc>
  </rcc>
  <rcc rId="2341" sId="2" numFmtId="4">
    <nc r="E79">
      <v>6</v>
    </nc>
  </rcc>
  <rcc rId="2342" sId="2" numFmtId="4">
    <nc r="F79">
      <v>18</v>
    </nc>
  </rcc>
  <rcc rId="2343" sId="2" numFmtId="4">
    <nc r="G79">
      <v>0</v>
    </nc>
  </rcc>
  <rcc rId="2344" sId="2" numFmtId="4">
    <nc r="B80">
      <v>9</v>
    </nc>
  </rcc>
  <rcc rId="2345" sId="2" numFmtId="4">
    <nc r="C80">
      <v>18</v>
    </nc>
  </rcc>
  <rcc rId="2346" sId="2" numFmtId="4">
    <nc r="D80">
      <v>7</v>
    </nc>
  </rcc>
  <rcc rId="2347" sId="2" numFmtId="4">
    <nc r="E80">
      <v>4</v>
    </nc>
  </rcc>
  <rcc rId="2348" sId="2" numFmtId="4">
    <nc r="F80">
      <v>15</v>
    </nc>
  </rcc>
  <rcc rId="2349" sId="2" numFmtId="4">
    <nc r="G80">
      <v>0</v>
    </nc>
  </rcc>
  <rcc rId="2350" sId="2" numFmtId="4">
    <nc r="B81">
      <v>9</v>
    </nc>
  </rcc>
  <rcc rId="2351" sId="2" numFmtId="4">
    <nc r="C81">
      <v>18</v>
    </nc>
  </rcc>
  <rcc rId="2352" sId="2" numFmtId="4">
    <nc r="D81">
      <v>8</v>
    </nc>
  </rcc>
  <rcc rId="2353" sId="2" numFmtId="4">
    <nc r="E81">
      <v>6</v>
    </nc>
  </rcc>
  <rcc rId="2354" sId="2" numFmtId="4">
    <nc r="F81">
      <v>24</v>
    </nc>
  </rcc>
  <rcc rId="2355" sId="2" numFmtId="4">
    <nc r="G81">
      <v>0</v>
    </nc>
  </rcc>
  <rcc rId="2356" sId="2" numFmtId="4">
    <nc r="B82">
      <v>9</v>
    </nc>
  </rcc>
  <rcc rId="2357" sId="2" numFmtId="4">
    <nc r="C82">
      <v>1</v>
    </nc>
  </rcc>
  <rcc rId="2358" sId="2" numFmtId="4">
    <nc r="D82">
      <v>5</v>
    </nc>
  </rcc>
  <rcc rId="2359" sId="2" numFmtId="4">
    <nc r="E82">
      <v>6</v>
    </nc>
  </rcc>
  <rcc rId="2360" sId="2" numFmtId="4">
    <nc r="F82">
      <v>4</v>
    </nc>
  </rcc>
  <rcc rId="2361" sId="2" numFmtId="4">
    <nc r="G82">
      <v>0</v>
    </nc>
  </rcc>
  <rcc rId="2362" sId="2" numFmtId="4">
    <nc r="B83">
      <v>9</v>
    </nc>
  </rcc>
  <rcc rId="2363" sId="2" numFmtId="4">
    <nc r="C83">
      <v>1</v>
    </nc>
  </rcc>
  <rcc rId="2364" sId="2" numFmtId="4">
    <nc r="D83">
      <v>6</v>
    </nc>
  </rcc>
  <rcc rId="2365" sId="2" numFmtId="4">
    <nc r="E83">
      <v>5</v>
    </nc>
  </rcc>
  <rcc rId="2366" sId="2" numFmtId="4">
    <nc r="F83">
      <v>15</v>
    </nc>
  </rcc>
  <rcc rId="2367" sId="2" numFmtId="4">
    <nc r="G83">
      <v>0</v>
    </nc>
  </rcc>
  <rcc rId="2368" sId="2" numFmtId="4">
    <nc r="B84">
      <v>9</v>
    </nc>
  </rcc>
  <rcc rId="2369" sId="2" numFmtId="4">
    <nc r="C84">
      <v>1</v>
    </nc>
  </rcc>
  <rcc rId="2370" sId="2" numFmtId="4">
    <nc r="D84">
      <v>7</v>
    </nc>
  </rcc>
  <rcc rId="2371" sId="2" numFmtId="4">
    <nc r="E84">
      <v>10</v>
    </nc>
  </rcc>
  <rcc rId="2372" sId="2" numFmtId="4">
    <nc r="F84">
      <v>20</v>
    </nc>
  </rcc>
  <rcc rId="2373" sId="2" numFmtId="4">
    <nc r="G84">
      <v>0</v>
    </nc>
  </rcc>
  <rcc rId="2374" sId="2" numFmtId="4">
    <nc r="B85">
      <v>9</v>
    </nc>
  </rcc>
  <rcc rId="2375" sId="2" numFmtId="4">
    <nc r="C85">
      <v>16</v>
    </nc>
  </rcc>
  <rcc rId="2376" sId="2" numFmtId="4">
    <nc r="D85">
      <v>3</v>
    </nc>
  </rcc>
  <rcc rId="2377" sId="2" numFmtId="4">
    <nc r="E85">
      <v>15</v>
    </nc>
  </rcc>
  <rcc rId="2378" sId="2" numFmtId="4">
    <nc r="F85">
      <v>18</v>
    </nc>
  </rcc>
  <rcc rId="2379" sId="2" numFmtId="4">
    <nc r="G85">
      <v>0</v>
    </nc>
  </rcc>
  <rcc rId="2380" sId="2" numFmtId="4">
    <nc r="B86">
      <v>9</v>
    </nc>
  </rcc>
  <rcc rId="2381" sId="2" numFmtId="4">
    <nc r="C86">
      <v>16</v>
    </nc>
  </rcc>
  <rcc rId="2382" sId="2" numFmtId="4">
    <nc r="D86">
      <v>4</v>
    </nc>
  </rcc>
  <rcc rId="2383" sId="2" numFmtId="4">
    <nc r="E86">
      <v>12</v>
    </nc>
  </rcc>
  <rcc rId="2384" sId="2" numFmtId="4">
    <nc r="F86">
      <v>13</v>
    </nc>
  </rcc>
  <rcc rId="2385" sId="2" numFmtId="4">
    <nc r="G86">
      <v>4</v>
    </nc>
  </rcc>
  <rcc rId="2386" sId="2" numFmtId="4">
    <nc r="B87">
      <v>9</v>
    </nc>
  </rcc>
  <rcc rId="2387" sId="2" numFmtId="4">
    <nc r="C87">
      <v>16</v>
    </nc>
  </rcc>
  <rcc rId="2388" sId="2" numFmtId="4">
    <nc r="D87">
      <v>5</v>
    </nc>
  </rcc>
  <rcc rId="2389" sId="2" numFmtId="4">
    <nc r="E87">
      <v>5</v>
    </nc>
  </rcc>
  <rcc rId="2390" sId="2" numFmtId="4">
    <nc r="F87">
      <v>13</v>
    </nc>
  </rcc>
  <rcc rId="2391" sId="2" numFmtId="4">
    <nc r="G87">
      <v>0</v>
    </nc>
  </rcc>
  <rcc rId="2392" sId="2" numFmtId="4">
    <nc r="B88">
      <v>9</v>
    </nc>
  </rcc>
  <rcc rId="2393" sId="2" numFmtId="4">
    <nc r="C88">
      <v>16</v>
    </nc>
  </rcc>
  <rcc rId="2394" sId="2" numFmtId="4">
    <nc r="D88">
      <v>6</v>
    </nc>
  </rcc>
  <rcc rId="2395" sId="2" numFmtId="4">
    <nc r="E88">
      <v>10</v>
    </nc>
  </rcc>
  <rcc rId="2396" sId="2" numFmtId="4">
    <nc r="F88">
      <v>15</v>
    </nc>
  </rcc>
  <rcc rId="2397" sId="2" numFmtId="4">
    <nc r="G88">
      <v>0</v>
    </nc>
  </rcc>
  <rcc rId="2398" sId="2" numFmtId="4">
    <nc r="B89">
      <v>9</v>
    </nc>
  </rcc>
  <rcc rId="2399" sId="2" numFmtId="4">
    <nc r="C89">
      <v>1</v>
    </nc>
  </rcc>
  <rcc rId="2400" sId="2" numFmtId="4">
    <nc r="D89">
      <v>4</v>
    </nc>
  </rcc>
  <rcc rId="2401" sId="2" numFmtId="4">
    <nc r="E89">
      <v>5</v>
    </nc>
  </rcc>
  <rcc rId="2402" sId="2" numFmtId="4">
    <nc r="F89">
      <v>8</v>
    </nc>
  </rcc>
  <rcc rId="2403" sId="2" numFmtId="4">
    <nc r="G89">
      <v>0</v>
    </nc>
  </rcc>
  <rcc rId="2404" sId="2" numFmtId="4">
    <nc r="B90">
      <v>9</v>
    </nc>
  </rcc>
  <rcc rId="2405" sId="2" numFmtId="4">
    <nc r="C90">
      <v>1</v>
    </nc>
  </rcc>
  <rcc rId="2406" sId="2" numFmtId="4">
    <nc r="D90">
      <v>3</v>
    </nc>
  </rcc>
  <rcc rId="2407" sId="2" numFmtId="4">
    <nc r="E90">
      <v>7</v>
    </nc>
  </rcc>
  <rcc rId="2408" sId="2" numFmtId="4">
    <nc r="F90">
      <v>4</v>
    </nc>
  </rcc>
  <rcc rId="2409" sId="2" numFmtId="4">
    <nc r="G90">
      <v>0</v>
    </nc>
  </rcc>
  <rcc rId="2410" sId="5" numFmtId="4">
    <nc r="B216">
      <v>11</v>
    </nc>
  </rcc>
  <rcc rId="2411" sId="5" numFmtId="4">
    <nc r="C216">
      <v>64</v>
    </nc>
  </rcc>
  <rcc rId="2412" sId="5" numFmtId="4">
    <nc r="D216">
      <v>4</v>
    </nc>
  </rcc>
  <rcc rId="2413" sId="5" numFmtId="4">
    <nc r="E216">
      <v>14</v>
    </nc>
  </rcc>
  <rcc rId="2414" sId="5" numFmtId="4">
    <nc r="F216">
      <v>4</v>
    </nc>
  </rcc>
  <rcc rId="2415" sId="5" numFmtId="4">
    <nc r="G216">
      <v>1</v>
    </nc>
  </rcc>
  <rcc rId="2416" sId="5" numFmtId="4">
    <nc r="B217">
      <v>11</v>
    </nc>
  </rcc>
  <rcc rId="2417" sId="5" numFmtId="4">
    <nc r="C217">
      <v>50</v>
    </nc>
  </rcc>
  <rcc rId="2418" sId="5" numFmtId="4">
    <nc r="D217">
      <v>4</v>
    </nc>
  </rcc>
  <rcc rId="2419" sId="5" numFmtId="4">
    <nc r="E217">
      <v>20</v>
    </nc>
  </rcc>
  <rcc rId="2420" sId="5" numFmtId="4">
    <nc r="F217">
      <v>4</v>
    </nc>
  </rcc>
  <rcc rId="2421" sId="5" numFmtId="4">
    <nc r="G217">
      <v>2</v>
    </nc>
  </rcc>
  <rcc rId="2422" sId="5" numFmtId="4">
    <nc r="B218">
      <v>11</v>
    </nc>
  </rcc>
  <rcc rId="2423" sId="5" numFmtId="4">
    <nc r="C218">
      <v>50</v>
    </nc>
  </rcc>
  <rcc rId="2424" sId="5" numFmtId="4">
    <nc r="D218">
      <v>5</v>
    </nc>
  </rcc>
  <rcc rId="2425" sId="5" numFmtId="4">
    <nc r="E218">
      <v>19</v>
    </nc>
  </rcc>
  <rcc rId="2426" sId="5" numFmtId="4">
    <nc r="F218">
      <v>1</v>
    </nc>
  </rcc>
  <rcc rId="2427" sId="5" numFmtId="4">
    <nc r="G218">
      <v>2</v>
    </nc>
  </rcc>
</revisions>
</file>

<file path=xl/revisions/revisionLog45.xml><?xml version="1.0" encoding="utf-8"?>
<revisions xmlns="http://schemas.openxmlformats.org/spreadsheetml/2006/main" xmlns:r="http://schemas.openxmlformats.org/officeDocument/2006/relationships">
  <rcc rId="2428" sId="5" numFmtId="4">
    <nc r="B219">
      <v>11</v>
    </nc>
  </rcc>
  <rcc rId="2429" sId="5" numFmtId="4">
    <nc r="C219">
      <v>50</v>
    </nc>
  </rcc>
  <rcc rId="2430" sId="5" numFmtId="4">
    <nc r="D219">
      <v>6</v>
    </nc>
  </rcc>
  <rcc rId="2431" sId="5" numFmtId="4">
    <nc r="E219">
      <v>22</v>
    </nc>
  </rcc>
  <rcc rId="2432" sId="5" numFmtId="4">
    <nc r="F219">
      <v>0</v>
    </nc>
  </rcc>
  <rcc rId="2433" sId="5" numFmtId="4">
    <nc r="G219">
      <v>2</v>
    </nc>
  </rcc>
  <rcc rId="2434" sId="5" numFmtId="4">
    <nc r="B220">
      <v>11</v>
    </nc>
  </rcc>
  <rcc rId="2435" sId="5" numFmtId="4">
    <nc r="C220">
      <v>34</v>
    </nc>
  </rcc>
  <rcc rId="2436" sId="5" numFmtId="4">
    <nc r="D220">
      <v>5</v>
    </nc>
  </rcc>
  <rcc rId="2437" sId="5" numFmtId="4">
    <nc r="E220">
      <v>18</v>
    </nc>
  </rcc>
  <rcc rId="2438" sId="5" numFmtId="4">
    <nc r="F220">
      <v>4</v>
    </nc>
  </rcc>
  <rcc rId="2439" sId="5" numFmtId="4">
    <nc r="G220">
      <v>7</v>
    </nc>
  </rcc>
  <rcc rId="2440" sId="5" numFmtId="4">
    <nc r="B221">
      <v>11</v>
    </nc>
  </rcc>
  <rcc rId="2441" sId="5" numFmtId="4">
    <nc r="C221">
      <v>34</v>
    </nc>
  </rcc>
  <rcc rId="2442" sId="5" numFmtId="4">
    <nc r="D221">
      <v>6</v>
    </nc>
  </rcc>
  <rcc rId="2443" sId="5" numFmtId="4">
    <nc r="E221">
      <v>11</v>
    </nc>
  </rcc>
  <rcc rId="2444" sId="5" numFmtId="4">
    <nc r="F221">
      <v>2</v>
    </nc>
  </rcc>
  <rcc rId="2445" sId="5" numFmtId="4">
    <nc r="G221">
      <v>4</v>
    </nc>
  </rcc>
  <rcc rId="2446" sId="5" numFmtId="4">
    <nc r="B222">
      <v>11</v>
    </nc>
  </rcc>
  <rcc rId="2447" sId="5" numFmtId="4">
    <nc r="C222">
      <v>34</v>
    </nc>
  </rcc>
  <rcc rId="2448" sId="5" numFmtId="4">
    <nc r="D222">
      <v>4</v>
    </nc>
  </rcc>
  <rcc rId="2449" sId="5" numFmtId="4">
    <nc r="E222">
      <v>10</v>
    </nc>
  </rcc>
  <rcc rId="2450" sId="5" numFmtId="4">
    <nc r="F222">
      <v>0</v>
    </nc>
  </rcc>
  <rcc rId="2451" sId="5" numFmtId="4">
    <nc r="G222">
      <v>4</v>
    </nc>
  </rcc>
  <rcc rId="2452" sId="5" numFmtId="4">
    <nc r="B223">
      <v>11</v>
    </nc>
  </rcc>
  <rcc rId="2453" sId="5" numFmtId="4">
    <nc r="C223">
      <v>64</v>
    </nc>
  </rcc>
  <rcc rId="2454" sId="5" numFmtId="4">
    <nc r="D223">
      <v>5</v>
    </nc>
  </rcc>
  <rcc rId="2455" sId="5" numFmtId="4">
    <nc r="E223">
      <v>11</v>
    </nc>
  </rcc>
  <rcc rId="2456" sId="5" numFmtId="4">
    <nc r="F223">
      <v>0</v>
    </nc>
  </rcc>
  <rcc rId="2457" sId="5" numFmtId="4">
    <nc r="G223">
      <v>1</v>
    </nc>
  </rcc>
  <rcc rId="2458" sId="5" numFmtId="4">
    <nc r="B224">
      <v>11</v>
    </nc>
  </rcc>
  <rcc rId="2459" sId="5" numFmtId="4">
    <nc r="C224">
      <v>64</v>
    </nc>
  </rcc>
  <rcc rId="2460" sId="5" numFmtId="4">
    <nc r="D224">
      <v>6</v>
    </nc>
  </rcc>
  <rcc rId="2461" sId="5" numFmtId="4">
    <nc r="E224">
      <v>9</v>
    </nc>
  </rcc>
  <rcc rId="2462" sId="5" numFmtId="4">
    <nc r="F224">
      <v>0</v>
    </nc>
  </rcc>
  <rcc rId="2463" sId="5" numFmtId="4">
    <nc r="G224">
      <v>0</v>
    </nc>
  </rcc>
  <rcc rId="2464" sId="5" numFmtId="4">
    <nc r="B225">
      <v>11</v>
    </nc>
  </rcc>
  <rcc rId="2465" sId="5" numFmtId="4">
    <nc r="C225">
      <v>64</v>
    </nc>
  </rcc>
  <rcc rId="2466" sId="5" numFmtId="4">
    <nc r="D225">
      <v>7</v>
    </nc>
  </rcc>
  <rcc rId="2467" sId="5" numFmtId="4">
    <nc r="E225">
      <v>11</v>
    </nc>
  </rcc>
  <rcc rId="2468" sId="5" numFmtId="4">
    <nc r="F225">
      <v>2</v>
    </nc>
  </rcc>
  <rcc rId="2469" sId="5" numFmtId="4">
    <nc r="G225">
      <v>0</v>
    </nc>
  </rcc>
  <rcc rId="2470" sId="2" numFmtId="4">
    <nc r="B91">
      <v>9</v>
    </nc>
  </rcc>
  <rcc rId="2471" sId="2" numFmtId="4">
    <nc r="C91">
      <v>21</v>
    </nc>
  </rcc>
  <rcc rId="2472" sId="2" numFmtId="4">
    <nc r="D91">
      <v>3</v>
    </nc>
  </rcc>
  <rcc rId="2473" sId="2" numFmtId="4">
    <nc r="E91">
      <v>38</v>
    </nc>
  </rcc>
  <rcc rId="2474" sId="2" numFmtId="4">
    <nc r="F91">
      <v>41</v>
    </nc>
  </rcc>
  <rcc rId="2475" sId="2" numFmtId="4">
    <nc r="G91">
      <v>0</v>
    </nc>
  </rcc>
  <rcc rId="2476" sId="2" numFmtId="4">
    <nc r="B92">
      <v>9</v>
    </nc>
  </rcc>
  <rcc rId="2477" sId="2" numFmtId="4">
    <nc r="C92">
      <v>20</v>
    </nc>
  </rcc>
  <rcc rId="2478" sId="2" numFmtId="4">
    <nc r="D92">
      <v>7</v>
    </nc>
  </rcc>
  <rcc rId="2479" sId="2" numFmtId="4">
    <nc r="E92">
      <v>16</v>
    </nc>
  </rcc>
  <rcc rId="2480" sId="2" numFmtId="4">
    <nc r="F92">
      <v>19</v>
    </nc>
  </rcc>
  <rcc rId="2481" sId="2" numFmtId="4">
    <nc r="G92">
      <v>0</v>
    </nc>
  </rcc>
  <rcc rId="2482" sId="2" numFmtId="4">
    <nc r="B93">
      <v>9</v>
    </nc>
  </rcc>
  <rcc rId="2483" sId="2" numFmtId="4">
    <nc r="C93">
      <v>20</v>
    </nc>
  </rcc>
  <rcc rId="2484" sId="2" numFmtId="4">
    <nc r="D93">
      <v>6</v>
    </nc>
  </rcc>
  <rcc rId="2485" sId="2" numFmtId="4">
    <nc r="E93">
      <v>13</v>
    </nc>
  </rcc>
  <rcc rId="2486" sId="2" numFmtId="4">
    <nc r="F93">
      <v>11</v>
    </nc>
  </rcc>
  <rcc rId="2487" sId="2" numFmtId="4">
    <nc r="G93">
      <v>0</v>
    </nc>
  </rcc>
  <rcc rId="2488" sId="2" numFmtId="4">
    <nc r="B94">
      <v>9</v>
    </nc>
  </rcc>
  <rcc rId="2489" sId="2" numFmtId="4">
    <nc r="C94">
      <v>20</v>
    </nc>
  </rcc>
  <rcc rId="2490" sId="2" numFmtId="4">
    <nc r="D94">
      <v>5</v>
    </nc>
  </rcc>
  <rcc rId="2491" sId="2" numFmtId="4">
    <nc r="E94">
      <v>12</v>
    </nc>
  </rcc>
  <rcc rId="2492" sId="2" numFmtId="4">
    <nc r="F94">
      <v>15</v>
    </nc>
  </rcc>
  <rcc rId="2493" sId="2" numFmtId="4">
    <nc r="G94">
      <v>1</v>
    </nc>
  </rcc>
  <rcc rId="2494" sId="2" numFmtId="4">
    <nc r="B95">
      <v>9</v>
    </nc>
  </rcc>
  <rcc rId="2495" sId="2" numFmtId="4">
    <nc r="C95">
      <v>20</v>
    </nc>
  </rcc>
  <rcc rId="2496" sId="2" numFmtId="4">
    <nc r="D95">
      <v>4</v>
    </nc>
  </rcc>
  <rcc rId="2497" sId="2" numFmtId="4">
    <nc r="E95">
      <v>21</v>
    </nc>
  </rcc>
  <rcc rId="2498" sId="2" numFmtId="4">
    <nc r="F95">
      <v>22</v>
    </nc>
  </rcc>
  <rcc rId="2499" sId="2" numFmtId="4">
    <nc r="G95">
      <v>6</v>
    </nc>
  </rcc>
  <rcc rId="2500" sId="2" numFmtId="4">
    <nc r="B96">
      <v>9</v>
    </nc>
  </rcc>
  <rcc rId="2501" sId="2" numFmtId="4">
    <nc r="C96">
      <v>20</v>
    </nc>
  </rcc>
  <rcc rId="2502" sId="2" numFmtId="4">
    <nc r="D96">
      <v>3</v>
    </nc>
  </rcc>
  <rcc rId="2503" sId="2" numFmtId="4">
    <nc r="E96">
      <v>19</v>
    </nc>
  </rcc>
  <rcc rId="2504" sId="2" numFmtId="4">
    <nc r="F96">
      <v>20</v>
    </nc>
  </rcc>
  <rcc rId="2505" sId="2" numFmtId="4">
    <nc r="G96">
      <v>3</v>
    </nc>
  </rcc>
  <rcc rId="2506" sId="2" numFmtId="4">
    <nc r="B97">
      <v>9</v>
    </nc>
  </rcc>
  <rcc rId="2507" sId="2" numFmtId="4">
    <nc r="C97">
      <v>20</v>
    </nc>
  </rcc>
  <rcc rId="2508" sId="2" numFmtId="4">
    <nc r="D97">
      <v>2</v>
    </nc>
  </rcc>
  <rcc rId="2509" sId="2" numFmtId="4">
    <nc r="E97">
      <v>20</v>
    </nc>
  </rcc>
  <rcc rId="2510" sId="2" numFmtId="4">
    <nc r="F97">
      <v>16</v>
    </nc>
  </rcc>
  <rcc rId="2511" sId="2" numFmtId="4">
    <nc r="G97">
      <v>4</v>
    </nc>
  </rcc>
  <rcc rId="2512" sId="2" numFmtId="4">
    <nc r="B98">
      <v>9</v>
    </nc>
  </rcc>
  <rcc rId="2513" sId="2" numFmtId="4">
    <nc r="C98">
      <v>20</v>
    </nc>
  </rcc>
  <rcc rId="2514" sId="2" numFmtId="4">
    <nc r="D98">
      <v>1</v>
    </nc>
  </rcc>
  <rcc rId="2515" sId="2" numFmtId="4">
    <nc r="E98">
      <v>15</v>
    </nc>
  </rcc>
  <rcc rId="2516" sId="2" numFmtId="4">
    <nc r="F98">
      <v>17</v>
    </nc>
  </rcc>
  <rcc rId="2517" sId="2" numFmtId="4">
    <nc r="G98">
      <v>2</v>
    </nc>
  </rcc>
  <rcc rId="2518" sId="2" numFmtId="4">
    <nc r="B99">
      <v>9</v>
    </nc>
  </rcc>
  <rcc rId="2519" sId="2" numFmtId="4">
    <nc r="C99">
      <v>20</v>
    </nc>
  </rcc>
  <rcc rId="2520" sId="2" numFmtId="4">
    <nc r="D99">
      <v>8</v>
    </nc>
  </rcc>
  <rcc rId="2521" sId="2" numFmtId="4">
    <nc r="E99">
      <v>14</v>
    </nc>
  </rcc>
  <rcc rId="2522" sId="2" numFmtId="4">
    <nc r="F99">
      <v>8</v>
    </nc>
  </rcc>
  <rcc rId="2523" sId="2" numFmtId="4">
    <nc r="G99">
      <v>0</v>
    </nc>
  </rcc>
</revisions>
</file>

<file path=xl/revisions/revisionLog46.xml><?xml version="1.0" encoding="utf-8"?>
<revisions xmlns="http://schemas.openxmlformats.org/spreadsheetml/2006/main" xmlns:r="http://schemas.openxmlformats.org/officeDocument/2006/relationships">
  <rcc rId="2524" sId="5" numFmtId="4">
    <nc r="B226">
      <v>11</v>
    </nc>
  </rcc>
  <rcc rId="2525" sId="5" numFmtId="4">
    <nc r="C226">
      <v>46</v>
    </nc>
  </rcc>
  <rcc rId="2526" sId="5" numFmtId="4">
    <nc r="D226">
      <v>3</v>
    </nc>
  </rcc>
  <rcc rId="2527" sId="5" numFmtId="4">
    <nc r="E226">
      <v>10</v>
    </nc>
  </rcc>
  <rcc rId="2528" sId="5" numFmtId="4">
    <nc r="F226">
      <v>3</v>
    </nc>
  </rcc>
  <rcc rId="2529" sId="5" numFmtId="4">
    <nc r="G226">
      <v>6</v>
    </nc>
  </rcc>
  <rcc rId="2530" sId="5" numFmtId="4">
    <nc r="B227">
      <v>11</v>
    </nc>
  </rcc>
  <rcc rId="2531" sId="5" numFmtId="4">
    <nc r="C227">
      <v>46</v>
    </nc>
  </rcc>
  <rcc rId="2532" sId="5" numFmtId="4">
    <nc r="D227">
      <v>4</v>
    </nc>
  </rcc>
  <rcc rId="2533" sId="5" numFmtId="4">
    <nc r="E227">
      <v>11</v>
    </nc>
  </rcc>
  <rcc rId="2534" sId="5" numFmtId="4">
    <nc r="F227">
      <v>0</v>
    </nc>
  </rcc>
  <rcc rId="2535" sId="5" numFmtId="4">
    <nc r="G227">
      <v>6</v>
    </nc>
  </rcc>
  <rcc rId="2536" sId="5" numFmtId="4">
    <nc r="B228">
      <v>11</v>
    </nc>
  </rcc>
  <rcc rId="2537" sId="5" numFmtId="4">
    <nc r="C228">
      <v>44</v>
    </nc>
  </rcc>
  <rcc rId="2538" sId="5" numFmtId="4">
    <nc r="D228">
      <v>7</v>
    </nc>
  </rcc>
  <rcc rId="2539" sId="5" numFmtId="4">
    <nc r="E228">
      <v>3</v>
    </nc>
  </rcc>
  <rcc rId="2540" sId="5" numFmtId="4">
    <nc r="F228">
      <v>17</v>
    </nc>
  </rcc>
  <rcc rId="2541" sId="5" numFmtId="4">
    <nc r="G228">
      <v>4</v>
    </nc>
  </rcc>
  <rcc rId="2542" sId="5" numFmtId="4">
    <nc r="B229">
      <v>11</v>
    </nc>
  </rcc>
  <rcc rId="2543" sId="5" numFmtId="4">
    <nc r="C229">
      <v>44</v>
    </nc>
  </rcc>
  <rcc rId="2544" sId="5" numFmtId="4">
    <nc r="D229">
      <v>9</v>
    </nc>
  </rcc>
  <rcc rId="2545" sId="5" numFmtId="4">
    <nc r="E229">
      <v>3</v>
    </nc>
  </rcc>
  <rcc rId="2546" sId="5" numFmtId="4">
    <nc r="F229">
      <v>19</v>
    </nc>
  </rcc>
  <rcc rId="2547" sId="5" numFmtId="4">
    <nc r="G229">
      <v>1</v>
    </nc>
  </rcc>
  <rcc rId="2548" sId="5" numFmtId="4">
    <nc r="B230">
      <v>11</v>
    </nc>
  </rcc>
  <rcc rId="2549" sId="5" numFmtId="4">
    <nc r="C230">
      <v>44</v>
    </nc>
  </rcc>
  <rcc rId="2550" sId="5" numFmtId="4">
    <nc r="D230">
      <v>8</v>
    </nc>
  </rcc>
  <rcc rId="2551" sId="5" numFmtId="4">
    <nc r="E230">
      <v>4</v>
    </nc>
  </rcc>
  <rcc rId="2552" sId="5" numFmtId="4">
    <nc r="F230">
      <v>16</v>
    </nc>
  </rcc>
  <rcc rId="2553" sId="5" numFmtId="4">
    <nc r="G230">
      <v>1</v>
    </nc>
  </rcc>
</revisions>
</file>

<file path=xl/revisions/revisionLog47.xml><?xml version="1.0" encoding="utf-8"?>
<revisions xmlns="http://schemas.openxmlformats.org/spreadsheetml/2006/main" xmlns:r="http://schemas.openxmlformats.org/officeDocument/2006/relationships">
  <rcc rId="2554" sId="5" numFmtId="4">
    <nc r="B231">
      <v>11</v>
    </nc>
  </rcc>
  <rcc rId="2555" sId="5" numFmtId="4">
    <nc r="C231">
      <v>45</v>
    </nc>
  </rcc>
  <rcc rId="2556" sId="5" numFmtId="4">
    <nc r="D231">
      <v>8</v>
    </nc>
  </rcc>
  <rcc rId="2557" sId="5" numFmtId="4">
    <nc r="E231">
      <v>7</v>
    </nc>
  </rcc>
  <rcc rId="2558" sId="5" numFmtId="4">
    <nc r="F231">
      <v>19</v>
    </nc>
  </rcc>
  <rcc rId="2559" sId="5" numFmtId="4">
    <nc r="G231">
      <v>1</v>
    </nc>
  </rcc>
  <rcc rId="2560" sId="5" numFmtId="4">
    <nc r="B232">
      <v>11</v>
    </nc>
  </rcc>
  <rcc rId="2561" sId="5" numFmtId="4">
    <nc r="C232">
      <v>45</v>
    </nc>
  </rcc>
  <rcc rId="2562" sId="5" numFmtId="4">
    <nc r="D232">
      <v>9</v>
    </nc>
  </rcc>
  <rcc rId="2563" sId="5" numFmtId="4">
    <nc r="E232">
      <v>9</v>
    </nc>
  </rcc>
  <rcc rId="2564" sId="5" numFmtId="4">
    <nc r="F232">
      <v>3</v>
    </nc>
  </rcc>
  <rcc rId="2565" sId="5" numFmtId="4">
    <nc r="G232">
      <v>6</v>
    </nc>
  </rcc>
  <rcc rId="2566" sId="5" numFmtId="4">
    <nc r="B233">
      <v>11</v>
    </nc>
  </rcc>
  <rcc rId="2567" sId="5" numFmtId="4">
    <nc r="C233">
      <v>45</v>
    </nc>
  </rcc>
  <rcc rId="2568" sId="5" numFmtId="4">
    <nc r="D233">
      <v>7</v>
    </nc>
  </rcc>
  <rcc rId="2569" sId="5" numFmtId="4">
    <nc r="E233">
      <v>3</v>
    </nc>
  </rcc>
  <rcc rId="2570" sId="5" numFmtId="4">
    <nc r="F233">
      <v>13</v>
    </nc>
  </rcc>
  <rcc rId="2571" sId="5" numFmtId="4">
    <nc r="G233">
      <v>1</v>
    </nc>
  </rcc>
  <rcc rId="2572" sId="2" numFmtId="4">
    <nc r="B100">
      <v>9</v>
    </nc>
  </rcc>
  <rcc rId="2573" sId="2" numFmtId="4">
    <nc r="C100">
      <v>13</v>
    </nc>
  </rcc>
  <rcc rId="2574" sId="2" numFmtId="4">
    <nc r="D100">
      <v>8</v>
    </nc>
  </rcc>
  <rcc rId="2575" sId="2" numFmtId="4">
    <nc r="E100">
      <v>18</v>
    </nc>
  </rcc>
  <rcc rId="2576" sId="2" numFmtId="4">
    <nc r="F100">
      <v>8</v>
    </nc>
  </rcc>
  <rcc rId="2577" sId="2" numFmtId="4">
    <nc r="G100">
      <v>0</v>
    </nc>
  </rcc>
  <rcc rId="2578" sId="2" numFmtId="4">
    <nc r="B101">
      <v>9</v>
    </nc>
  </rcc>
  <rcc rId="2579" sId="2" numFmtId="4">
    <nc r="C101">
      <v>13</v>
    </nc>
  </rcc>
  <rcc rId="2580" sId="2" numFmtId="4">
    <nc r="D101">
      <v>7</v>
    </nc>
  </rcc>
  <rcc rId="2581" sId="2" numFmtId="4">
    <nc r="E101">
      <v>13</v>
    </nc>
  </rcc>
  <rcc rId="2582" sId="2" numFmtId="4">
    <nc r="F101">
      <v>12</v>
    </nc>
  </rcc>
  <rcc rId="2583" sId="2" numFmtId="4">
    <nc r="G101">
      <v>0</v>
    </nc>
  </rcc>
  <rcc rId="2584" sId="2" numFmtId="4">
    <nc r="B102">
      <v>9</v>
    </nc>
  </rcc>
  <rcc rId="2585" sId="2" numFmtId="4">
    <nc r="C102">
      <v>13</v>
    </nc>
  </rcc>
  <rcc rId="2586" sId="2" numFmtId="4">
    <nc r="D102">
      <v>6</v>
    </nc>
  </rcc>
  <rcc rId="2587" sId="2" numFmtId="4">
    <nc r="E102">
      <v>15</v>
    </nc>
  </rcc>
  <rcc rId="2588" sId="2" numFmtId="4">
    <nc r="F102">
      <v>9</v>
    </nc>
  </rcc>
  <rcc rId="2589" sId="2" numFmtId="4">
    <nc r="G102">
      <v>0</v>
    </nc>
  </rcc>
</revisions>
</file>

<file path=xl/revisions/revisionLog48.xml><?xml version="1.0" encoding="utf-8"?>
<revisions xmlns="http://schemas.openxmlformats.org/spreadsheetml/2006/main" xmlns:r="http://schemas.openxmlformats.org/officeDocument/2006/relationships">
  <rcc rId="2590" sId="2" numFmtId="4">
    <nc r="B103">
      <v>9</v>
    </nc>
  </rcc>
  <rcc rId="2591" sId="2" numFmtId="4">
    <nc r="C103">
      <v>19</v>
    </nc>
  </rcc>
  <rcc rId="2592" sId="2" numFmtId="4">
    <nc r="D103">
      <v>9</v>
    </nc>
  </rcc>
  <rcc rId="2593" sId="2" numFmtId="4">
    <nc r="E103">
      <v>19</v>
    </nc>
  </rcc>
  <rcc rId="2594" sId="2" numFmtId="4">
    <nc r="F103">
      <v>6</v>
    </nc>
  </rcc>
  <rcc rId="2595" sId="2" numFmtId="4">
    <nc r="G103">
      <v>0</v>
    </nc>
  </rcc>
  <rcc rId="2596" sId="2" numFmtId="4">
    <nc r="B104">
      <v>9</v>
    </nc>
  </rcc>
  <rcc rId="2597" sId="2" numFmtId="4">
    <nc r="C104">
      <v>19</v>
    </nc>
  </rcc>
  <rcc rId="2598" sId="2" numFmtId="4">
    <nc r="D104">
      <v>8</v>
    </nc>
  </rcc>
  <rcc rId="2599" sId="2" numFmtId="4">
    <nc r="E104">
      <v>6</v>
    </nc>
  </rcc>
  <rcc rId="2600" sId="2" numFmtId="4">
    <nc r="F104">
      <v>17</v>
    </nc>
  </rcc>
  <rcc rId="2601" sId="2" numFmtId="4">
    <nc r="G104">
      <v>0</v>
    </nc>
  </rcc>
  <rcc rId="2602" sId="2" numFmtId="4">
    <nc r="B105">
      <v>9</v>
    </nc>
  </rcc>
  <rcc rId="2603" sId="2" numFmtId="4">
    <nc r="C105">
      <v>19</v>
    </nc>
  </rcc>
  <rcc rId="2604" sId="2" numFmtId="4">
    <nc r="D105">
      <v>7</v>
    </nc>
  </rcc>
  <rcc rId="2605" sId="2" numFmtId="4">
    <nc r="E105">
      <v>0</v>
    </nc>
  </rcc>
  <rcc rId="2606" sId="2" numFmtId="4">
    <nc r="F105">
      <v>14</v>
    </nc>
  </rcc>
  <rcc rId="2607" sId="2" numFmtId="4">
    <nc r="G105">
      <v>1</v>
    </nc>
  </rcc>
  <rcc rId="2608" sId="5" numFmtId="4">
    <nc r="B234">
      <v>11</v>
    </nc>
  </rcc>
  <rcc rId="2609" sId="5" numFmtId="4">
    <nc r="C234">
      <v>32</v>
    </nc>
  </rcc>
  <rcc rId="2610" sId="5" numFmtId="4">
    <nc r="D234">
      <v>7</v>
    </nc>
  </rcc>
  <rcc rId="2611" sId="5" numFmtId="4">
    <nc r="E234">
      <v>18</v>
    </nc>
  </rcc>
  <rcc rId="2612" sId="5" numFmtId="4">
    <nc r="F234">
      <v>1</v>
    </nc>
  </rcc>
  <rcc rId="2613" sId="5" numFmtId="4">
    <nc r="G234">
      <v>0</v>
    </nc>
  </rcc>
  <rcc rId="2614" sId="5" numFmtId="4">
    <nc r="B235">
      <v>11</v>
    </nc>
  </rcc>
  <rcc rId="2615" sId="5" numFmtId="4">
    <nc r="C235">
      <v>32</v>
    </nc>
  </rcc>
  <rcc rId="2616" sId="5" numFmtId="4">
    <nc r="D235">
      <v>6</v>
    </nc>
  </rcc>
  <rcc rId="2617" sId="5" numFmtId="4">
    <nc r="E235">
      <v>15</v>
    </nc>
  </rcc>
  <rcc rId="2618" sId="5" numFmtId="4">
    <nc r="F235">
      <v>0</v>
    </nc>
  </rcc>
  <rcc rId="2619" sId="5" numFmtId="4">
    <nc r="G235">
      <v>0</v>
    </nc>
  </rcc>
</revisions>
</file>

<file path=xl/revisions/revisionLog49.xml><?xml version="1.0" encoding="utf-8"?>
<revisions xmlns="http://schemas.openxmlformats.org/spreadsheetml/2006/main" xmlns:r="http://schemas.openxmlformats.org/officeDocument/2006/relationships">
  <rcc rId="2620" sId="5" numFmtId="4">
    <nc r="B236">
      <v>11</v>
    </nc>
  </rcc>
  <rcc rId="2621" sId="5" numFmtId="4">
    <nc r="C236">
      <v>43</v>
    </nc>
  </rcc>
  <rcc rId="2622" sId="5" numFmtId="4">
    <nc r="D236">
      <v>8</v>
    </nc>
  </rcc>
  <rcc rId="2623" sId="5" numFmtId="4">
    <nc r="E236">
      <v>23</v>
    </nc>
  </rcc>
  <rcc rId="2624" sId="5" numFmtId="4">
    <nc r="F236">
      <v>8</v>
    </nc>
  </rcc>
  <rcc rId="2625" sId="5" numFmtId="4">
    <nc r="G236">
      <v>9</v>
    </nc>
  </rcc>
  <rcc rId="2626" sId="5" numFmtId="4">
    <nc r="B237">
      <v>11</v>
    </nc>
  </rcc>
  <rcc rId="2627" sId="5" numFmtId="4">
    <nc r="C237">
      <v>43</v>
    </nc>
  </rcc>
  <rcc rId="2628" sId="5" numFmtId="4">
    <nc r="D237">
      <v>7</v>
    </nc>
  </rcc>
  <rcc rId="2629" sId="5" numFmtId="4">
    <nc r="E237">
      <v>22</v>
    </nc>
  </rcc>
  <rcc rId="2630" sId="5" numFmtId="4">
    <nc r="F237">
      <v>4</v>
    </nc>
  </rcc>
  <rcc rId="2631" sId="5" numFmtId="4">
    <nc r="G237">
      <v>2</v>
    </nc>
  </rcc>
  <rcc rId="2632" sId="5" numFmtId="4">
    <nc r="B238">
      <v>11</v>
    </nc>
  </rcc>
  <rcc rId="2633" sId="5" numFmtId="4">
    <nc r="C238">
      <v>26</v>
    </nc>
  </rcc>
  <rcc rId="2634" sId="5" numFmtId="4">
    <nc r="D238">
      <v>8</v>
    </nc>
  </rcc>
  <rcc rId="2635" sId="5" numFmtId="4">
    <nc r="E238">
      <v>20</v>
    </nc>
  </rcc>
  <rcc rId="2636" sId="5" numFmtId="4">
    <nc r="F238">
      <v>6</v>
    </nc>
  </rcc>
  <rcc rId="2637" sId="5" numFmtId="4">
    <nc r="G238">
      <v>2</v>
    </nc>
  </rcc>
  <rcc rId="2638" sId="2" numFmtId="4">
    <nc r="B106">
      <v>9</v>
    </nc>
  </rcc>
  <rcc rId="2639" sId="2" numFmtId="4">
    <nc r="C106">
      <v>13</v>
    </nc>
  </rcc>
  <rcc rId="2640" sId="2" numFmtId="4">
    <nc r="D106">
      <v>9</v>
    </nc>
  </rcc>
  <rcc rId="2641" sId="2" numFmtId="4">
    <nc r="E106">
      <v>14</v>
    </nc>
  </rcc>
  <rcc rId="2642" sId="2" numFmtId="4">
    <nc r="F106">
      <v>6</v>
    </nc>
  </rcc>
  <rcc rId="2643" sId="2" numFmtId="4">
    <nc r="G106">
      <v>0</v>
    </nc>
  </rcc>
  <rcc rId="2644" sId="5" numFmtId="4">
    <nc r="B239">
      <v>11</v>
    </nc>
  </rcc>
  <rcc rId="2645" sId="5" numFmtId="4">
    <nc r="C239">
      <v>26</v>
    </nc>
  </rcc>
  <rcc rId="2646" sId="5" numFmtId="4">
    <nc r="D239">
      <v>9</v>
    </nc>
  </rcc>
  <rcc rId="2647" sId="5" numFmtId="4">
    <nc r="E239">
      <v>10</v>
    </nc>
  </rcc>
  <rcc rId="2648" sId="5" numFmtId="4">
    <nc r="F239">
      <v>13</v>
    </nc>
  </rcc>
  <rcc rId="2649" sId="5" numFmtId="4">
    <nc r="G239">
      <v>0</v>
    </nc>
  </rcc>
  <rcc rId="2650" sId="2" numFmtId="4">
    <nc r="B107">
      <v>9</v>
    </nc>
  </rcc>
  <rcc rId="2651" sId="2" numFmtId="4">
    <nc r="C107">
      <v>15</v>
    </nc>
  </rcc>
  <rcc rId="2652" sId="2" numFmtId="4">
    <nc r="D107">
      <v>1</v>
    </nc>
  </rcc>
  <rcc rId="2653" sId="2" numFmtId="4">
    <nc r="E107">
      <v>6</v>
    </nc>
  </rcc>
  <rcc rId="2654" sId="2" numFmtId="4">
    <nc r="F107">
      <v>9</v>
    </nc>
  </rcc>
  <rcc rId="2655" sId="2" numFmtId="4">
    <nc r="G107">
      <v>1</v>
    </nc>
  </rcc>
  <rcc rId="2656" sId="2" numFmtId="4">
    <nc r="B108">
      <v>9</v>
    </nc>
  </rcc>
  <rcc rId="2657" sId="2" numFmtId="4">
    <nc r="C108">
      <v>15</v>
    </nc>
  </rcc>
  <rcc rId="2658" sId="2" numFmtId="4">
    <nc r="D108">
      <v>2</v>
    </nc>
  </rcc>
  <rcc rId="2659" sId="2" numFmtId="4">
    <nc r="E108">
      <v>14</v>
    </nc>
  </rcc>
  <rcc rId="2660" sId="2" numFmtId="4">
    <nc r="F108">
      <v>18</v>
    </nc>
  </rcc>
  <rcc rId="2661" sId="2" numFmtId="4">
    <nc r="G108">
      <v>0</v>
    </nc>
  </rcc>
  <rcc rId="2662" sId="2" numFmtId="4">
    <nc r="B109">
      <v>9</v>
    </nc>
  </rcc>
  <rcc rId="2663" sId="2" numFmtId="4">
    <nc r="C109">
      <v>15</v>
    </nc>
  </rcc>
  <rcc rId="2664" sId="2" numFmtId="4">
    <nc r="E109">
      <v>12</v>
    </nc>
  </rcc>
  <rcc rId="2665" sId="2" numFmtId="4">
    <nc r="F109">
      <v>7</v>
    </nc>
  </rcc>
  <rcc rId="2666" sId="2" numFmtId="4">
    <nc r="G109">
      <v>0</v>
    </nc>
  </rcc>
  <rcc rId="2667" sId="2" numFmtId="4">
    <nc r="D109">
      <v>3</v>
    </nc>
  </rcc>
  <rcc rId="2668" sId="2" numFmtId="4">
    <nc r="B110">
      <v>9</v>
    </nc>
  </rcc>
  <rcc rId="2669" sId="2" numFmtId="4">
    <nc r="C110">
      <v>15</v>
    </nc>
  </rcc>
  <rcc rId="2670" sId="2" numFmtId="4">
    <nc r="D110">
      <v>4</v>
    </nc>
  </rcc>
  <rcc rId="2671" sId="2" numFmtId="4">
    <nc r="E110">
      <v>25</v>
    </nc>
  </rcc>
  <rcc rId="2672" sId="2" numFmtId="4">
    <nc r="F110">
      <v>25</v>
    </nc>
  </rcc>
  <rcc rId="2673" sId="2" numFmtId="4">
    <nc r="G110">
      <v>0</v>
    </nc>
  </rcc>
  <rcc rId="2674" sId="2" numFmtId="4">
    <nc r="B111">
      <v>9</v>
    </nc>
  </rcc>
  <rcc rId="2675" sId="2" numFmtId="4">
    <nc r="C111">
      <v>15</v>
    </nc>
  </rcc>
  <rcc rId="2676" sId="2" numFmtId="4">
    <nc r="D111">
      <v>5</v>
    </nc>
  </rcc>
  <rcc rId="2677" sId="2" numFmtId="4">
    <nc r="E111">
      <v>5</v>
    </nc>
  </rcc>
  <rcc rId="2678" sId="2" numFmtId="4">
    <nc r="F111">
      <v>9</v>
    </nc>
  </rcc>
  <rcc rId="2679" sId="2" numFmtId="4">
    <nc r="G111">
      <v>0</v>
    </nc>
  </rcc>
  <rcc rId="2680" sId="2" numFmtId="4">
    <nc r="B112">
      <v>9</v>
    </nc>
  </rcc>
  <rcc rId="2681" sId="2" numFmtId="4">
    <nc r="C112">
      <v>15</v>
    </nc>
  </rcc>
  <rcc rId="2682" sId="2" numFmtId="4">
    <nc r="D112">
      <v>6</v>
    </nc>
  </rcc>
  <rcc rId="2683" sId="2" numFmtId="4">
    <nc r="E112">
      <v>11</v>
    </nc>
  </rcc>
  <rcc rId="2684" sId="2" numFmtId="4">
    <nc r="F112">
      <v>10</v>
    </nc>
  </rcc>
  <rcc rId="2685" sId="2" numFmtId="4">
    <nc r="G112">
      <v>0</v>
    </nc>
  </rcc>
  <rcc rId="2686" sId="5" numFmtId="4">
    <nc r="B240">
      <v>11</v>
    </nc>
  </rcc>
  <rcc rId="2687" sId="5" numFmtId="4">
    <nc r="C240">
      <v>39</v>
    </nc>
  </rcc>
  <rcc rId="2688" sId="5" numFmtId="4">
    <nc r="D240">
      <v>8</v>
    </nc>
  </rcc>
  <rcc rId="2689" sId="5" numFmtId="4">
    <nc r="E240">
      <v>7</v>
    </nc>
  </rcc>
  <rcc rId="2690" sId="5" numFmtId="4">
    <nc r="F240">
      <v>10</v>
    </nc>
  </rcc>
  <rcc rId="2691" sId="5" numFmtId="4">
    <nc r="G240">
      <v>8</v>
    </nc>
  </rcc>
  <rcc rId="2692" sId="5" numFmtId="4">
    <nc r="B241">
      <v>11</v>
    </nc>
  </rcc>
  <rcc rId="2693" sId="5" numFmtId="4">
    <nc r="C241">
      <v>39</v>
    </nc>
  </rcc>
  <rcc rId="2694" sId="5" numFmtId="4">
    <nc r="D241">
      <v>7</v>
    </nc>
  </rcc>
  <rcc rId="2695" sId="5" numFmtId="4">
    <nc r="E241">
      <v>11</v>
    </nc>
  </rcc>
  <rcc rId="2696" sId="5" numFmtId="4">
    <nc r="F241">
      <v>6</v>
    </nc>
  </rcc>
  <rcc rId="2697" sId="5" numFmtId="4">
    <nc r="G241">
      <v>8</v>
    </nc>
  </rcc>
  <rcc rId="2698" sId="5" numFmtId="4">
    <nc r="B242">
      <v>11</v>
    </nc>
  </rcc>
  <rcc rId="2699" sId="5" numFmtId="4">
    <nc r="C242">
      <v>39</v>
    </nc>
  </rcc>
  <rcc rId="2700" sId="5" numFmtId="4">
    <nc r="D242">
      <v>6</v>
    </nc>
  </rcc>
  <rcc rId="2701" sId="5" numFmtId="4">
    <nc r="E242">
      <v>15</v>
    </nc>
  </rcc>
  <rcc rId="2702" sId="5" numFmtId="4">
    <nc r="F242">
      <v>1</v>
    </nc>
  </rcc>
  <rcc rId="2703" sId="5" numFmtId="4">
    <nc r="G242">
      <v>9</v>
    </nc>
  </rcc>
  <rcc rId="2704" sId="5" numFmtId="4">
    <nc r="B243">
      <v>11</v>
    </nc>
  </rcc>
  <rcc rId="2705" sId="5" numFmtId="4">
    <nc r="C243">
      <v>51</v>
    </nc>
  </rcc>
  <rcc rId="2706" sId="5" numFmtId="4">
    <nc r="D243">
      <v>8</v>
    </nc>
  </rcc>
  <rcc rId="2707" sId="5" numFmtId="4">
    <nc r="E243">
      <v>6</v>
    </nc>
  </rcc>
  <rcc rId="2708" sId="5" numFmtId="4">
    <nc r="F243">
      <v>0</v>
    </nc>
  </rcc>
  <rcc rId="2709" sId="5" numFmtId="4">
    <nc r="G243">
      <v>0</v>
    </nc>
  </rcc>
  <rcc rId="2710" sId="5" numFmtId="4">
    <nc r="B244">
      <v>11</v>
    </nc>
  </rcc>
  <rcc rId="2711" sId="5" numFmtId="4">
    <nc r="C244">
      <v>51</v>
    </nc>
  </rcc>
  <rcc rId="2712" sId="5" numFmtId="4">
    <nc r="D244">
      <v>7</v>
    </nc>
  </rcc>
  <rcc rId="2713" sId="5" numFmtId="4">
    <nc r="E244">
      <v>5</v>
    </nc>
  </rcc>
  <rcc rId="2714" sId="5" numFmtId="4">
    <nc r="F244">
      <v>0</v>
    </nc>
  </rcc>
  <rcc rId="2715" sId="5" numFmtId="4">
    <nc r="G244">
      <v>0</v>
    </nc>
  </rcc>
  <rcc rId="2716" sId="5" numFmtId="4">
    <nc r="B245">
      <v>11</v>
    </nc>
  </rcc>
  <rcc rId="2717" sId="5" numFmtId="4">
    <nc r="C245">
      <v>58</v>
    </nc>
  </rcc>
  <rcc rId="2718" sId="5" numFmtId="4">
    <nc r="D245">
      <v>8</v>
    </nc>
  </rcc>
  <rcc rId="2719" sId="5" numFmtId="4">
    <nc r="E245">
      <v>2</v>
    </nc>
  </rcc>
  <rcc rId="2720" sId="5" numFmtId="4">
    <nc r="F245">
      <v>9</v>
    </nc>
  </rcc>
  <rcc rId="2721" sId="5" numFmtId="4">
    <nc r="G245">
      <v>4</v>
    </nc>
  </rcc>
</revisions>
</file>

<file path=xl/revisions/revisionLog50.xml><?xml version="1.0" encoding="utf-8"?>
<revisions xmlns="http://schemas.openxmlformats.org/spreadsheetml/2006/main" xmlns:r="http://schemas.openxmlformats.org/officeDocument/2006/relationships">
  <rcc rId="2722" sId="8" numFmtId="4">
    <nc r="B90">
      <v>16</v>
    </nc>
  </rcc>
  <rcc rId="2723" sId="8" numFmtId="4">
    <nc r="C90">
      <v>80</v>
    </nc>
  </rcc>
  <rcc rId="2724" sId="8" numFmtId="4">
    <nc r="D90">
      <v>7</v>
    </nc>
  </rcc>
  <rcc rId="2725" sId="8" numFmtId="4">
    <nc r="E90">
      <v>4</v>
    </nc>
  </rcc>
  <rcc rId="2726" sId="8" numFmtId="4">
    <nc r="F90">
      <v>2</v>
    </nc>
  </rcc>
  <rcc rId="2727" sId="8" numFmtId="4">
    <nc r="G90">
      <v>1</v>
    </nc>
  </rcc>
  <rcc rId="2728" sId="8" numFmtId="4">
    <nc r="H90">
      <v>0</v>
    </nc>
  </rcc>
  <rcc rId="2729" sId="8" numFmtId="4">
    <nc r="B91">
      <v>16</v>
    </nc>
  </rcc>
  <rcc rId="2730" sId="8" numFmtId="4">
    <nc r="C91">
      <v>80</v>
    </nc>
  </rcc>
  <rcc rId="2731" sId="8" numFmtId="4">
    <nc r="D91">
      <v>6</v>
    </nc>
  </rcc>
  <rcc rId="2732" sId="8" numFmtId="4">
    <nc r="E91">
      <v>7</v>
    </nc>
  </rcc>
  <rcc rId="2733" sId="8" numFmtId="4">
    <nc r="F91">
      <v>1</v>
    </nc>
  </rcc>
  <rcc rId="2734" sId="8" numFmtId="4">
    <nc r="G91">
      <v>0</v>
    </nc>
  </rcc>
  <rcc rId="2735" sId="8" numFmtId="4">
    <nc r="H91">
      <v>0</v>
    </nc>
  </rcc>
  <rcc rId="2736" sId="8" numFmtId="4">
    <nc r="B92">
      <v>16</v>
    </nc>
  </rcc>
  <rcc rId="2737" sId="8" numFmtId="4">
    <nc r="C92">
      <v>80</v>
    </nc>
  </rcc>
  <rcc rId="2738" sId="8" numFmtId="4">
    <nc r="D92">
      <v>5</v>
    </nc>
  </rcc>
  <rcc rId="2739" sId="8" numFmtId="4">
    <nc r="E92">
      <v>11</v>
    </nc>
  </rcc>
  <rcc rId="2740" sId="8" numFmtId="4">
    <nc r="F92">
      <v>0</v>
    </nc>
  </rcc>
  <rcc rId="2741" sId="8" numFmtId="4">
    <nc r="G92">
      <v>2</v>
    </nc>
  </rcc>
  <rcc rId="2742" sId="8" numFmtId="4">
    <nc r="H92">
      <v>0</v>
    </nc>
  </rcc>
  <rcc rId="2743" sId="8" numFmtId="4">
    <nc r="B93">
      <v>16</v>
    </nc>
  </rcc>
  <rcc rId="2744" sId="8" numFmtId="4">
    <nc r="C93">
      <v>79</v>
    </nc>
  </rcc>
  <rcc rId="2745" sId="8" numFmtId="4">
    <nc r="D93">
      <v>4</v>
    </nc>
  </rcc>
  <rcc rId="2746" sId="8" numFmtId="4">
    <nc r="E93">
      <v>0</v>
    </nc>
  </rcc>
  <rcc rId="2747" sId="8" numFmtId="4">
    <nc r="F93">
      <v>0</v>
    </nc>
  </rcc>
  <rcc rId="2748" sId="8" numFmtId="4">
    <nc r="G93">
      <v>0</v>
    </nc>
  </rcc>
  <rcc rId="2749" sId="8" numFmtId="4">
    <nc r="H93">
      <v>0</v>
    </nc>
  </rcc>
  <rcc rId="2750" sId="8" numFmtId="4">
    <nc r="B94">
      <v>16</v>
    </nc>
  </rcc>
  <rcc rId="2751" sId="8" numFmtId="4">
    <nc r="C94">
      <v>68</v>
    </nc>
  </rcc>
  <rcc rId="2752" sId="8" numFmtId="4">
    <nc r="D94">
      <v>7</v>
    </nc>
  </rcc>
  <rcc rId="2753" sId="8" numFmtId="4">
    <nc r="E94">
      <v>9</v>
    </nc>
  </rcc>
  <rcc rId="2754" sId="8" numFmtId="4">
    <nc r="F94">
      <v>6</v>
    </nc>
  </rcc>
  <rcc rId="2755" sId="8" numFmtId="4">
    <nc r="G94">
      <v>5</v>
    </nc>
  </rcc>
  <rcc rId="2756" sId="8" numFmtId="4">
    <nc r="H94">
      <v>6</v>
    </nc>
  </rcc>
  <rcc rId="2757" sId="8" numFmtId="4">
    <nc r="B95">
      <v>16</v>
    </nc>
  </rcc>
  <rcc rId="2758" sId="8" numFmtId="4">
    <nc r="C95">
      <v>68</v>
    </nc>
  </rcc>
  <rcc rId="2759" sId="8" numFmtId="4">
    <nc r="D95">
      <v>6</v>
    </nc>
  </rcc>
  <rcc rId="2760" sId="8" numFmtId="4">
    <nc r="E95">
      <v>15</v>
    </nc>
  </rcc>
  <rcc rId="2761" sId="8" numFmtId="4">
    <nc r="F95">
      <v>6</v>
    </nc>
  </rcc>
  <rcc rId="2762" sId="8" numFmtId="4">
    <nc r="G95">
      <v>4</v>
    </nc>
  </rcc>
  <rcc rId="2763" sId="8" numFmtId="4">
    <nc r="H95">
      <v>2</v>
    </nc>
  </rcc>
  <rcc rId="2764" sId="8" numFmtId="4">
    <nc r="B96">
      <v>16</v>
    </nc>
  </rcc>
  <rcc rId="2765" sId="8" numFmtId="4">
    <nc r="C96">
      <v>68</v>
    </nc>
  </rcc>
  <rcc rId="2766" sId="8" numFmtId="4">
    <nc r="D96">
      <v>5</v>
    </nc>
  </rcc>
  <rcc rId="2767" sId="8" numFmtId="4">
    <nc r="E96">
      <v>19</v>
    </nc>
  </rcc>
  <rcc rId="2768" sId="8" numFmtId="4">
    <nc r="F96">
      <v>6</v>
    </nc>
  </rcc>
  <rcc rId="2769" sId="8" numFmtId="4">
    <nc r="G96">
      <v>4</v>
    </nc>
  </rcc>
  <rcc rId="2770" sId="8" numFmtId="4">
    <nc r="H96">
      <v>2</v>
    </nc>
  </rcc>
  <rcc rId="2771" sId="8" numFmtId="4">
    <nc r="B97">
      <v>16</v>
    </nc>
  </rcc>
  <rcc rId="2772" sId="8" numFmtId="4">
    <nc r="C97">
      <v>68</v>
    </nc>
  </rcc>
  <rcc rId="2773" sId="8" numFmtId="4">
    <nc r="D97">
      <v>4</v>
    </nc>
  </rcc>
  <rcc rId="2774" sId="8" numFmtId="4">
    <nc r="E97">
      <v>6</v>
    </nc>
  </rcc>
  <rcc rId="2775" sId="8" numFmtId="4">
    <nc r="F97">
      <v>0</v>
    </nc>
  </rcc>
  <rcc rId="2776" sId="8" numFmtId="4">
    <nc r="G97">
      <v>5</v>
    </nc>
  </rcc>
  <rcc rId="2777" sId="8" numFmtId="4">
    <nc r="H97">
      <v>2</v>
    </nc>
  </rcc>
  <rcc rId="2778" sId="8" numFmtId="4">
    <nc r="B98">
      <v>16</v>
    </nc>
  </rcc>
  <rcc rId="2779" sId="8" numFmtId="4">
    <nc r="C98">
      <v>80</v>
    </nc>
  </rcc>
  <rcc rId="2780" sId="8" numFmtId="4">
    <nc r="D98">
      <v>4</v>
    </nc>
  </rcc>
  <rcc rId="2781" sId="8" numFmtId="4">
    <nc r="E98">
      <v>11</v>
    </nc>
  </rcc>
  <rcc rId="2782" sId="8" numFmtId="4">
    <nc r="F98">
      <v>0</v>
    </nc>
  </rcc>
  <rcc rId="2783" sId="8" numFmtId="4">
    <nc r="G98">
      <v>2</v>
    </nc>
  </rcc>
  <rcc rId="2784" sId="8" numFmtId="4">
    <nc r="H98">
      <v>0</v>
    </nc>
  </rcc>
  <rcc rId="2785" sId="8" numFmtId="4">
    <nc r="B99">
      <v>16</v>
    </nc>
  </rcc>
  <rcc rId="2786" sId="8" numFmtId="4">
    <nc r="C99">
      <v>80</v>
    </nc>
  </rcc>
  <rcc rId="2787" sId="8" numFmtId="4">
    <nc r="D99">
      <v>3</v>
    </nc>
  </rcc>
  <rcc rId="2788" sId="8" numFmtId="4">
    <nc r="E99">
      <v>11</v>
    </nc>
  </rcc>
  <rcc rId="2789" sId="8" numFmtId="4">
    <nc r="F99">
      <v>3</v>
    </nc>
  </rcc>
  <rcc rId="2790" sId="8" numFmtId="4">
    <nc r="G99">
      <v>0</v>
    </nc>
  </rcc>
  <rcc rId="2791" sId="8" numFmtId="4">
    <nc r="H99">
      <v>0</v>
    </nc>
  </rcc>
  <rcc rId="2792" sId="8" numFmtId="4">
    <nc r="B100">
      <v>16</v>
    </nc>
  </rcc>
  <rcc rId="2793" sId="8" numFmtId="4">
    <nc r="C100">
      <v>80</v>
    </nc>
  </rcc>
  <rcc rId="2794" sId="8" numFmtId="4">
    <nc r="D100">
      <v>2</v>
    </nc>
  </rcc>
  <rcc rId="2795" sId="8" numFmtId="4">
    <nc r="E100">
      <v>5</v>
    </nc>
  </rcc>
  <rcc rId="2796" sId="8" numFmtId="4">
    <nc r="F100">
      <v>0</v>
    </nc>
  </rcc>
  <rcc rId="2797" sId="8" numFmtId="4">
    <nc r="G100">
      <v>0</v>
    </nc>
  </rcc>
  <rcc rId="2798" sId="8" numFmtId="4">
    <nc r="H100">
      <v>0</v>
    </nc>
  </rcc>
  <rcc rId="2799" sId="8" numFmtId="4">
    <nc r="B101">
      <v>16</v>
    </nc>
  </rcc>
  <rcc rId="2800" sId="8" numFmtId="4">
    <nc r="C101">
      <v>79</v>
    </nc>
  </rcc>
  <rcc rId="2801" sId="8" numFmtId="4">
    <nc r="D101">
      <v>3</v>
    </nc>
  </rcc>
  <rcc rId="2802" sId="8" numFmtId="4">
    <nc r="E101">
      <v>9</v>
    </nc>
  </rcc>
  <rcc rId="2803" sId="8" numFmtId="4">
    <nc r="F101">
      <v>5</v>
    </nc>
  </rcc>
  <rcc rId="2804" sId="8" numFmtId="4">
    <nc r="G101">
      <v>7</v>
    </nc>
  </rcc>
  <rcc rId="2805" sId="8" numFmtId="4">
    <nc r="H101">
      <v>0</v>
    </nc>
  </rcc>
  <rcc rId="2806" sId="8" numFmtId="4">
    <nc r="B102">
      <v>16</v>
    </nc>
  </rcc>
  <rcc rId="2807" sId="8" numFmtId="4">
    <nc r="C102">
      <v>83</v>
    </nc>
  </rcc>
  <rcc rId="2808" sId="8" numFmtId="4">
    <nc r="D102">
      <v>4</v>
    </nc>
  </rcc>
  <rcc rId="2809" sId="8" numFmtId="4">
    <nc r="E102">
      <v>21</v>
    </nc>
  </rcc>
  <rcc rId="2810" sId="8" numFmtId="4">
    <nc r="F102">
      <v>2</v>
    </nc>
  </rcc>
  <rcc rId="2811" sId="8" numFmtId="4">
    <nc r="G102">
      <v>3</v>
    </nc>
  </rcc>
  <rcc rId="2812" sId="8" numFmtId="4">
    <nc r="H102">
      <v>0</v>
    </nc>
  </rcc>
  <rcc rId="2813" sId="8" numFmtId="4">
    <nc r="B103">
      <v>16</v>
    </nc>
  </rcc>
  <rcc rId="2814" sId="8" numFmtId="4">
    <nc r="C103">
      <v>83</v>
    </nc>
  </rcc>
  <rcc rId="2815" sId="8" numFmtId="4">
    <nc r="D103">
      <v>3</v>
    </nc>
  </rcc>
  <rcc rId="2816" sId="8" numFmtId="4">
    <nc r="E103">
      <v>19</v>
    </nc>
  </rcc>
  <rcc rId="2817" sId="8" numFmtId="4">
    <nc r="F103">
      <v>9</v>
    </nc>
  </rcc>
  <rcc rId="2818" sId="8" numFmtId="4">
    <nc r="G103">
      <v>0</v>
    </nc>
  </rcc>
  <rcc rId="2819" sId="8" numFmtId="4">
    <nc r="H103">
      <v>1</v>
    </nc>
  </rcc>
  <rcc rId="2820" sId="8" numFmtId="4">
    <nc r="B104">
      <v>16</v>
    </nc>
  </rcc>
  <rcc rId="2821" sId="8" numFmtId="4">
    <nc r="C104">
      <v>83</v>
    </nc>
  </rcc>
  <rcc rId="2822" sId="8" numFmtId="4">
    <nc r="D104">
      <v>2</v>
    </nc>
  </rcc>
  <rcc rId="2823" sId="8" numFmtId="4">
    <nc r="E104">
      <v>17</v>
    </nc>
  </rcc>
  <rcc rId="2824" sId="8" numFmtId="4">
    <nc r="F104">
      <v>3</v>
    </nc>
  </rcc>
  <rcc rId="2825" sId="8" numFmtId="4">
    <nc r="G104">
      <v>12</v>
    </nc>
  </rcc>
  <rcc rId="2826" sId="8" numFmtId="4">
    <nc r="H104">
      <v>0</v>
    </nc>
  </rcc>
  <rcc rId="2827" sId="8" numFmtId="4">
    <nc r="B105">
      <v>16</v>
    </nc>
  </rcc>
  <rcc rId="2828" sId="8" numFmtId="4">
    <nc r="C105">
      <v>68</v>
    </nc>
  </rcc>
  <rcc rId="2829" sId="8" numFmtId="4">
    <nc r="D105">
      <v>4</v>
    </nc>
  </rcc>
  <rcc rId="2830" sId="8" numFmtId="4">
    <nc r="E105">
      <v>6</v>
    </nc>
  </rcc>
  <rcc rId="2831" sId="8" numFmtId="4">
    <nc r="F105">
      <v>0</v>
    </nc>
  </rcc>
  <rcc rId="2832" sId="8" numFmtId="4">
    <nc r="G105">
      <v>5</v>
    </nc>
  </rcc>
  <rcc rId="2833" sId="8" numFmtId="4">
    <nc r="H105">
      <v>2</v>
    </nc>
  </rcc>
  <rcc rId="2834" sId="8" numFmtId="4">
    <nc r="B106">
      <v>16</v>
    </nc>
  </rcc>
  <rcc rId="2835" sId="8" numFmtId="4">
    <nc r="C106">
      <v>68</v>
    </nc>
  </rcc>
  <rcc rId="2836" sId="8" numFmtId="4">
    <nc r="D106">
      <v>3</v>
    </nc>
  </rcc>
  <rcc rId="2837" sId="8" numFmtId="4">
    <nc r="E106">
      <v>16</v>
    </nc>
  </rcc>
  <rcc rId="2838" sId="8" numFmtId="4">
    <nc r="F106">
      <v>0</v>
    </nc>
  </rcc>
  <rcc rId="2839" sId="8" numFmtId="4">
    <nc r="G106">
      <v>4</v>
    </nc>
  </rcc>
  <rcc rId="2840" sId="8" numFmtId="4">
    <nc r="H106">
      <v>2</v>
    </nc>
  </rcc>
  <rcc rId="2841" sId="8" numFmtId="4">
    <nc r="B107">
      <v>16</v>
    </nc>
  </rcc>
  <rcc rId="2842" sId="8" numFmtId="4">
    <nc r="C107">
      <v>68</v>
    </nc>
  </rcc>
  <rcc rId="2843" sId="8" numFmtId="4">
    <nc r="D107">
      <v>2</v>
    </nc>
  </rcc>
  <rcc rId="2844" sId="8" numFmtId="4">
    <nc r="E107">
      <v>7</v>
    </nc>
  </rcc>
  <rcc rId="2845" sId="8" numFmtId="4">
    <nc r="F107">
      <v>3</v>
    </nc>
  </rcc>
  <rcc rId="2846" sId="8" numFmtId="4">
    <nc r="G107">
      <v>3</v>
    </nc>
  </rcc>
  <rcc rId="2847" sId="8" numFmtId="4">
    <nc r="H107">
      <v>1</v>
    </nc>
  </rcc>
  <rcc rId="2848" sId="8" numFmtId="4">
    <nc r="B108">
      <v>16</v>
    </nc>
  </rcc>
  <rcc rId="2849" sId="8" numFmtId="4">
    <nc r="C108">
      <v>79</v>
    </nc>
  </rcc>
  <rcc rId="2850" sId="8" numFmtId="4">
    <nc r="D108">
      <v>2</v>
    </nc>
  </rcc>
  <rcc rId="2851" sId="8" numFmtId="4">
    <nc r="E108">
      <v>13</v>
    </nc>
  </rcc>
  <rcc rId="2852" sId="8" numFmtId="4">
    <nc r="F108">
      <v>6</v>
    </nc>
  </rcc>
  <rcc rId="2853" sId="8" numFmtId="4">
    <nc r="G108">
      <v>4</v>
    </nc>
  </rcc>
  <rcc rId="2854" sId="8" numFmtId="4">
    <nc r="H108">
      <v>0</v>
    </nc>
  </rcc>
  <rcc rId="2855" sId="8" numFmtId="4">
    <nc r="B109">
      <v>16</v>
    </nc>
  </rcc>
  <rcc rId="2856" sId="8" numFmtId="4">
    <nc r="C109">
      <v>79</v>
    </nc>
  </rcc>
  <rcc rId="2857" sId="8" numFmtId="4">
    <nc r="D109">
      <v>1</v>
    </nc>
  </rcc>
  <rcc rId="2858" sId="8" numFmtId="4">
    <nc r="E109">
      <v>7</v>
    </nc>
  </rcc>
  <rcc rId="2859" sId="8" numFmtId="4">
    <nc r="F109">
      <v>6</v>
    </nc>
  </rcc>
  <rcc rId="2860" sId="8" numFmtId="4">
    <nc r="G109">
      <v>0</v>
    </nc>
  </rcc>
  <rcc rId="2861" sId="8" numFmtId="4">
    <nc r="H109">
      <v>10</v>
    </nc>
  </rcc>
  <rcc rId="2862" sId="8" numFmtId="4">
    <nc r="B110">
      <v>16</v>
    </nc>
  </rcc>
  <rcc rId="2863" sId="8" numFmtId="4">
    <nc r="C110">
      <v>83</v>
    </nc>
  </rcc>
  <rcc rId="2864" sId="8" numFmtId="4">
    <nc r="D110">
      <v>1</v>
    </nc>
  </rcc>
</revisions>
</file>

<file path=xl/revisions/revisionLog51.xml><?xml version="1.0" encoding="utf-8"?>
<revisions xmlns="http://schemas.openxmlformats.org/spreadsheetml/2006/main" xmlns:r="http://schemas.openxmlformats.org/officeDocument/2006/relationships">
  <rcc rId="2865" sId="5" numFmtId="4">
    <nc r="B246">
      <v>11</v>
    </nc>
  </rcc>
  <rcc rId="2866" sId="5" numFmtId="4">
    <nc r="C246">
      <v>58</v>
    </nc>
  </rcc>
  <rcc rId="2867" sId="5" numFmtId="4">
    <nc r="D246">
      <v>7</v>
    </nc>
  </rcc>
  <rcc rId="2868" sId="5" numFmtId="4">
    <nc r="E246">
      <v>10</v>
    </nc>
  </rcc>
  <rcc rId="2869" sId="5" numFmtId="4">
    <nc r="F246">
      <v>5</v>
    </nc>
  </rcc>
  <rcc rId="2870" sId="5" numFmtId="4">
    <nc r="G246">
      <v>2</v>
    </nc>
  </rcc>
  <rcc rId="2871" sId="5" numFmtId="4">
    <nc r="B247">
      <v>11</v>
    </nc>
  </rcc>
  <rcc rId="2872" sId="5" numFmtId="4">
    <nc r="C247">
      <v>58</v>
    </nc>
  </rcc>
  <rcc rId="2873" sId="5" numFmtId="4">
    <nc r="D247">
      <v>6</v>
    </nc>
  </rcc>
  <rcc rId="2874" sId="5" numFmtId="4">
    <nc r="E247">
      <v>4</v>
    </nc>
  </rcc>
  <rcc rId="2875" sId="5" numFmtId="4">
    <nc r="G247">
      <v>2</v>
    </nc>
  </rcc>
  <rcc rId="2876" sId="5" numFmtId="4">
    <nc r="F247">
      <v>10</v>
    </nc>
  </rcc>
  <rcc rId="2877" sId="5" numFmtId="4">
    <nc r="B248">
      <v>11</v>
    </nc>
  </rcc>
  <rcc rId="2878" sId="5" numFmtId="4">
    <nc r="C248">
      <v>61</v>
    </nc>
  </rcc>
  <rcc rId="2879" sId="5" numFmtId="4">
    <nc r="D248">
      <v>4</v>
    </nc>
  </rcc>
  <rcc rId="2880" sId="5" numFmtId="4">
    <nc r="E248">
      <v>17</v>
    </nc>
  </rcc>
  <rcc rId="2881" sId="5" numFmtId="4">
    <nc r="F248">
      <v>1</v>
    </nc>
  </rcc>
  <rcc rId="2882" sId="5" numFmtId="4">
    <nc r="G248">
      <v>3</v>
    </nc>
  </rcc>
  <rcc rId="2883" sId="5" numFmtId="4">
    <nc r="B249">
      <v>11</v>
    </nc>
  </rcc>
  <rcc rId="2884" sId="5" numFmtId="4">
    <nc r="C249">
      <v>47</v>
    </nc>
  </rcc>
  <rcc rId="2885" sId="5" numFmtId="4">
    <nc r="D249">
      <v>6</v>
    </nc>
  </rcc>
  <rcc rId="2886" sId="5" numFmtId="4">
    <nc r="E249">
      <v>1</v>
    </nc>
  </rcc>
  <rcc rId="2887" sId="5" numFmtId="4">
    <nc r="F249">
      <v>2</v>
    </nc>
  </rcc>
  <rcc rId="2888" sId="5" numFmtId="4">
    <nc r="G249">
      <v>4</v>
    </nc>
  </rcc>
  <rcc rId="2889" sId="5" numFmtId="4">
    <nc r="B250">
      <v>11</v>
    </nc>
  </rcc>
  <rcc rId="2890" sId="5" numFmtId="4">
    <nc r="D250">
      <v>5</v>
    </nc>
  </rcc>
  <rcc rId="2891" sId="5" numFmtId="4">
    <nc r="E250">
      <v>11</v>
    </nc>
  </rcc>
  <rcc rId="2892" sId="5" numFmtId="4">
    <nc r="F250">
      <v>1</v>
    </nc>
  </rcc>
  <rcc rId="2893" sId="5" numFmtId="4">
    <nc r="G250">
      <v>2</v>
    </nc>
  </rcc>
  <rcc rId="2894" sId="5" numFmtId="4">
    <nc r="C250">
      <v>47</v>
    </nc>
  </rcc>
  <rcc rId="2895" sId="5" numFmtId="4">
    <nc r="B251">
      <v>11</v>
    </nc>
  </rcc>
  <rcc rId="2896" sId="5" numFmtId="4">
    <nc r="C251">
      <v>54</v>
    </nc>
  </rcc>
  <rcc rId="2897" sId="5" numFmtId="4">
    <nc r="D251">
      <v>6</v>
    </nc>
  </rcc>
  <rcc rId="2898" sId="5" numFmtId="4">
    <nc r="E251">
      <v>5</v>
    </nc>
  </rcc>
  <rcc rId="2899" sId="5" numFmtId="4">
    <nc r="F251">
      <v>0</v>
    </nc>
  </rcc>
  <rcc rId="2900" sId="5" numFmtId="4">
    <nc r="G251">
      <v>0</v>
    </nc>
  </rcc>
  <rcc rId="2901" sId="5" numFmtId="4">
    <nc r="B252">
      <v>11</v>
    </nc>
  </rcc>
  <rcc rId="2902" sId="5" numFmtId="4">
    <nc r="C252">
      <v>54</v>
    </nc>
  </rcc>
  <rcc rId="2903" sId="5" numFmtId="4">
    <nc r="D252">
      <v>5</v>
    </nc>
  </rcc>
  <rcc rId="2904" sId="5" numFmtId="4">
    <nc r="E252">
      <v>10</v>
    </nc>
  </rcc>
  <rcc rId="2905" sId="5" numFmtId="4">
    <nc r="F252">
      <v>0</v>
    </nc>
  </rcc>
  <rcc rId="2906" sId="5" numFmtId="4">
    <nc r="G252">
      <v>1</v>
    </nc>
  </rcc>
  <rcc rId="2907" sId="2" numFmtId="4">
    <nc r="B113">
      <v>9</v>
    </nc>
  </rcc>
  <rcc rId="2908" sId="2" numFmtId="4">
    <nc r="C113">
      <v>4</v>
    </nc>
  </rcc>
  <rcc rId="2909" sId="2" numFmtId="4">
    <nc r="D113">
      <v>6</v>
    </nc>
  </rcc>
  <rcc rId="2910" sId="2" numFmtId="4">
    <nc r="E113">
      <v>14</v>
    </nc>
  </rcc>
  <rcc rId="2911" sId="2" numFmtId="4">
    <nc r="F113">
      <v>20</v>
    </nc>
  </rcc>
  <rcc rId="2912" sId="2" numFmtId="4">
    <nc r="G113">
      <v>0</v>
    </nc>
  </rcc>
  <rcc rId="2913" sId="2" numFmtId="4">
    <nc r="B114">
      <v>9</v>
    </nc>
  </rcc>
  <rcc rId="2914" sId="2" numFmtId="4">
    <nc r="C114">
      <v>4</v>
    </nc>
  </rcc>
  <rcc rId="2915" sId="2" numFmtId="4">
    <nc r="D114">
      <v>5</v>
    </nc>
  </rcc>
  <rcc rId="2916" sId="2" numFmtId="4">
    <nc r="E114">
      <v>13</v>
    </nc>
  </rcc>
  <rcc rId="2917" sId="2" numFmtId="4">
    <nc r="F114">
      <v>22</v>
    </nc>
  </rcc>
  <rcc rId="2918" sId="2" numFmtId="4">
    <nc r="G114">
      <v>0</v>
    </nc>
  </rcc>
  <rcc rId="2919" sId="2" numFmtId="4">
    <nc r="B115">
      <v>9</v>
    </nc>
  </rcc>
  <rcc rId="2920" sId="2" numFmtId="4">
    <nc r="C115">
      <v>4</v>
    </nc>
  </rcc>
  <rcc rId="2921" sId="2" numFmtId="4">
    <nc r="D115">
      <v>4</v>
    </nc>
  </rcc>
  <rcc rId="2922" sId="2" numFmtId="4">
    <nc r="E115">
      <v>10</v>
    </nc>
  </rcc>
  <rcc rId="2923" sId="2" numFmtId="4">
    <nc r="F115">
      <v>20</v>
    </nc>
  </rcc>
  <rcc rId="2924" sId="2" numFmtId="4">
    <nc r="G115">
      <v>0</v>
    </nc>
  </rcc>
  <rcc rId="2925" sId="2" numFmtId="4">
    <nc r="B116">
      <v>9</v>
    </nc>
  </rcc>
  <rcc rId="2926" sId="2" numFmtId="4">
    <nc r="C116">
      <v>4</v>
    </nc>
  </rcc>
  <rcc rId="2927" sId="2" numFmtId="4">
    <nc r="D116">
      <v>3</v>
    </nc>
  </rcc>
  <rcc rId="2928" sId="2" numFmtId="4">
    <nc r="E116">
      <v>3</v>
    </nc>
  </rcc>
  <rcc rId="2929" sId="2" numFmtId="4">
    <nc r="F116">
      <v>8</v>
    </nc>
  </rcc>
  <rcc rId="2930" sId="2" numFmtId="4">
    <nc r="G116">
      <v>0</v>
    </nc>
  </rcc>
  <rcc rId="2931" sId="2" numFmtId="4">
    <nc r="B117">
      <v>9</v>
    </nc>
  </rcc>
  <rcc rId="2932" sId="2" numFmtId="4">
    <nc r="C117">
      <v>4</v>
    </nc>
  </rcc>
  <rcc rId="2933" sId="2" numFmtId="4">
    <nc r="D117">
      <v>2</v>
    </nc>
  </rcc>
  <rcc rId="2934" sId="2" numFmtId="4">
    <nc r="E117">
      <v>5</v>
    </nc>
  </rcc>
  <rcc rId="2935" sId="2" numFmtId="4">
    <nc r="F117">
      <v>10</v>
    </nc>
  </rcc>
  <rcc rId="2936" sId="2" numFmtId="4">
    <nc r="G117">
      <v>0</v>
    </nc>
  </rcc>
  <rcc rId="2937" sId="2" numFmtId="4">
    <nc r="B118">
      <v>9</v>
    </nc>
  </rcc>
  <rcc rId="2938" sId="2" numFmtId="4">
    <nc r="C118">
      <v>22</v>
    </nc>
  </rcc>
  <rcc rId="2939" sId="5" numFmtId="4">
    <nc r="B253">
      <v>11</v>
    </nc>
  </rcc>
  <rcc rId="2940" sId="5" numFmtId="4">
    <nc r="C253">
      <v>30</v>
    </nc>
  </rcc>
  <rcc rId="2941" sId="5" numFmtId="4">
    <nc r="D253">
      <v>7</v>
    </nc>
  </rcc>
  <rcc rId="2942" sId="5" numFmtId="4">
    <nc r="E253">
      <v>14</v>
    </nc>
  </rcc>
  <rcc rId="2943" sId="5" numFmtId="4">
    <nc r="F253">
      <v>4</v>
    </nc>
  </rcc>
  <rcc rId="2944" sId="5" numFmtId="4">
    <nc r="G253">
      <v>0</v>
    </nc>
  </rcc>
  <rcc rId="2945" sId="5" numFmtId="4">
    <nc r="B254">
      <v>11</v>
    </nc>
  </rcc>
  <rcc rId="2946" sId="5" numFmtId="4">
    <nc r="C254">
      <v>30</v>
    </nc>
  </rcc>
  <rcc rId="2947" sId="5" numFmtId="4">
    <nc r="D254">
      <v>8</v>
    </nc>
  </rcc>
  <rcc rId="2948" sId="5" numFmtId="4">
    <nc r="E254">
      <v>12</v>
    </nc>
  </rcc>
  <rcc rId="2949" sId="5" numFmtId="4">
    <nc r="F254">
      <v>8</v>
    </nc>
  </rcc>
  <rcc rId="2950" sId="5" numFmtId="4">
    <nc r="G254">
      <v>3</v>
    </nc>
  </rcc>
  <rcc rId="2951" sId="5" numFmtId="4">
    <nc r="B255">
      <v>11</v>
    </nc>
  </rcc>
  <rcc rId="2952" sId="5" numFmtId="4">
    <nc r="C255">
      <v>30</v>
    </nc>
  </rcc>
  <rcc rId="2953" sId="5" numFmtId="4">
    <nc r="D255">
      <v>9</v>
    </nc>
  </rcc>
  <rcc rId="2954" sId="5" numFmtId="4">
    <nc r="E255">
      <v>7</v>
    </nc>
  </rcc>
  <rcc rId="2955" sId="5" numFmtId="4">
    <nc r="F255">
      <v>2</v>
    </nc>
  </rcc>
  <rcc rId="2956" sId="5" numFmtId="4">
    <nc r="G255">
      <v>0</v>
    </nc>
  </rcc>
</revisions>
</file>

<file path=xl/revisions/revisionLog52.xml><?xml version="1.0" encoding="utf-8"?>
<revisions xmlns="http://schemas.openxmlformats.org/spreadsheetml/2006/main" xmlns:r="http://schemas.openxmlformats.org/officeDocument/2006/relationships">
  <rcc rId="2957" sId="8" numFmtId="4">
    <nc r="E110">
      <v>4</v>
    </nc>
  </rcc>
  <rcc rId="2958" sId="8" numFmtId="4">
    <nc r="F110">
      <v>1</v>
    </nc>
  </rcc>
  <rcc rId="2959" sId="8" numFmtId="4">
    <nc r="G110">
      <v>2</v>
    </nc>
  </rcc>
  <rcc rId="2960" sId="8" numFmtId="4">
    <nc r="H110">
      <v>0</v>
    </nc>
  </rcc>
  <rcc rId="2961" sId="8" numFmtId="4">
    <nc r="B111">
      <v>16</v>
    </nc>
  </rcc>
  <rcc rId="2962" sId="8" numFmtId="4">
    <nc r="C111">
      <v>80</v>
    </nc>
  </rcc>
  <rcc rId="2963" sId="8" numFmtId="4">
    <nc r="D111">
      <v>1</v>
    </nc>
  </rcc>
  <rcc rId="2964" sId="8" numFmtId="4">
    <nc r="E111">
      <v>7</v>
    </nc>
  </rcc>
  <rcc rId="2965" sId="8" numFmtId="4">
    <nc r="F111">
      <v>3</v>
    </nc>
  </rcc>
  <rcc rId="2966" sId="8" numFmtId="4">
    <nc r="G111">
      <v>0</v>
    </nc>
  </rcc>
  <rcc rId="2967" sId="8" numFmtId="4">
    <nc r="H111">
      <v>0</v>
    </nc>
  </rcc>
  <rcc rId="2968" sId="8" numFmtId="4">
    <nc r="B112">
      <v>16</v>
    </nc>
  </rcc>
  <rcc rId="2969" sId="8" numFmtId="4">
    <nc r="C112">
      <v>68</v>
    </nc>
  </rcc>
  <rcc rId="2970" sId="8" numFmtId="4">
    <nc r="D112">
      <v>1</v>
    </nc>
  </rcc>
  <rcc rId="2971" sId="8" numFmtId="4">
    <nc r="E112">
      <v>4</v>
    </nc>
  </rcc>
  <rcc rId="2972" sId="8" numFmtId="4">
    <nc r="F112">
      <v>3</v>
    </nc>
  </rcc>
  <rcc rId="2973" sId="8" numFmtId="4">
    <nc r="G112">
      <v>3</v>
    </nc>
  </rcc>
  <rcc rId="2974" sId="8" numFmtId="4">
    <nc r="H112">
      <v>1</v>
    </nc>
  </rcc>
  <rcc rId="2975" sId="8" numFmtId="4">
    <nc r="B113">
      <v>16</v>
    </nc>
  </rcc>
  <rcc rId="2976" sId="8" numFmtId="4">
    <nc r="C113">
      <v>72</v>
    </nc>
  </rcc>
  <rcc rId="2977" sId="8" numFmtId="4">
    <nc r="D113">
      <v>9</v>
    </nc>
  </rcc>
  <rcc rId="2978" sId="8" numFmtId="4">
    <nc r="E113">
      <v>4</v>
    </nc>
  </rcc>
  <rcc rId="2979" sId="8" numFmtId="4">
    <nc r="F113">
      <v>5</v>
    </nc>
  </rcc>
  <rcc rId="2980" sId="8" numFmtId="4">
    <nc r="G113">
      <v>5</v>
    </nc>
  </rcc>
  <rcc rId="2981" sId="8" numFmtId="4">
    <nc r="H113">
      <v>0</v>
    </nc>
  </rcc>
  <rcc rId="2982" sId="8" numFmtId="4">
    <nc r="B114">
      <v>16</v>
    </nc>
  </rcc>
  <rcc rId="2983" sId="8" numFmtId="4">
    <nc r="C114">
      <v>72</v>
    </nc>
  </rcc>
  <rcc rId="2984" sId="8" numFmtId="4">
    <nc r="D114">
      <v>8</v>
    </nc>
  </rcc>
  <rcc rId="2985" sId="8" numFmtId="4">
    <nc r="E114">
      <v>6</v>
    </nc>
  </rcc>
  <rcc rId="2986" sId="8" numFmtId="4">
    <nc r="F114">
      <v>5</v>
    </nc>
  </rcc>
  <rcc rId="2987" sId="8" numFmtId="4">
    <nc r="G114">
      <v>4</v>
    </nc>
  </rcc>
  <rcc rId="2988" sId="8" numFmtId="4">
    <nc r="H114">
      <v>0</v>
    </nc>
  </rcc>
  <rcc rId="2989" sId="8" numFmtId="4">
    <nc r="B115">
      <v>16</v>
    </nc>
  </rcc>
  <rcc rId="2990" sId="8" numFmtId="4">
    <nc r="C115">
      <v>66</v>
    </nc>
  </rcc>
  <rcc rId="2991" sId="8" numFmtId="4">
    <nc r="D115">
      <v>7</v>
    </nc>
  </rcc>
  <rcc rId="2992" sId="8" numFmtId="4">
    <nc r="E115">
      <v>5</v>
    </nc>
  </rcc>
  <rcc rId="2993" sId="8" numFmtId="4">
    <nc r="F115">
      <v>3</v>
    </nc>
  </rcc>
  <rcc rId="2994" sId="8" numFmtId="4">
    <nc r="G115">
      <v>4</v>
    </nc>
  </rcc>
  <rcc rId="2995" sId="8" numFmtId="4">
    <nc r="H115">
      <v>0</v>
    </nc>
  </rcc>
  <rcc rId="2996" sId="8" numFmtId="4">
    <nc r="B116">
      <v>16</v>
    </nc>
  </rcc>
  <rcc rId="2997" sId="8" numFmtId="4">
    <nc r="C116">
      <v>66</v>
    </nc>
  </rcc>
  <rcc rId="2998" sId="8" numFmtId="4">
    <nc r="D116">
      <v>6</v>
    </nc>
  </rcc>
  <rcc rId="2999" sId="8" numFmtId="4">
    <nc r="E116">
      <v>13</v>
    </nc>
  </rcc>
  <rcc rId="3000" sId="8" numFmtId="4">
    <nc r="F116">
      <v>2</v>
    </nc>
  </rcc>
  <rcc rId="3001" sId="8" numFmtId="4">
    <nc r="G116">
      <v>7</v>
    </nc>
  </rcc>
  <rcc rId="3002" sId="8" numFmtId="4">
    <nc r="H116">
      <v>0</v>
    </nc>
  </rcc>
  <rcc rId="3003" sId="8" numFmtId="4">
    <nc r="B117">
      <v>16</v>
    </nc>
  </rcc>
  <rcc rId="3004" sId="8" numFmtId="4">
    <nc r="C117">
      <v>66</v>
    </nc>
  </rcc>
  <rcc rId="3005" sId="8" numFmtId="4">
    <nc r="D117">
      <v>8</v>
    </nc>
  </rcc>
  <rcc rId="3006" sId="8" numFmtId="4">
    <nc r="E117">
      <v>6</v>
    </nc>
  </rcc>
  <rcc rId="3007" sId="8" numFmtId="4">
    <nc r="F117">
      <v>10</v>
    </nc>
  </rcc>
  <rcc rId="3008" sId="8" numFmtId="4">
    <nc r="G117">
      <v>5</v>
    </nc>
  </rcc>
  <rcc rId="3009" sId="8" numFmtId="4">
    <nc r="H117">
      <v>0</v>
    </nc>
  </rcc>
  <rcc rId="3010" sId="8" numFmtId="4">
    <nc r="B118">
      <v>16</v>
    </nc>
  </rcc>
  <rcc rId="3011" sId="8" numFmtId="4">
    <nc r="C118">
      <v>70</v>
    </nc>
  </rcc>
  <rcc rId="3012" sId="8" numFmtId="4">
    <nc r="D118">
      <v>8</v>
    </nc>
  </rcc>
  <rcc rId="3013" sId="8" numFmtId="4">
    <nc r="E118">
      <v>2</v>
    </nc>
  </rcc>
  <rcc rId="3014" sId="8" numFmtId="4">
    <nc r="F118">
      <v>10</v>
    </nc>
  </rcc>
  <rcc rId="3015" sId="8" numFmtId="4">
    <nc r="G118">
      <v>7</v>
    </nc>
  </rcc>
  <rcc rId="3016" sId="8" numFmtId="4">
    <nc r="H118">
      <v>0</v>
    </nc>
  </rcc>
  <rcc rId="3017" sId="8" numFmtId="4">
    <nc r="B119">
      <v>16</v>
    </nc>
  </rcc>
  <rcc rId="3018" sId="8" numFmtId="4">
    <nc r="C119">
      <v>70</v>
    </nc>
  </rcc>
  <rcc rId="3019" sId="8" numFmtId="4">
    <nc r="D119">
      <v>9</v>
    </nc>
  </rcc>
  <rcc rId="3020" sId="8" numFmtId="4">
    <nc r="E119">
      <v>0</v>
    </nc>
  </rcc>
  <rcc rId="3021" sId="8" numFmtId="4">
    <nc r="F119">
      <v>4</v>
    </nc>
  </rcc>
  <rcc rId="3022" sId="8" numFmtId="4">
    <nc r="G119">
      <v>5</v>
    </nc>
  </rcc>
  <rcc rId="3023" sId="8" numFmtId="4">
    <nc r="H119">
      <v>0</v>
    </nc>
  </rcc>
  <rcc rId="3024" sId="8" numFmtId="4">
    <nc r="B120">
      <v>16</v>
    </nc>
  </rcc>
  <rcc rId="3025" sId="8" numFmtId="4">
    <nc r="C120">
      <v>66</v>
    </nc>
  </rcc>
  <rcc rId="3026" sId="8" numFmtId="4">
    <nc r="D120">
      <v>5</v>
    </nc>
  </rcc>
  <rcc rId="3027" sId="8" numFmtId="4">
    <nc r="E120">
      <v>12</v>
    </nc>
  </rcc>
  <rcc rId="3028" sId="8" numFmtId="4">
    <nc r="F120">
      <v>12</v>
    </nc>
  </rcc>
  <rcc rId="3029" sId="8" numFmtId="4">
    <nc r="G120">
      <v>1</v>
    </nc>
  </rcc>
  <rcc rId="3030" sId="8" numFmtId="4">
    <nc r="H120">
      <v>0</v>
    </nc>
  </rcc>
  <rcc rId="3031" sId="8" numFmtId="4">
    <nc r="B121">
      <v>16</v>
    </nc>
  </rcc>
  <rcc rId="3032" sId="8" numFmtId="4">
    <nc r="C121">
      <v>66</v>
    </nc>
  </rcc>
  <rcc rId="3033" sId="8" numFmtId="4">
    <nc r="D121">
      <v>4</v>
    </nc>
  </rcc>
  <rcc rId="3034" sId="8" numFmtId="4">
    <nc r="E121">
      <v>8</v>
    </nc>
  </rcc>
  <rcc rId="3035" sId="8" numFmtId="4">
    <nc r="F121">
      <v>7</v>
    </nc>
  </rcc>
  <rcc rId="3036" sId="8" numFmtId="4">
    <nc r="G121">
      <v>8</v>
    </nc>
  </rcc>
  <rcc rId="3037" sId="8" numFmtId="4">
    <nc r="H121">
      <v>0</v>
    </nc>
  </rcc>
  <rcc rId="3038" sId="8" numFmtId="4">
    <nc r="B122">
      <v>16</v>
    </nc>
  </rcc>
  <rcc rId="3039" sId="8" numFmtId="4">
    <nc r="C122">
      <v>69</v>
    </nc>
  </rcc>
  <rcc rId="3040" sId="8" numFmtId="4">
    <nc r="D122">
      <v>9</v>
    </nc>
  </rcc>
  <rcc rId="3041" sId="8" numFmtId="4">
    <nc r="E122">
      <v>6</v>
    </nc>
  </rcc>
  <rcc rId="3042" sId="8" numFmtId="4">
    <nc r="F122">
      <v>3</v>
    </nc>
  </rcc>
  <rcc rId="3043" sId="8" numFmtId="4">
    <nc r="G122">
      <v>5</v>
    </nc>
  </rcc>
  <rcc rId="3044" sId="8" numFmtId="4">
    <nc r="H122">
      <v>3</v>
    </nc>
  </rcc>
  <rcc rId="3045" sId="8" numFmtId="4">
    <nc r="B123">
      <v>16</v>
    </nc>
  </rcc>
  <rcc rId="3046" sId="8" numFmtId="4">
    <nc r="C123">
      <v>69</v>
    </nc>
  </rcc>
  <rcc rId="3047" sId="8" numFmtId="4">
    <nc r="D123">
      <v>10</v>
    </nc>
  </rcc>
  <rcc rId="3048" sId="8" numFmtId="4">
    <nc r="E123">
      <v>8</v>
    </nc>
  </rcc>
  <rcc rId="3049" sId="8" numFmtId="4">
    <nc r="F123">
      <v>10</v>
    </nc>
  </rcc>
  <rcc rId="3050" sId="8" numFmtId="4">
    <nc r="G123">
      <v>10</v>
    </nc>
  </rcc>
  <rcc rId="3051" sId="8" numFmtId="4">
    <nc r="H123">
      <v>0</v>
    </nc>
  </rcc>
  <rcc rId="3052" sId="8" numFmtId="4">
    <nc r="B124">
      <v>16</v>
    </nc>
  </rcc>
  <rcc rId="3053" sId="8" numFmtId="4">
    <nc r="C124">
      <v>74</v>
    </nc>
  </rcc>
  <rcc rId="3054" sId="8" numFmtId="4">
    <nc r="D124">
      <v>8</v>
    </nc>
  </rcc>
  <rcc rId="3055" sId="8" numFmtId="4">
    <nc r="E124">
      <v>7</v>
    </nc>
  </rcc>
  <rcc rId="3056" sId="8" numFmtId="4">
    <nc r="F124">
      <v>4</v>
    </nc>
  </rcc>
  <rcc rId="3057" sId="8" numFmtId="4">
    <nc r="G124">
      <v>0</v>
    </nc>
  </rcc>
  <rcc rId="3058" sId="8" numFmtId="4">
    <nc r="H124">
      <v>0</v>
    </nc>
  </rcc>
  <rcc rId="3059" sId="8" numFmtId="4">
    <nc r="B125">
      <v>16</v>
    </nc>
  </rcc>
  <rcc rId="3060" sId="8" numFmtId="4">
    <nc r="C125">
      <v>74</v>
    </nc>
  </rcc>
  <rcc rId="3061" sId="8" numFmtId="4">
    <nc r="D125">
      <v>8</v>
    </nc>
  </rcc>
  <rcc rId="3062" sId="8" numFmtId="4">
    <nc r="E125">
      <v>6</v>
    </nc>
  </rcc>
  <rcc rId="3063" sId="8" numFmtId="4">
    <nc r="F125">
      <v>2</v>
    </nc>
  </rcc>
  <rcc rId="3064" sId="8" numFmtId="4">
    <nc r="G125">
      <v>1</v>
    </nc>
  </rcc>
  <rcc rId="3065" sId="8" numFmtId="4">
    <nc r="H125">
      <v>0</v>
    </nc>
  </rcc>
  <rcc rId="3066" sId="8" numFmtId="4">
    <nc r="B126">
      <v>16</v>
    </nc>
  </rcc>
  <rcc rId="3067" sId="8" numFmtId="4">
    <nc r="C126">
      <v>74</v>
    </nc>
  </rcc>
  <rcc rId="3068" sId="8" numFmtId="4">
    <nc r="D126">
      <v>9</v>
    </nc>
  </rcc>
  <rcc rId="3069" sId="8" numFmtId="4">
    <nc r="E126">
      <v>5</v>
    </nc>
  </rcc>
  <rcc rId="3070" sId="8" numFmtId="4">
    <nc r="F126">
      <v>3</v>
    </nc>
  </rcc>
  <rcc rId="3071" sId="8" numFmtId="4">
    <nc r="G126">
      <v>2</v>
    </nc>
  </rcc>
  <rcc rId="3072" sId="8" numFmtId="4">
    <nc r="H126">
      <v>1</v>
    </nc>
  </rcc>
  <rcc rId="3073" sId="8" numFmtId="4">
    <nc r="B127">
      <v>16</v>
    </nc>
  </rcc>
  <rcc rId="3074" sId="8" numFmtId="4">
    <nc r="C127">
      <v>71</v>
    </nc>
  </rcc>
  <rcc rId="3075" sId="8" numFmtId="4">
    <nc r="D127">
      <v>6</v>
    </nc>
  </rcc>
  <rcc rId="3076" sId="8" numFmtId="4">
    <nc r="E127">
      <v>5</v>
    </nc>
  </rcc>
  <rcc rId="3077" sId="8" numFmtId="4">
    <nc r="F127">
      <v>6</v>
    </nc>
  </rcc>
  <rcc rId="3078" sId="8" numFmtId="4">
    <nc r="G127">
      <v>5</v>
    </nc>
  </rcc>
  <rcc rId="3079" sId="8" numFmtId="4">
    <nc r="H127">
      <v>1</v>
    </nc>
  </rcc>
  <rcc rId="3080" sId="8" numFmtId="4">
    <nc r="B128">
      <v>16</v>
    </nc>
  </rcc>
  <rcc rId="3081" sId="8" numFmtId="4">
    <nc r="C128">
      <v>71</v>
    </nc>
  </rcc>
  <rcc rId="3082" sId="8" numFmtId="4">
    <nc r="D128">
      <v>7</v>
    </nc>
  </rcc>
  <rcc rId="3083" sId="8" numFmtId="4">
    <nc r="E128">
      <v>9</v>
    </nc>
  </rcc>
  <rcc rId="3084" sId="8" numFmtId="4">
    <nc r="F128">
      <v>5</v>
    </nc>
  </rcc>
  <rcc rId="3085" sId="8" numFmtId="4">
    <nc r="G128">
      <v>2</v>
    </nc>
  </rcc>
  <rcc rId="3086" sId="8" numFmtId="4">
    <nc r="H128">
      <v>1</v>
    </nc>
  </rcc>
  <rcc rId="3087" sId="8" numFmtId="4">
    <nc r="B129">
      <v>16</v>
    </nc>
  </rcc>
  <rcc rId="3088" sId="8" numFmtId="4">
    <nc r="C129">
      <v>71</v>
    </nc>
  </rcc>
  <rcc rId="3089" sId="8" numFmtId="4">
    <nc r="D129">
      <v>8</v>
    </nc>
  </rcc>
  <rcc rId="3090" sId="8" numFmtId="4">
    <nc r="E129">
      <v>8</v>
    </nc>
  </rcc>
  <rcc rId="3091" sId="8" numFmtId="4">
    <nc r="F129">
      <v>9</v>
    </nc>
  </rcc>
  <rcc rId="3092" sId="8" numFmtId="4">
    <nc r="G129">
      <v>4</v>
    </nc>
  </rcc>
  <rcc rId="3093" sId="8" numFmtId="4">
    <nc r="H129">
      <v>0</v>
    </nc>
  </rcc>
</revisions>
</file>

<file path=xl/revisions/revisionLog53.xml><?xml version="1.0" encoding="utf-8"?>
<revisions xmlns="http://schemas.openxmlformats.org/spreadsheetml/2006/main" xmlns:r="http://schemas.openxmlformats.org/officeDocument/2006/relationships">
  <rcc rId="3094" sId="2" numFmtId="4">
    <oc r="C118">
      <v>22</v>
    </oc>
    <nc r="C118">
      <v>9</v>
    </nc>
  </rcc>
  <rcc rId="3095" sId="2" numFmtId="4">
    <nc r="D118">
      <v>7</v>
    </nc>
  </rcc>
  <rcc rId="3096" sId="2" numFmtId="4">
    <nc r="E118">
      <v>7</v>
    </nc>
  </rcc>
  <rcc rId="3097" sId="2" numFmtId="4">
    <nc r="F118">
      <v>4</v>
    </nc>
  </rcc>
  <rcc rId="3098" sId="2" numFmtId="4">
    <nc r="G118">
      <v>0</v>
    </nc>
  </rcc>
  <rcc rId="3099" sId="5" numFmtId="4">
    <nc r="B256">
      <v>11</v>
    </nc>
  </rcc>
  <rcc rId="3100" sId="5" numFmtId="4">
    <nc r="C256">
      <v>29</v>
    </nc>
  </rcc>
  <rcc rId="3101" sId="5" numFmtId="4">
    <nc r="D256">
      <v>8</v>
    </nc>
  </rcc>
  <rcc rId="3102" sId="5" numFmtId="4">
    <nc r="E256">
      <v>27</v>
    </nc>
  </rcc>
  <rcc rId="3103" sId="5" numFmtId="4">
    <nc r="F256">
      <v>3</v>
    </nc>
  </rcc>
  <rcc rId="3104" sId="5" numFmtId="4">
    <nc r="G256">
      <v>1</v>
    </nc>
  </rcc>
  <rcc rId="3105" sId="5" numFmtId="4">
    <nc r="B257">
      <v>11</v>
    </nc>
  </rcc>
  <rcc rId="3106" sId="5" numFmtId="4">
    <nc r="C257">
      <v>29</v>
    </nc>
  </rcc>
  <rcc rId="3107" sId="5" numFmtId="4">
    <nc r="D257">
      <v>9</v>
    </nc>
  </rcc>
  <rcc rId="3108" sId="5" numFmtId="4">
    <nc r="E257">
      <v>25</v>
    </nc>
  </rcc>
  <rcc rId="3109" sId="5" numFmtId="4">
    <nc r="F257">
      <v>4</v>
    </nc>
  </rcc>
  <rcc rId="3110" sId="5" numFmtId="4">
    <nc r="G257">
      <v>1</v>
    </nc>
  </rcc>
  <rcc rId="3111" sId="2" numFmtId="4">
    <nc r="B119">
      <v>9</v>
    </nc>
  </rcc>
  <rcc rId="3112" sId="2" numFmtId="4">
    <nc r="C119">
      <v>6</v>
    </nc>
  </rcc>
  <rcc rId="3113" sId="2" numFmtId="4">
    <nc r="D119">
      <v>7</v>
    </nc>
  </rcc>
  <rcc rId="3114" sId="2" numFmtId="4">
    <nc r="E119">
      <v>8</v>
    </nc>
  </rcc>
  <rcc rId="3115" sId="2" numFmtId="4">
    <nc r="F119">
      <v>10</v>
    </nc>
  </rcc>
  <rcc rId="3116" sId="2" numFmtId="4">
    <nc r="G119">
      <v>2</v>
    </nc>
  </rcc>
  <rcc rId="3117" sId="2" numFmtId="4">
    <nc r="B120">
      <v>9</v>
    </nc>
  </rcc>
  <rcc rId="3118" sId="2" numFmtId="4">
    <nc r="C120">
      <v>6</v>
    </nc>
  </rcc>
  <rcc rId="3119" sId="2" numFmtId="4">
    <nc r="D120">
      <v>8</v>
    </nc>
  </rcc>
  <rcc rId="3120" sId="2" numFmtId="4">
    <nc r="E120">
      <v>14</v>
    </nc>
  </rcc>
  <rcc rId="3121" sId="2" numFmtId="4">
    <nc r="F120">
      <v>4</v>
    </nc>
  </rcc>
  <rcc rId="3122" sId="2" numFmtId="4">
    <nc r="G120">
      <v>0</v>
    </nc>
  </rcc>
  <rcc rId="3123" sId="2" numFmtId="4">
    <nc r="B121">
      <v>9</v>
    </nc>
  </rcc>
  <rcc rId="3124" sId="2" numFmtId="4">
    <nc r="C121">
      <v>6</v>
    </nc>
  </rcc>
  <rcc rId="3125" sId="2" numFmtId="4">
    <nc r="D121">
      <v>9</v>
    </nc>
  </rcc>
  <rcc rId="3126" sId="2" numFmtId="4">
    <nc r="E121">
      <v>7</v>
    </nc>
  </rcc>
  <rcc rId="3127" sId="2" numFmtId="4">
    <nc r="F121">
      <v>4</v>
    </nc>
  </rcc>
  <rcc rId="3128" sId="2" numFmtId="4">
    <nc r="G121">
      <v>0</v>
    </nc>
  </rcc>
  <rcc rId="3129" sId="5" numFmtId="4">
    <nc r="B258">
      <v>11</v>
    </nc>
  </rcc>
  <rcc rId="3130" sId="5" numFmtId="4">
    <nc r="C258">
      <v>33</v>
    </nc>
  </rcc>
  <rcc rId="3131" sId="5" numFmtId="4">
    <nc r="D258">
      <v>4</v>
    </nc>
  </rcc>
  <rcc rId="3132" sId="5" numFmtId="4">
    <nc r="E258">
      <v>19</v>
    </nc>
  </rcc>
  <rcc rId="3133" sId="5" numFmtId="4">
    <nc r="F258">
      <v>0</v>
    </nc>
  </rcc>
  <rcc rId="3134" sId="5" numFmtId="4">
    <nc r="G258">
      <v>0</v>
    </nc>
  </rcc>
  <rcc rId="3135" sId="5" numFmtId="4">
    <nc r="B259">
      <v>11</v>
    </nc>
  </rcc>
  <rcc rId="3136" sId="5" numFmtId="4">
    <nc r="C259">
      <v>37</v>
    </nc>
  </rcc>
  <rcc rId="3137" sId="5" numFmtId="4">
    <nc r="D259">
      <v>5</v>
    </nc>
  </rcc>
  <rcc rId="3138" sId="5" numFmtId="4">
    <nc r="E259">
      <v>13</v>
    </nc>
  </rcc>
  <rcc rId="3139" sId="5" numFmtId="4">
    <nc r="F259">
      <v>8</v>
    </nc>
  </rcc>
  <rcc rId="3140" sId="5" numFmtId="4">
    <nc r="G259">
      <v>6</v>
    </nc>
  </rcc>
  <rcc rId="3141" sId="2" numFmtId="4">
    <nc r="B122">
      <v>9</v>
    </nc>
  </rcc>
  <rcc rId="3142" sId="2" numFmtId="4">
    <nc r="C122">
      <v>20</v>
    </nc>
  </rcc>
  <rcc rId="3143" sId="2" numFmtId="4">
    <nc r="E122">
      <v>6</v>
    </nc>
  </rcc>
  <rcc rId="3144" sId="2" numFmtId="4">
    <nc r="F122">
      <v>10</v>
    </nc>
  </rcc>
  <rcc rId="3145" sId="2" numFmtId="4">
    <nc r="G122">
      <v>2</v>
    </nc>
  </rcc>
</revisions>
</file>

<file path=xl/revisions/revisionLog54.xml><?xml version="1.0" encoding="utf-8"?>
<revisions xmlns="http://schemas.openxmlformats.org/spreadsheetml/2006/main" xmlns:r="http://schemas.openxmlformats.org/officeDocument/2006/relationships">
  <rcc rId="3146" sId="11" numFmtId="4">
    <nc r="B22">
      <v>20</v>
    </nc>
  </rcc>
  <rcc rId="3147" sId="11" numFmtId="4">
    <nc r="C22">
      <v>87</v>
    </nc>
  </rcc>
  <rcc rId="3148" sId="11" numFmtId="4">
    <nc r="D22">
      <v>3</v>
    </nc>
  </rcc>
  <rcc rId="3149" sId="11" numFmtId="4">
    <nc r="E22">
      <v>9</v>
    </nc>
  </rcc>
  <rcc rId="3150" sId="11" numFmtId="4">
    <nc r="F22">
      <v>11</v>
    </nc>
  </rcc>
  <rcc rId="3151" sId="11" numFmtId="4">
    <nc r="G22">
      <v>1</v>
    </nc>
  </rcc>
  <rcc rId="3152" sId="11" numFmtId="4">
    <nc r="H22">
      <v>1</v>
    </nc>
  </rcc>
  <rcc rId="3153" sId="11" numFmtId="4">
    <nc r="B23">
      <v>20</v>
    </nc>
  </rcc>
  <rcc rId="3154" sId="11" numFmtId="4">
    <nc r="C23">
      <v>92</v>
    </nc>
  </rcc>
  <rcc rId="3155" sId="11" numFmtId="4">
    <nc r="D23">
      <v>1</v>
    </nc>
  </rcc>
  <rcc rId="3156" sId="11" numFmtId="4">
    <nc r="E23">
      <v>16</v>
    </nc>
  </rcc>
  <rcc rId="3157" sId="11" numFmtId="4">
    <nc r="F23">
      <v>6</v>
    </nc>
  </rcc>
  <rcc rId="3158" sId="11" numFmtId="4">
    <nc r="G23">
      <v>12</v>
    </nc>
  </rcc>
  <rcc rId="3159" sId="11" numFmtId="4">
    <nc r="H23">
      <v>3</v>
    </nc>
  </rcc>
  <rcc rId="3160" sId="11" numFmtId="4">
    <nc r="B24">
      <v>20</v>
    </nc>
  </rcc>
  <rcc rId="3161" sId="11" numFmtId="4">
    <nc r="C24">
      <v>87</v>
    </nc>
  </rcc>
  <rcc rId="3162" sId="11" numFmtId="4">
    <nc r="D24">
      <v>2</v>
    </nc>
  </rcc>
  <rcc rId="3163" sId="11" numFmtId="4">
    <nc r="E24">
      <v>7</v>
    </nc>
  </rcc>
  <rcc rId="3164" sId="11" numFmtId="4">
    <nc r="F24">
      <v>6</v>
    </nc>
  </rcc>
  <rcc rId="3165" sId="11" numFmtId="4">
    <nc r="G24">
      <v>2</v>
    </nc>
  </rcc>
  <rcc rId="3166" sId="11" numFmtId="4">
    <nc r="H24">
      <v>1</v>
    </nc>
  </rcc>
  <rcc rId="3167" sId="11" numFmtId="4">
    <nc r="B25">
      <v>20</v>
    </nc>
  </rcc>
  <rcc rId="3168" sId="11" numFmtId="4">
    <nc r="C25">
      <v>86</v>
    </nc>
  </rcc>
  <rcc rId="3169" sId="11" numFmtId="4">
    <nc r="D25">
      <v>2</v>
    </nc>
  </rcc>
  <rcc rId="3170" sId="11" numFmtId="4">
    <nc r="E25">
      <v>6</v>
    </nc>
  </rcc>
  <rcc rId="3171" sId="11" numFmtId="4">
    <nc r="F25">
      <v>9</v>
    </nc>
  </rcc>
  <rcc rId="3172" sId="11" numFmtId="4">
    <nc r="G25">
      <v>1</v>
    </nc>
  </rcc>
  <rcc rId="3173" sId="11" numFmtId="4">
    <nc r="H25">
      <v>0</v>
    </nc>
  </rcc>
  <rcc rId="3174" sId="8" numFmtId="4">
    <nc r="B130">
      <v>16</v>
    </nc>
  </rcc>
  <rcc rId="3175" sId="8" numFmtId="4">
    <nc r="C130">
      <v>76</v>
    </nc>
  </rcc>
  <rcc rId="3176" sId="8" numFmtId="4">
    <nc r="D130">
      <v>6</v>
    </nc>
  </rcc>
  <rcc rId="3177" sId="8" numFmtId="4">
    <nc r="E130">
      <v>1</v>
    </nc>
  </rcc>
  <rcc rId="3178" sId="8" numFmtId="4">
    <nc r="F130">
      <v>10</v>
    </nc>
  </rcc>
  <rcc rId="3179" sId="8" numFmtId="4">
    <nc r="G130">
      <v>5</v>
    </nc>
  </rcc>
  <rcc rId="3180" sId="8" numFmtId="4">
    <nc r="H130">
      <v>0</v>
    </nc>
  </rcc>
  <rcc rId="3181" sId="8" numFmtId="4">
    <nc r="B131">
      <v>16</v>
    </nc>
  </rcc>
  <rcc rId="3182" sId="8" numFmtId="4">
    <nc r="C131">
      <v>76</v>
    </nc>
  </rcc>
  <rcc rId="3183" sId="8" numFmtId="4">
    <nc r="D131">
      <v>7</v>
    </nc>
  </rcc>
  <rcc rId="3184" sId="8" numFmtId="4">
    <nc r="E131">
      <v>13</v>
    </nc>
  </rcc>
  <rcc rId="3185" sId="8" numFmtId="4">
    <nc r="F131">
      <v>10</v>
    </nc>
  </rcc>
  <rcc rId="3186" sId="8" numFmtId="4">
    <nc r="G131">
      <v>0</v>
    </nc>
  </rcc>
  <rcc rId="3187" sId="8" numFmtId="4">
    <nc r="H131">
      <v>0</v>
    </nc>
  </rcc>
  <rcc rId="3188" sId="8" numFmtId="4">
    <nc r="B132">
      <v>16</v>
    </nc>
  </rcc>
  <rcc rId="3189" sId="8" numFmtId="4">
    <nc r="C132">
      <v>76</v>
    </nc>
  </rcc>
  <rcc rId="3190" sId="8" numFmtId="4">
    <nc r="D132">
      <v>8</v>
    </nc>
  </rcc>
  <rcc rId="3191" sId="8" numFmtId="4">
    <nc r="E132">
      <v>10</v>
    </nc>
  </rcc>
  <rcc rId="3192" sId="8" numFmtId="4">
    <nc r="F132">
      <v>12</v>
    </nc>
  </rcc>
  <rcc rId="3193" sId="8" numFmtId="4">
    <nc r="G132">
      <v>9</v>
    </nc>
  </rcc>
  <rcc rId="3194" sId="8" numFmtId="4">
    <nc r="H132">
      <v>0</v>
    </nc>
  </rcc>
</revisions>
</file>

<file path=xl/revisions/revisionLog55.xml><?xml version="1.0" encoding="utf-8"?>
<revisions xmlns="http://schemas.openxmlformats.org/spreadsheetml/2006/main" xmlns:r="http://schemas.openxmlformats.org/officeDocument/2006/relationships">
  <rcc rId="3195" sId="2" numFmtId="4">
    <nc r="B123">
      <v>9</v>
    </nc>
  </rcc>
  <rcc rId="3196" sId="2" numFmtId="4">
    <nc r="C123">
      <v>22</v>
    </nc>
  </rcc>
  <rcc rId="3197" sId="2" numFmtId="4">
    <nc r="D123">
      <v>1</v>
    </nc>
  </rcc>
  <rcc rId="3198" sId="2" numFmtId="4">
    <nc r="D122">
      <v>9</v>
    </nc>
  </rcc>
  <rcc rId="3199" sId="2" numFmtId="4">
    <nc r="E123">
      <v>20</v>
    </nc>
  </rcc>
  <rcc rId="3200" sId="2" numFmtId="4">
    <nc r="F123">
      <v>60</v>
    </nc>
  </rcc>
  <rcc rId="3201" sId="2" numFmtId="4">
    <nc r="G123">
      <v>4</v>
    </nc>
  </rcc>
  <rcc rId="3202" sId="2" numFmtId="4">
    <nc r="B124">
      <v>9</v>
    </nc>
  </rcc>
  <rcc rId="3203" sId="2" numFmtId="4">
    <nc r="C124">
      <v>22</v>
    </nc>
  </rcc>
  <rcc rId="3204" sId="2" numFmtId="4">
    <nc r="D124">
      <v>2</v>
    </nc>
  </rcc>
  <rcc rId="3205" sId="2" numFmtId="4">
    <nc r="E124">
      <v>25</v>
    </nc>
  </rcc>
  <rcc rId="3206" sId="2" numFmtId="4">
    <nc r="F124">
      <v>60</v>
    </nc>
  </rcc>
  <rcc rId="3207" sId="2" numFmtId="4">
    <nc r="G124">
      <v>3</v>
    </nc>
  </rcc>
  <rcc rId="3208" sId="2" numFmtId="4">
    <nc r="B125">
      <v>9</v>
    </nc>
  </rcc>
  <rcc rId="3209" sId="2" numFmtId="4">
    <nc r="C125">
      <v>22</v>
    </nc>
  </rcc>
  <rcc rId="3210" sId="2" numFmtId="4">
    <nc r="D125">
      <v>3</v>
    </nc>
  </rcc>
  <rcc rId="3211" sId="2" numFmtId="4">
    <nc r="E125">
      <v>25</v>
    </nc>
  </rcc>
  <rcc rId="3212" sId="2" numFmtId="4">
    <nc r="F125">
      <v>60</v>
    </nc>
  </rcc>
  <rcc rId="3213" sId="2" numFmtId="4">
    <nc r="G125">
      <v>4</v>
    </nc>
  </rcc>
  <rcc rId="3214" sId="2" numFmtId="4">
    <nc r="B126">
      <v>9</v>
    </nc>
  </rcc>
  <rcc rId="3215" sId="2" numFmtId="4">
    <nc r="C126">
      <v>22</v>
    </nc>
  </rcc>
  <rcc rId="3216" sId="2" numFmtId="4">
    <nc r="D126">
      <v>4</v>
    </nc>
  </rcc>
  <rcc rId="3217" sId="2" numFmtId="4">
    <nc r="E126">
      <v>30</v>
    </nc>
  </rcc>
  <rcc rId="3218" sId="2" numFmtId="4">
    <nc r="F126">
      <v>60</v>
    </nc>
  </rcc>
  <rcc rId="3219" sId="2" numFmtId="4">
    <nc r="G126">
      <v>3</v>
    </nc>
  </rcc>
  <rcc rId="3220" sId="2" numFmtId="4">
    <nc r="B127">
      <v>9</v>
    </nc>
  </rcc>
  <rcc rId="3221" sId="2" numFmtId="4">
    <nc r="C127">
      <v>22</v>
    </nc>
  </rcc>
  <rcc rId="3222" sId="2" numFmtId="4">
    <nc r="D127">
      <v>5</v>
    </nc>
  </rcc>
  <rcc rId="3223" sId="2" numFmtId="4">
    <nc r="E127">
      <v>35</v>
    </nc>
  </rcc>
  <rcc rId="3224" sId="2" numFmtId="4">
    <nc r="F127">
      <v>52</v>
    </nc>
  </rcc>
  <rcc rId="3225" sId="2" numFmtId="4">
    <nc r="G127">
      <v>3</v>
    </nc>
  </rcc>
  <rcc rId="3226" sId="5" numFmtId="4">
    <nc r="B260">
      <v>11</v>
    </nc>
  </rcc>
  <rcc rId="3227" sId="5" numFmtId="4">
    <nc r="C260">
      <v>52</v>
    </nc>
  </rcc>
  <rcc rId="3228" sId="5" numFmtId="4">
    <nc r="D260">
      <v>6</v>
    </nc>
  </rcc>
  <rcc rId="3229" sId="5" numFmtId="4">
    <nc r="E260">
      <v>13</v>
    </nc>
  </rcc>
  <rcc rId="3230" sId="5" numFmtId="4">
    <nc r="F260">
      <v>1</v>
    </nc>
  </rcc>
  <rcc rId="3231" sId="5" numFmtId="4">
    <nc r="G260">
      <v>1</v>
    </nc>
  </rcc>
  <rcc rId="3232" sId="5" numFmtId="4">
    <nc r="B261">
      <v>11</v>
    </nc>
  </rcc>
  <rcc rId="3233" sId="5" numFmtId="4">
    <nc r="C261">
      <v>52</v>
    </nc>
  </rcc>
  <rcc rId="3234" sId="5" numFmtId="4">
    <nc r="D261">
      <v>7</v>
    </nc>
  </rcc>
  <rcc rId="3235" sId="5" numFmtId="4">
    <nc r="E261">
      <v>26</v>
    </nc>
  </rcc>
  <rcc rId="3236" sId="5" numFmtId="4">
    <nc r="F261">
      <v>0</v>
    </nc>
  </rcc>
  <rcc rId="3237" sId="5" numFmtId="4">
    <nc r="G261">
      <v>1</v>
    </nc>
  </rcc>
  <rcc rId="3238" sId="5" numFmtId="4">
    <nc r="B262">
      <v>11</v>
    </nc>
  </rcc>
  <rcc rId="3239" sId="5" numFmtId="4">
    <nc r="C262">
      <v>52</v>
    </nc>
  </rcc>
  <rcc rId="3240" sId="5" numFmtId="4">
    <nc r="D262">
      <v>8</v>
    </nc>
  </rcc>
  <rcc rId="3241" sId="5" numFmtId="4">
    <nc r="E262">
      <v>21</v>
    </nc>
  </rcc>
  <rcc rId="3242" sId="5" numFmtId="4">
    <nc r="F262">
      <v>0</v>
    </nc>
  </rcc>
  <rcc rId="3243" sId="5" numFmtId="4">
    <nc r="G262">
      <v>1</v>
    </nc>
  </rcc>
  <rcc rId="3244" sId="5" numFmtId="4">
    <nc r="B263">
      <v>11</v>
    </nc>
  </rcc>
  <rcc rId="3245" sId="5" numFmtId="4">
    <nc r="C263">
      <v>52</v>
    </nc>
  </rcc>
  <rcc rId="3246" sId="5" numFmtId="4">
    <nc r="D263">
      <v>9</v>
    </nc>
  </rcc>
  <rcc rId="3247" sId="5" numFmtId="4">
    <nc r="E263">
      <v>19</v>
    </nc>
  </rcc>
  <rcc rId="3248" sId="5" numFmtId="4">
    <nc r="F263">
      <v>0</v>
    </nc>
  </rcc>
  <rcc rId="3249" sId="5" numFmtId="4">
    <nc r="G263">
      <v>1</v>
    </nc>
  </rcc>
  <rcc rId="3250" sId="5" numFmtId="4">
    <nc r="B264">
      <v>11</v>
    </nc>
  </rcc>
  <rcc rId="3251" sId="5" numFmtId="4">
    <nc r="C264">
      <v>28</v>
    </nc>
  </rcc>
  <rcc rId="3252" sId="5" numFmtId="4">
    <nc r="D264">
      <v>6</v>
    </nc>
  </rcc>
  <rcc rId="3253" sId="5" numFmtId="4">
    <nc r="E264">
      <v>14</v>
    </nc>
  </rcc>
  <rcc rId="3254" sId="5" numFmtId="4">
    <nc r="F264">
      <v>10</v>
    </nc>
  </rcc>
  <rcc rId="3255" sId="5" numFmtId="4">
    <nc r="G264">
      <v>6</v>
    </nc>
  </rcc>
  <rcc rId="3256" sId="5" numFmtId="4">
    <nc r="B265">
      <v>11</v>
    </nc>
  </rcc>
  <rcc rId="3257" sId="5" numFmtId="4">
    <nc r="C265">
      <v>28</v>
    </nc>
  </rcc>
  <rcc rId="3258" sId="5" numFmtId="4">
    <nc r="D265">
      <v>7</v>
    </nc>
  </rcc>
  <rcc rId="3259" sId="5" numFmtId="4">
    <nc r="E265">
      <v>8</v>
    </nc>
  </rcc>
  <rcc rId="3260" sId="5" numFmtId="4">
    <nc r="F265">
      <v>6</v>
    </nc>
  </rcc>
  <rcc rId="3261" sId="5" numFmtId="4">
    <nc r="G265">
      <v>3</v>
    </nc>
  </rcc>
  <rcc rId="3262" sId="5" numFmtId="4">
    <nc r="B266">
      <v>11</v>
    </nc>
  </rcc>
  <rcc rId="3263" sId="5" numFmtId="4">
    <nc r="C266">
      <v>28</v>
    </nc>
  </rcc>
  <rcc rId="3264" sId="5" numFmtId="4">
    <nc r="D266">
      <v>8</v>
    </nc>
  </rcc>
  <rcc rId="3265" sId="5" numFmtId="4">
    <nc r="E266">
      <v>6</v>
    </nc>
  </rcc>
  <rcc rId="3266" sId="5" numFmtId="4">
    <nc r="F266">
      <v>0</v>
    </nc>
  </rcc>
  <rcc rId="3267" sId="5" numFmtId="4">
    <nc r="G266">
      <v>2</v>
    </nc>
  </rcc>
  <rcc rId="3268" sId="5" numFmtId="4">
    <nc r="B267">
      <v>11</v>
    </nc>
  </rcc>
  <rcc rId="3269" sId="5" numFmtId="4">
    <nc r="C267">
      <v>28</v>
    </nc>
  </rcc>
  <rcc rId="3270" sId="5" numFmtId="4">
    <nc r="D267">
      <v>9</v>
    </nc>
  </rcc>
  <rcc rId="3271" sId="5" numFmtId="4">
    <nc r="E267">
      <v>6</v>
    </nc>
  </rcc>
  <rcc rId="3272" sId="5" numFmtId="4">
    <nc r="F267">
      <v>4</v>
    </nc>
  </rcc>
  <rcc rId="3273" sId="5" numFmtId="4">
    <nc r="G267">
      <v>1</v>
    </nc>
  </rcc>
  <rcc rId="3274" sId="5" numFmtId="4">
    <nc r="B268">
      <v>11</v>
    </nc>
  </rcc>
  <rcc rId="3275" sId="5" numFmtId="4">
    <nc r="C268">
      <v>25</v>
    </nc>
  </rcc>
  <rcc rId="3276" sId="5" numFmtId="4">
    <nc r="D268">
      <v>6</v>
    </nc>
  </rcc>
  <rcc rId="3277" sId="5" numFmtId="4">
    <nc r="E268">
      <v>7</v>
    </nc>
  </rcc>
  <rcc rId="3278" sId="5" numFmtId="4">
    <nc r="F268">
      <v>10</v>
    </nc>
  </rcc>
  <rcc rId="3279" sId="5" numFmtId="4">
    <nc r="G268">
      <v>2</v>
    </nc>
  </rcc>
  <rcc rId="3280" sId="5" numFmtId="4">
    <nc r="B269">
      <v>11</v>
    </nc>
  </rcc>
  <rcc rId="3281" sId="5" numFmtId="4">
    <nc r="C269">
      <v>25</v>
    </nc>
  </rcc>
  <rcc rId="3282" sId="5" numFmtId="4">
    <nc r="D269">
      <v>7</v>
    </nc>
  </rcc>
  <rcc rId="3283" sId="5" numFmtId="4">
    <nc r="E269">
      <v>8</v>
    </nc>
  </rcc>
  <rcc rId="3284" sId="5" numFmtId="4">
    <nc r="F269">
      <v>5</v>
    </nc>
  </rcc>
  <rcc rId="3285" sId="5" numFmtId="4">
    <nc r="G269">
      <v>2</v>
    </nc>
  </rcc>
  <rcc rId="3286" sId="5" numFmtId="4">
    <nc r="B270">
      <v>11</v>
    </nc>
  </rcc>
  <rcc rId="3287" sId="5" numFmtId="4">
    <nc r="C270">
      <v>30</v>
    </nc>
  </rcc>
  <rcc rId="3288" sId="5" numFmtId="4">
    <nc r="D270">
      <v>10</v>
    </nc>
  </rcc>
  <rcc rId="3289" sId="5" numFmtId="4">
    <nc r="E270">
      <v>10</v>
    </nc>
  </rcc>
  <rcc rId="3290" sId="5" numFmtId="4">
    <nc r="F270">
      <v>5</v>
    </nc>
  </rcc>
  <rcc rId="3291" sId="5" numFmtId="4">
    <nc r="G270">
      <v>2</v>
    </nc>
  </rcc>
  <rcc rId="3292" sId="5" numFmtId="4">
    <nc r="B271">
      <v>11</v>
    </nc>
  </rcc>
  <rcc rId="3293" sId="5" numFmtId="4">
    <nc r="C271">
      <v>27</v>
    </nc>
  </rcc>
  <rcc rId="3294" sId="5" numFmtId="4">
    <nc r="D271">
      <v>8</v>
    </nc>
  </rcc>
  <rcc rId="3295" sId="5" numFmtId="4">
    <nc r="E271">
      <v>17</v>
    </nc>
  </rcc>
  <rcc rId="3296" sId="5" numFmtId="4">
    <nc r="F271">
      <v>1</v>
    </nc>
  </rcc>
  <rcc rId="3297" sId="5" numFmtId="4">
    <nc r="G271">
      <v>0</v>
    </nc>
  </rcc>
  <rcc rId="3298" sId="5" numFmtId="4">
    <nc r="B272">
      <v>11</v>
    </nc>
  </rcc>
  <rcc rId="3299" sId="5" numFmtId="4">
    <nc r="C272">
      <v>27</v>
    </nc>
  </rcc>
  <rcc rId="3300" sId="5" numFmtId="4">
    <nc r="D272">
      <v>6</v>
    </nc>
  </rcc>
  <rcc rId="3301" sId="5" numFmtId="4">
    <nc r="E272">
      <v>14</v>
    </nc>
  </rcc>
  <rcc rId="3302" sId="5" numFmtId="4">
    <nc r="F272">
      <v>1</v>
    </nc>
  </rcc>
  <rcc rId="3303" sId="5" numFmtId="4">
    <nc r="G272">
      <v>1</v>
    </nc>
  </rcc>
  <rcc rId="3304" sId="5" numFmtId="4">
    <nc r="B273">
      <v>11</v>
    </nc>
  </rcc>
  <rcc rId="3305" sId="5" numFmtId="4">
    <nc r="C273">
      <v>27</v>
    </nc>
  </rcc>
  <rcc rId="3306" sId="5" numFmtId="4">
    <nc r="D273">
      <v>7</v>
    </nc>
  </rcc>
  <rcc rId="3307" sId="5" numFmtId="4">
    <nc r="E273">
      <v>5</v>
    </nc>
  </rcc>
  <rcc rId="3308" sId="5" numFmtId="4">
    <nc r="F273">
      <v>3</v>
    </nc>
  </rcc>
  <rcc rId="3309" sId="5" numFmtId="4">
    <nc r="G273">
      <v>0</v>
    </nc>
  </rcc>
</revisions>
</file>

<file path=xl/revisions/revisionLog56.xml><?xml version="1.0" encoding="utf-8"?>
<revisions xmlns="http://schemas.openxmlformats.org/spreadsheetml/2006/main" xmlns:r="http://schemas.openxmlformats.org/officeDocument/2006/relationships">
  <rcc rId="3310" sId="8" numFmtId="4">
    <nc r="B133">
      <v>16</v>
    </nc>
  </rcc>
  <rcc rId="3311" sId="8" numFmtId="4">
    <nc r="C133">
      <v>65</v>
    </nc>
  </rcc>
  <rcc rId="3312" sId="8" numFmtId="4">
    <nc r="D133">
      <v>1</v>
    </nc>
  </rcc>
  <rcc rId="3313" sId="8" numFmtId="4">
    <nc r="E133">
      <v>7</v>
    </nc>
  </rcc>
  <rcc rId="3314" sId="8" numFmtId="4">
    <nc r="F133">
      <v>7</v>
    </nc>
  </rcc>
  <rcc rId="3315" sId="8" numFmtId="4">
    <nc r="G133">
      <v>6</v>
    </nc>
  </rcc>
  <rcc rId="3316" sId="8" numFmtId="4">
    <nc r="H133">
      <v>4</v>
    </nc>
  </rcc>
  <rcc rId="3317" sId="8" numFmtId="4">
    <nc r="B134">
      <v>16</v>
    </nc>
  </rcc>
  <rcc rId="3318" sId="8" numFmtId="4">
    <nc r="C134">
      <v>65</v>
    </nc>
  </rcc>
  <rcc rId="3319" sId="8" numFmtId="4">
    <nc r="D134">
      <v>2</v>
    </nc>
  </rcc>
  <rcc rId="3320" sId="8" numFmtId="4">
    <nc r="E134">
      <v>14</v>
    </nc>
  </rcc>
  <rcc rId="3321" sId="8" numFmtId="4">
    <nc r="F134">
      <v>3</v>
    </nc>
  </rcc>
  <rcc rId="3322" sId="8" numFmtId="4">
    <nc r="G134">
      <v>6</v>
    </nc>
  </rcc>
  <rcc rId="3323" sId="8" numFmtId="4">
    <nc r="H134">
      <v>2</v>
    </nc>
  </rcc>
  <rcc rId="3324" sId="8" numFmtId="4">
    <nc r="B135">
      <v>16</v>
    </nc>
  </rcc>
  <rcc rId="3325" sId="8" numFmtId="4">
    <nc r="C135">
      <v>65</v>
    </nc>
  </rcc>
  <rcc rId="3326" sId="8" numFmtId="4">
    <nc r="D135">
      <v>3</v>
    </nc>
  </rcc>
  <rcc rId="3327" sId="8" numFmtId="4">
    <nc r="E135">
      <v>8</v>
    </nc>
  </rcc>
  <rcc rId="3328" sId="8" numFmtId="4">
    <nc r="F135">
      <v>5</v>
    </nc>
  </rcc>
  <rcc rId="3329" sId="8" numFmtId="4">
    <nc r="G135">
      <v>10</v>
    </nc>
  </rcc>
  <rcc rId="3330" sId="8" numFmtId="4">
    <nc r="H135">
      <v>2</v>
    </nc>
  </rcc>
  <rcc rId="3331" sId="8" numFmtId="4">
    <nc r="B136">
      <v>16</v>
    </nc>
  </rcc>
  <rcc rId="3332" sId="8" numFmtId="4">
    <nc r="C136">
      <v>65</v>
    </nc>
  </rcc>
  <rcc rId="3333" sId="8" numFmtId="4">
    <nc r="D136">
      <v>4</v>
    </nc>
  </rcc>
  <rcc rId="3334" sId="8" numFmtId="4">
    <nc r="E136">
      <v>7</v>
    </nc>
  </rcc>
  <rcc rId="3335" sId="8" numFmtId="4">
    <nc r="F136">
      <v>2</v>
    </nc>
  </rcc>
  <rcc rId="3336" sId="8" numFmtId="4">
    <nc r="G136">
      <v>5</v>
    </nc>
  </rcc>
  <rcc rId="3337" sId="8" numFmtId="4">
    <nc r="H136">
      <v>0</v>
    </nc>
  </rcc>
  <rcc rId="3338" sId="8" numFmtId="4">
    <nc r="B137">
      <v>16</v>
    </nc>
  </rcc>
  <rcc rId="3339" sId="8" numFmtId="4">
    <nc r="C137">
      <v>65</v>
    </nc>
  </rcc>
  <rcc rId="3340" sId="8" numFmtId="4">
    <nc r="D137">
      <v>5</v>
    </nc>
  </rcc>
  <rcc rId="3341" sId="8" numFmtId="4">
    <nc r="E137">
      <v>9</v>
    </nc>
  </rcc>
  <rcc rId="3342" sId="8" numFmtId="4">
    <nc r="F137">
      <v>3</v>
    </nc>
  </rcc>
  <rcc rId="3343" sId="8" numFmtId="4">
    <nc r="G137">
      <v>6</v>
    </nc>
  </rcc>
  <rcc rId="3344" sId="8" numFmtId="4">
    <nc r="H137">
      <v>0</v>
    </nc>
  </rcc>
  <rcc rId="3345" sId="11" numFmtId="4">
    <nc r="B26">
      <v>20</v>
    </nc>
  </rcc>
  <rcc rId="3346" sId="11" numFmtId="4">
    <nc r="C26">
      <v>96</v>
    </nc>
  </rcc>
  <rcc rId="3347" sId="11" numFmtId="4">
    <nc r="D26">
      <v>4</v>
    </nc>
  </rcc>
  <rcc rId="3348" sId="11" numFmtId="4">
    <nc r="E26">
      <v>0</v>
    </nc>
  </rcc>
  <rcc rId="3349" sId="11" numFmtId="4">
    <nc r="F26">
      <v>2</v>
    </nc>
  </rcc>
  <rcc rId="3350" sId="11" numFmtId="4">
    <nc r="G26">
      <v>1</v>
    </nc>
  </rcc>
  <rcc rId="3351" sId="11" numFmtId="4">
    <nc r="H26">
      <v>0</v>
    </nc>
  </rcc>
  <rcc rId="3352" sId="11" numFmtId="4">
    <nc r="B27">
      <v>20</v>
    </nc>
  </rcc>
  <rcc rId="3353" sId="11" numFmtId="4">
    <nc r="C27">
      <v>96</v>
    </nc>
  </rcc>
  <rcc rId="3354" sId="11" numFmtId="4">
    <nc r="D27">
      <v>5</v>
    </nc>
  </rcc>
  <rcc rId="3355" sId="11" numFmtId="4">
    <nc r="E27">
      <v>0</v>
    </nc>
  </rcc>
  <rcc rId="3356" sId="11" numFmtId="4">
    <nc r="F27">
      <v>0</v>
    </nc>
  </rcc>
  <rcc rId="3357" sId="11" numFmtId="4">
    <nc r="G27">
      <v>2</v>
    </nc>
  </rcc>
  <rcc rId="3358" sId="11" numFmtId="4">
    <nc r="H27">
      <v>1</v>
    </nc>
  </rcc>
</revisions>
</file>

<file path=xl/revisions/revisionLog57.xml><?xml version="1.0" encoding="utf-8"?>
<revisions xmlns="http://schemas.openxmlformats.org/spreadsheetml/2006/main" xmlns:r="http://schemas.openxmlformats.org/officeDocument/2006/relationships">
  <rcc rId="3359" sId="2" numFmtId="4">
    <nc r="B128">
      <v>9</v>
    </nc>
  </rcc>
  <rcc rId="3360" sId="2" numFmtId="4">
    <nc r="C128">
      <v>5</v>
    </nc>
  </rcc>
  <rcc rId="3361" sId="2" numFmtId="4">
    <nc r="D128">
      <v>6</v>
    </nc>
  </rcc>
  <rcc rId="3362" sId="2" numFmtId="4">
    <nc r="E128">
      <v>11</v>
    </nc>
  </rcc>
  <rcc rId="3363" sId="2" numFmtId="4">
    <nc r="G128">
      <v>8</v>
    </nc>
  </rcc>
  <rcc rId="3364" sId="2" numFmtId="4">
    <nc r="F128">
      <v>11</v>
    </nc>
  </rcc>
  <rcc rId="3365" sId="2" numFmtId="4">
    <nc r="B129">
      <v>9</v>
    </nc>
  </rcc>
  <rcc rId="3366" sId="2" numFmtId="4">
    <nc r="C129">
      <v>5</v>
    </nc>
  </rcc>
  <rcc rId="3367" sId="2" numFmtId="4">
    <nc r="D129">
      <v>7</v>
    </nc>
  </rcc>
  <rcc rId="3368" sId="2" numFmtId="4">
    <nc r="E129">
      <v>13</v>
    </nc>
  </rcc>
  <rcc rId="3369" sId="2" numFmtId="4">
    <nc r="F129">
      <v>15</v>
    </nc>
  </rcc>
  <rcc rId="3370" sId="2" numFmtId="4">
    <nc r="G129">
      <v>18</v>
    </nc>
  </rcc>
  <rcc rId="3371" sId="2" numFmtId="4">
    <nc r="B130">
      <v>9</v>
    </nc>
  </rcc>
  <rcc rId="3372" sId="2" numFmtId="4">
    <nc r="C130">
      <v>5</v>
    </nc>
  </rcc>
  <rcc rId="3373" sId="2" numFmtId="4">
    <nc r="D130">
      <v>8</v>
    </nc>
  </rcc>
  <rcc rId="3374" sId="2" numFmtId="4">
    <nc r="E130">
      <v>9</v>
    </nc>
  </rcc>
  <rcc rId="3375" sId="2" numFmtId="4">
    <nc r="F130">
      <v>12</v>
    </nc>
  </rcc>
  <rcc rId="3376" sId="2" numFmtId="4">
    <nc r="G130">
      <v>22</v>
    </nc>
  </rcc>
  <rcc rId="3377" sId="2" numFmtId="4">
    <nc r="B131">
      <v>9</v>
    </nc>
  </rcc>
  <rcc rId="3378" sId="2" numFmtId="4">
    <nc r="C131">
      <v>5</v>
    </nc>
  </rcc>
  <rcc rId="3379" sId="2" numFmtId="4">
    <nc r="D131">
      <v>9</v>
    </nc>
  </rcc>
  <rcc rId="3380" sId="2" numFmtId="4">
    <nc r="E131">
      <v>15</v>
    </nc>
  </rcc>
  <rcc rId="3381" sId="2" numFmtId="4">
    <nc r="F131">
      <v>18</v>
    </nc>
  </rcc>
  <rcc rId="3382" sId="2" numFmtId="4">
    <nc r="G131">
      <v>20</v>
    </nc>
  </rcc>
  <rcc rId="3383" sId="2" numFmtId="4">
    <nc r="B132">
      <v>9</v>
    </nc>
  </rcc>
  <rcc rId="3384" sId="2" numFmtId="4">
    <nc r="C132">
      <v>16</v>
    </nc>
  </rcc>
  <rcc rId="3385" sId="2" numFmtId="4">
    <nc r="D132">
      <v>6</v>
    </nc>
  </rcc>
  <rcc rId="3386" sId="2" numFmtId="4">
    <nc r="E132">
      <v>14</v>
    </nc>
  </rcc>
  <rcc rId="3387" sId="2" numFmtId="4">
    <nc r="F132">
      <v>18</v>
    </nc>
  </rcc>
  <rcc rId="3388" sId="2" numFmtId="4">
    <nc r="G132">
      <v>0</v>
    </nc>
  </rcc>
  <rcc rId="3389" sId="2" numFmtId="4">
    <nc r="B133">
      <v>9</v>
    </nc>
  </rcc>
  <rcc rId="3390" sId="2" numFmtId="4">
    <nc r="C133">
      <v>16</v>
    </nc>
  </rcc>
  <rcc rId="3391" sId="2" numFmtId="4">
    <nc r="D133">
      <v>7</v>
    </nc>
  </rcc>
  <rcc rId="3392" sId="2" numFmtId="4">
    <nc r="E133">
      <v>10</v>
    </nc>
  </rcc>
  <rcc rId="3393" sId="2" numFmtId="4">
    <nc r="F133">
      <v>12</v>
    </nc>
  </rcc>
  <rcc rId="3394" sId="2" numFmtId="4">
    <nc r="G133">
      <v>0</v>
    </nc>
  </rcc>
  <rcc rId="3395" sId="2" numFmtId="4">
    <nc r="B134">
      <v>9</v>
    </nc>
  </rcc>
  <rcc rId="3396" sId="2" numFmtId="4">
    <nc r="C134">
      <v>16</v>
    </nc>
  </rcc>
  <rcc rId="3397" sId="2" numFmtId="4">
    <nc r="D134">
      <v>8</v>
    </nc>
  </rcc>
  <rcc rId="3398" sId="2" numFmtId="4">
    <nc r="E134">
      <v>8</v>
    </nc>
  </rcc>
  <rcc rId="3399" sId="2" numFmtId="4">
    <nc r="F134">
      <v>15</v>
    </nc>
  </rcc>
  <rcc rId="3400" sId="2" numFmtId="4">
    <nc r="G134">
      <v>0</v>
    </nc>
  </rcc>
  <rcc rId="3401" sId="2" numFmtId="4">
    <nc r="B135">
      <v>9</v>
    </nc>
  </rcc>
  <rcc rId="3402" sId="2" numFmtId="4">
    <nc r="C135">
      <v>16</v>
    </nc>
  </rcc>
  <rcc rId="3403" sId="2" numFmtId="4">
    <nc r="D135">
      <v>9</v>
    </nc>
  </rcc>
  <rcc rId="3404" sId="2" numFmtId="4">
    <nc r="E135">
      <v>10</v>
    </nc>
  </rcc>
  <rcc rId="3405" sId="2" numFmtId="4">
    <nc r="F135">
      <v>12</v>
    </nc>
  </rcc>
  <rcc rId="3406" sId="2" numFmtId="4">
    <nc r="G135">
      <v>0</v>
    </nc>
  </rcc>
  <rcc rId="3407" sId="2" numFmtId="4">
    <nc r="B136">
      <v>9</v>
    </nc>
  </rcc>
  <rcc rId="3408" sId="2" numFmtId="4">
    <nc r="C136">
      <v>16</v>
    </nc>
  </rcc>
  <rcc rId="3409" sId="2" numFmtId="4">
    <nc r="D136">
      <v>10</v>
    </nc>
  </rcc>
  <rcc rId="3410" sId="2" numFmtId="4">
    <nc r="E136">
      <v>8</v>
    </nc>
  </rcc>
  <rcc rId="3411" sId="2" numFmtId="4">
    <nc r="F136">
      <v>12</v>
    </nc>
  </rcc>
  <rcc rId="3412" sId="2" numFmtId="4">
    <nc r="G136">
      <v>0</v>
    </nc>
  </rcc>
  <rcc rId="3413" sId="5" numFmtId="4">
    <nc r="B274">
      <v>11</v>
    </nc>
  </rcc>
  <rcc rId="3414" sId="5" numFmtId="4">
    <nc r="C274">
      <v>23</v>
    </nc>
  </rcc>
  <rcc rId="3415" sId="5" numFmtId="4">
    <nc r="D274">
      <v>7</v>
    </nc>
  </rcc>
  <rcc rId="3416" sId="5" numFmtId="4">
    <nc r="E274">
      <v>23</v>
    </nc>
  </rcc>
  <rcc rId="3417" sId="5" numFmtId="4">
    <nc r="F274">
      <v>10</v>
    </nc>
  </rcc>
  <rcc rId="3418" sId="5" numFmtId="4">
    <nc r="G274">
      <v>8</v>
    </nc>
  </rcc>
  <rcc rId="3419" sId="5" numFmtId="4">
    <nc r="B275">
      <v>11</v>
    </nc>
  </rcc>
  <rcc rId="3420" sId="5" numFmtId="4">
    <nc r="D275">
      <v>8</v>
    </nc>
  </rcc>
  <rcc rId="3421" sId="5" numFmtId="4">
    <nc r="C275">
      <v>23</v>
    </nc>
  </rcc>
  <rcc rId="3422" sId="5" numFmtId="4">
    <nc r="E275">
      <v>36</v>
    </nc>
  </rcc>
  <rcc rId="3423" sId="5" numFmtId="4">
    <nc r="F275">
      <v>7</v>
    </nc>
  </rcc>
  <rcc rId="3424" sId="5" numFmtId="4">
    <nc r="G275">
      <v>6</v>
    </nc>
  </rcc>
  <rcc rId="3425" sId="5" numFmtId="4">
    <nc r="B276">
      <v>11</v>
    </nc>
  </rcc>
  <rcc rId="3426" sId="5" numFmtId="4">
    <nc r="C276">
      <v>23</v>
    </nc>
  </rcc>
  <rcc rId="3427" sId="5" numFmtId="4">
    <nc r="D276">
      <v>6</v>
    </nc>
  </rcc>
  <rcc rId="3428" sId="5" numFmtId="4">
    <nc r="E276">
      <v>43</v>
    </nc>
  </rcc>
  <rcc rId="3429" sId="5" numFmtId="4">
    <nc r="F276">
      <v>5</v>
    </nc>
  </rcc>
  <rcc rId="3430" sId="5" numFmtId="4">
    <nc r="G276">
      <v>7</v>
    </nc>
  </rcc>
</revisions>
</file>

<file path=xl/revisions/revisionLog58.xml><?xml version="1.0" encoding="utf-8"?>
<revisions xmlns="http://schemas.openxmlformats.org/spreadsheetml/2006/main" xmlns:r="http://schemas.openxmlformats.org/officeDocument/2006/relationships">
  <rcc rId="3431" sId="11" numFmtId="4">
    <nc r="B28">
      <v>20</v>
    </nc>
  </rcc>
  <rcc rId="3432" sId="11" numFmtId="4">
    <nc r="C28">
      <v>97</v>
    </nc>
  </rcc>
  <rcc rId="3433" sId="11" numFmtId="4">
    <nc r="D28">
      <v>8</v>
    </nc>
  </rcc>
  <rcc rId="3434" sId="11" numFmtId="4">
    <nc r="E28">
      <v>1</v>
    </nc>
  </rcc>
  <rcc rId="3435" sId="11" numFmtId="4">
    <nc r="F28">
      <v>15</v>
    </nc>
  </rcc>
  <rcc rId="3436" sId="11" numFmtId="4">
    <nc r="G28">
      <v>8</v>
    </nc>
  </rcc>
  <rcc rId="3437" sId="11" numFmtId="4">
    <nc r="H28">
      <v>0</v>
    </nc>
  </rcc>
  <rcc rId="3438" sId="11" numFmtId="4">
    <nc r="B29">
      <v>20</v>
    </nc>
  </rcc>
  <rcc rId="3439" sId="11" numFmtId="4">
    <nc r="C29">
      <v>97</v>
    </nc>
  </rcc>
  <rcc rId="3440" sId="11" numFmtId="4">
    <nc r="D29">
      <v>7</v>
    </nc>
  </rcc>
  <rcc rId="3441" sId="11" numFmtId="4">
    <nc r="E29">
      <v>20</v>
    </nc>
  </rcc>
  <rcc rId="3442" sId="11" numFmtId="4">
    <nc r="F29">
      <v>20</v>
    </nc>
  </rcc>
  <rcc rId="3443" sId="11" numFmtId="4">
    <nc r="G29">
      <v>10</v>
    </nc>
  </rcc>
  <rcc rId="3444" sId="11" numFmtId="4">
    <nc r="H29">
      <v>0</v>
    </nc>
  </rcc>
  <rcc rId="3445" sId="11" numFmtId="4">
    <nc r="B30">
      <v>20</v>
    </nc>
  </rcc>
  <rcc rId="3446" sId="11" numFmtId="4">
    <nc r="C30">
      <v>97</v>
    </nc>
  </rcc>
  <rcc rId="3447" sId="11" numFmtId="4">
    <nc r="D30">
      <v>6</v>
    </nc>
  </rcc>
  <rcc rId="3448" sId="11" numFmtId="4">
    <nc r="E30">
      <v>20</v>
    </nc>
  </rcc>
  <rcc rId="3449" sId="11" numFmtId="4">
    <nc r="F30">
      <v>18</v>
    </nc>
  </rcc>
  <rcc rId="3450" sId="11" numFmtId="4">
    <nc r="G30">
      <v>10</v>
    </nc>
  </rcc>
  <rcc rId="3451" sId="11" numFmtId="4">
    <nc r="H30">
      <v>7</v>
    </nc>
  </rcc>
  <rcc rId="3452" sId="11" numFmtId="4">
    <nc r="B31">
      <v>20</v>
    </nc>
  </rcc>
  <rcc rId="3453" sId="11" numFmtId="4">
    <nc r="C31">
      <v>97</v>
    </nc>
  </rcc>
  <rcc rId="3454" sId="11" numFmtId="4">
    <nc r="D31">
      <v>5</v>
    </nc>
  </rcc>
  <rcc rId="3455" sId="11" numFmtId="4">
    <nc r="E31">
      <v>21</v>
    </nc>
  </rcc>
  <rcc rId="3456" sId="11" numFmtId="4">
    <nc r="G31">
      <v>15</v>
    </nc>
  </rcc>
  <rcc rId="3457" sId="11" numFmtId="4">
    <nc r="F31">
      <v>20</v>
    </nc>
  </rcc>
  <rcc rId="3458" sId="11" numFmtId="4">
    <nc r="H31">
      <v>4</v>
    </nc>
  </rcc>
</revisions>
</file>

<file path=xl/revisions/revisionLog59.xml><?xml version="1.0" encoding="utf-8"?>
<revisions xmlns="http://schemas.openxmlformats.org/spreadsheetml/2006/main" xmlns:r="http://schemas.openxmlformats.org/officeDocument/2006/relationships">
  <rcc rId="3459" sId="5" numFmtId="4">
    <nc r="B277">
      <v>11</v>
    </nc>
  </rcc>
  <rcc rId="3460" sId="5" numFmtId="4">
    <nc r="C277">
      <v>23</v>
    </nc>
  </rcc>
  <rcc rId="3461" sId="5" numFmtId="4">
    <nc r="D277">
      <v>5</v>
    </nc>
  </rcc>
  <rcc rId="3462" sId="5" numFmtId="4">
    <nc r="E277">
      <v>19</v>
    </nc>
  </rcc>
  <rcc rId="3463" sId="5" numFmtId="4">
    <nc r="F277">
      <v>2</v>
    </nc>
  </rcc>
  <rcc rId="3464" sId="5" numFmtId="4">
    <nc r="G277">
      <v>1</v>
    </nc>
  </rcc>
  <rcc rId="3465" sId="5" numFmtId="4">
    <nc r="B278">
      <v>11</v>
    </nc>
  </rcc>
  <rcc rId="3466" sId="5" numFmtId="4">
    <nc r="C278">
      <v>56</v>
    </nc>
  </rcc>
  <rcc rId="3467" sId="5" numFmtId="4">
    <nc r="D278">
      <v>9</v>
    </nc>
  </rcc>
  <rcc rId="3468" sId="5" numFmtId="4">
    <nc r="E278">
      <v>5</v>
    </nc>
  </rcc>
  <rcc rId="3469" sId="5" numFmtId="4">
    <nc r="F278">
      <v>0</v>
    </nc>
  </rcc>
  <rcc rId="3470" sId="5" numFmtId="4">
    <nc r="G278">
      <v>2</v>
    </nc>
  </rcc>
  <rcc rId="3471" sId="5" numFmtId="4">
    <nc r="B279">
      <v>11</v>
    </nc>
  </rcc>
  <rcc rId="3472" sId="5" numFmtId="4">
    <nc r="C279">
      <v>56</v>
    </nc>
  </rcc>
  <rcc rId="3473" sId="5" numFmtId="4">
    <nc r="D279">
      <v>8</v>
    </nc>
  </rcc>
  <rcc rId="3474" sId="5" numFmtId="4">
    <nc r="E279">
      <v>4</v>
    </nc>
  </rcc>
  <rcc rId="3475" sId="5" numFmtId="4">
    <nc r="F279">
      <v>2</v>
    </nc>
  </rcc>
  <rcc rId="3476" sId="5" numFmtId="4">
    <nc r="G279">
      <v>0</v>
    </nc>
  </rcc>
  <rcc rId="3477" sId="5" numFmtId="4">
    <nc r="B280">
      <v>11</v>
    </nc>
  </rcc>
  <rcc rId="3478" sId="5" numFmtId="4">
    <nc r="C280">
      <v>56</v>
    </nc>
  </rcc>
  <rcc rId="3479" sId="5" numFmtId="4">
    <nc r="D280">
      <v>7</v>
    </nc>
  </rcc>
  <rcc rId="3480" sId="5" numFmtId="4">
    <nc r="E280">
      <v>13</v>
    </nc>
  </rcc>
  <rcc rId="3481" sId="5" numFmtId="4">
    <nc r="F280">
      <v>1</v>
    </nc>
  </rcc>
  <rcc rId="3482" sId="5" numFmtId="4">
    <nc r="G280">
      <v>1</v>
    </nc>
  </rcc>
  <rcc rId="3483" sId="5" numFmtId="4">
    <nc r="B281">
      <v>11</v>
    </nc>
  </rcc>
  <rcc rId="3484" sId="5" numFmtId="4">
    <nc r="C281">
      <v>56</v>
    </nc>
  </rcc>
  <rcc rId="3485" sId="5" numFmtId="4">
    <nc r="D281">
      <v>6</v>
    </nc>
  </rcc>
  <rcc rId="3486" sId="5" numFmtId="4">
    <nc r="E281">
      <v>15</v>
    </nc>
  </rcc>
  <rcc rId="3487" sId="5" numFmtId="4">
    <nc r="F281">
      <v>3</v>
    </nc>
  </rcc>
  <rcc rId="3488" sId="5" numFmtId="4">
    <nc r="G281">
      <v>1</v>
    </nc>
  </rcc>
  <rcc rId="3489" sId="5" numFmtId="4">
    <nc r="B282">
      <v>11</v>
    </nc>
  </rcc>
  <rcc rId="3490" sId="5" numFmtId="4">
    <nc r="C282">
      <v>56</v>
    </nc>
  </rcc>
  <rcc rId="3491" sId="5" numFmtId="4">
    <nc r="D282">
      <v>5</v>
    </nc>
  </rcc>
  <rcc rId="3492" sId="5" numFmtId="4">
    <nc r="E282">
      <v>18</v>
    </nc>
  </rcc>
  <rcc rId="3493" sId="5" numFmtId="4">
    <nc r="F282">
      <v>2</v>
    </nc>
  </rcc>
  <rcc rId="3494" sId="5" numFmtId="4">
    <nc r="G282">
      <v>2</v>
    </nc>
  </rcc>
  <rcc rId="3495" sId="5" numFmtId="4">
    <nc r="B283">
      <v>11</v>
    </nc>
  </rcc>
  <rcc rId="3496" sId="5" numFmtId="4">
    <nc r="C283">
      <v>59</v>
    </nc>
  </rcc>
  <rcc rId="3497" sId="5" numFmtId="4">
    <nc r="D283">
      <v>7</v>
    </nc>
  </rcc>
  <rcc rId="3498" sId="5" numFmtId="4">
    <nc r="F283">
      <v>16</v>
    </nc>
  </rcc>
  <rcc rId="3499" sId="5" numFmtId="4">
    <nc r="E283">
      <v>1</v>
    </nc>
  </rcc>
  <rcc rId="3500" sId="5" numFmtId="4">
    <nc r="G283">
      <v>3</v>
    </nc>
  </rcc>
  <rcc rId="3501" sId="5" numFmtId="4">
    <nc r="B284">
      <v>11</v>
    </nc>
  </rcc>
  <rcc rId="3502" sId="5" numFmtId="4">
    <nc r="C284">
      <v>59</v>
    </nc>
  </rcc>
  <rcc rId="3503" sId="5" numFmtId="4">
    <nc r="D284">
      <v>6</v>
    </nc>
  </rcc>
  <rcc rId="3504" sId="5" numFmtId="4">
    <nc r="E284">
      <v>3</v>
    </nc>
  </rcc>
  <rcc rId="3505" sId="5" numFmtId="4">
    <nc r="F284">
      <v>13</v>
    </nc>
  </rcc>
  <rcc rId="3506" sId="5" numFmtId="4">
    <nc r="G284">
      <v>7</v>
    </nc>
  </rcc>
  <rcc rId="3507" sId="5" numFmtId="4">
    <nc r="B285">
      <v>11</v>
    </nc>
  </rcc>
  <rcc rId="3508" sId="5" numFmtId="4">
    <nc r="C285">
      <v>59</v>
    </nc>
  </rcc>
  <rcc rId="3509" sId="5" numFmtId="4">
    <nc r="D285">
      <v>8</v>
    </nc>
  </rcc>
  <rcc rId="3510" sId="5" numFmtId="4">
    <nc r="E285">
      <v>7</v>
    </nc>
  </rcc>
  <rcc rId="3511" sId="5" numFmtId="4">
    <nc r="F285">
      <v>14</v>
    </nc>
  </rcc>
  <rcc rId="3512" sId="5" numFmtId="4">
    <nc r="G285">
      <v>2</v>
    </nc>
  </rcc>
  <rcc rId="3513" sId="5" numFmtId="4">
    <nc r="B286">
      <v>11</v>
    </nc>
  </rcc>
  <rcc rId="3514" sId="5" numFmtId="4">
    <nc r="C286">
      <v>60</v>
    </nc>
  </rcc>
  <rcc rId="3515" sId="5" numFmtId="4">
    <nc r="D286">
      <v>8</v>
    </nc>
  </rcc>
  <rcc rId="3516" sId="5" numFmtId="4">
    <nc r="E286">
      <v>19</v>
    </nc>
  </rcc>
  <rcc rId="3517" sId="5" numFmtId="4">
    <nc r="F286">
      <v>6</v>
    </nc>
  </rcc>
  <rcc rId="3518" sId="5" numFmtId="4">
    <nc r="G286">
      <v>0</v>
    </nc>
  </rcc>
  <rcc rId="3519" sId="5" numFmtId="4">
    <nc r="B287">
      <v>11</v>
    </nc>
  </rcc>
  <rcc rId="3520" sId="5" numFmtId="4">
    <nc r="C287">
      <v>60</v>
    </nc>
  </rcc>
  <rcc rId="3521" sId="5" numFmtId="4">
    <nc r="D287">
      <v>9</v>
    </nc>
  </rcc>
  <rcc rId="3522" sId="5" numFmtId="4">
    <nc r="E287">
      <v>15</v>
    </nc>
  </rcc>
  <rcc rId="3523" sId="5" numFmtId="4">
    <nc r="F287">
      <v>10</v>
    </nc>
  </rcc>
  <rcc rId="3524" sId="5" numFmtId="4">
    <nc r="G287">
      <v>5</v>
    </nc>
  </rcc>
  <rcc rId="3525" sId="5" numFmtId="4">
    <nc r="B288">
      <v>11</v>
    </nc>
  </rcc>
  <rcc rId="3526" sId="5" numFmtId="4">
    <nc r="C288">
      <v>60</v>
    </nc>
  </rcc>
  <rcc rId="3527" sId="5" numFmtId="4">
    <nc r="D288">
      <v>10</v>
    </nc>
  </rcc>
  <rcc rId="3528" sId="5" numFmtId="4">
    <nc r="E288">
      <v>14</v>
    </nc>
  </rcc>
  <rcc rId="3529" sId="5" numFmtId="4">
    <nc r="F288">
      <v>15</v>
    </nc>
  </rcc>
  <rcc rId="3530" sId="5" numFmtId="4">
    <nc r="G288">
      <v>3</v>
    </nc>
  </rcc>
</revisions>
</file>

<file path=xl/revisions/revisionLog60.xml><?xml version="1.0" encoding="utf-8"?>
<revisions xmlns="http://schemas.openxmlformats.org/spreadsheetml/2006/main" xmlns:r="http://schemas.openxmlformats.org/officeDocument/2006/relationships">
  <rcc rId="3531" sId="8" numFmtId="4">
    <nc r="B138">
      <v>16</v>
    </nc>
  </rcc>
  <rcc rId="3532" sId="8" numFmtId="4">
    <nc r="C138">
      <v>77</v>
    </nc>
  </rcc>
  <rcc rId="3533" sId="8" numFmtId="4">
    <nc r="D138">
      <v>7</v>
    </nc>
  </rcc>
  <rcc rId="3534" sId="8" numFmtId="4">
    <nc r="E138">
      <v>23</v>
    </nc>
  </rcc>
  <rcc rId="3535" sId="8" numFmtId="4">
    <nc r="F138">
      <v>0</v>
    </nc>
  </rcc>
  <rcc rId="3536" sId="8" numFmtId="4">
    <nc r="G138">
      <v>3</v>
    </nc>
  </rcc>
  <rcc rId="3537" sId="8" numFmtId="4">
    <nc r="H138">
      <v>0</v>
    </nc>
  </rcc>
  <rcc rId="3538" sId="8" numFmtId="4">
    <nc r="B139">
      <v>16</v>
    </nc>
  </rcc>
  <rcc rId="3539" sId="8" numFmtId="4">
    <nc r="C139">
      <v>77</v>
    </nc>
  </rcc>
  <rcc rId="3540" sId="8" numFmtId="4">
    <nc r="D139">
      <v>8</v>
    </nc>
  </rcc>
  <rcc rId="3541" sId="8" numFmtId="4">
    <nc r="E139">
      <v>18</v>
    </nc>
  </rcc>
  <rcc rId="3542" sId="8" numFmtId="4">
    <nc r="F139">
      <v>0</v>
    </nc>
  </rcc>
  <rcc rId="3543" sId="8" numFmtId="4">
    <nc r="G139">
      <v>5</v>
    </nc>
  </rcc>
  <rcc rId="3544" sId="8" numFmtId="4">
    <nc r="H139">
      <v>1</v>
    </nc>
  </rcc>
  <rcc rId="3545" sId="8" numFmtId="4">
    <nc r="B140">
      <v>16</v>
    </nc>
  </rcc>
  <rcc rId="3546" sId="8" numFmtId="4">
    <nc r="C140">
      <v>77</v>
    </nc>
  </rcc>
  <rcc rId="3547" sId="8" numFmtId="4">
    <nc r="D140">
      <v>9</v>
    </nc>
  </rcc>
  <rcc rId="3548" sId="8" numFmtId="4">
    <nc r="E140">
      <v>25</v>
    </nc>
  </rcc>
  <rcc rId="3549" sId="8" numFmtId="4">
    <nc r="F140">
      <v>0</v>
    </nc>
  </rcc>
  <rcc rId="3550" sId="8" numFmtId="4">
    <nc r="G140">
      <v>3</v>
    </nc>
  </rcc>
  <rcc rId="3551" sId="8" numFmtId="4">
    <nc r="H140">
      <v>0</v>
    </nc>
  </rcc>
  <rcc rId="3552" sId="8" numFmtId="4">
    <nc r="B141">
      <v>16</v>
    </nc>
  </rcc>
  <rcc rId="3553" sId="8" numFmtId="4">
    <nc r="C141">
      <v>82</v>
    </nc>
  </rcc>
  <rcc rId="3554" sId="8" numFmtId="4">
    <nc r="D141">
      <v>9</v>
    </nc>
  </rcc>
  <rcc rId="3555" sId="8" numFmtId="4">
    <nc r="E141">
      <v>6</v>
    </nc>
  </rcc>
  <rcc rId="3556" sId="8" numFmtId="4">
    <nc r="F141">
      <v>1</v>
    </nc>
  </rcc>
  <rcc rId="3557" sId="8" numFmtId="4">
    <nc r="G141">
      <v>3</v>
    </nc>
  </rcc>
  <rcc rId="3558" sId="8" numFmtId="4">
    <nc r="H141">
      <v>0</v>
    </nc>
  </rcc>
  <rcc rId="3559" sId="8" numFmtId="4">
    <nc r="B142">
      <v>16</v>
    </nc>
  </rcc>
  <rcc rId="3560" sId="8" numFmtId="4">
    <nc r="C142">
      <v>82</v>
    </nc>
  </rcc>
  <rcc rId="3561" sId="8" numFmtId="4">
    <nc r="D142">
      <v>10</v>
    </nc>
  </rcc>
  <rcc rId="3562" sId="8" numFmtId="4">
    <nc r="E142">
      <v>4</v>
    </nc>
  </rcc>
  <rcc rId="3563" sId="8" numFmtId="4">
    <nc r="F142">
      <v>4</v>
    </nc>
  </rcc>
  <rcc rId="3564" sId="8" numFmtId="4">
    <nc r="G142">
      <v>3</v>
    </nc>
  </rcc>
  <rcc rId="3565" sId="8" numFmtId="4">
    <nc r="H142">
      <v>0</v>
    </nc>
  </rcc>
</revisions>
</file>

<file path=xl/revisions/revisionLog61.xml><?xml version="1.0" encoding="utf-8"?>
<revisions xmlns="http://schemas.openxmlformats.org/spreadsheetml/2006/main" xmlns:r="http://schemas.openxmlformats.org/officeDocument/2006/relationships">
  <rcc rId="3566" sId="5" numFmtId="4">
    <nc r="B289">
      <v>11</v>
    </nc>
  </rcc>
  <rcc rId="3567" sId="5" numFmtId="4">
    <nc r="C289">
      <v>53</v>
    </nc>
  </rcc>
  <rcc rId="3568" sId="5" numFmtId="4">
    <nc r="D289">
      <v>8</v>
    </nc>
  </rcc>
  <rcc rId="3569" sId="5" numFmtId="4">
    <nc r="E289">
      <v>25</v>
    </nc>
  </rcc>
  <rcc rId="3570" sId="5" numFmtId="4">
    <nc r="F289">
      <v>0</v>
    </nc>
  </rcc>
  <rcc rId="3571" sId="5" numFmtId="4">
    <nc r="G289">
      <v>1</v>
    </nc>
  </rcc>
  <rcc rId="3572" sId="5" numFmtId="4">
    <nc r="B290">
      <v>11</v>
    </nc>
  </rcc>
  <rcc rId="3573" sId="5" numFmtId="4">
    <nc r="C290">
      <v>54</v>
    </nc>
  </rcc>
  <rcc rId="3574" sId="5" numFmtId="4">
    <nc r="D290">
      <v>8</v>
    </nc>
  </rcc>
  <rcc rId="3575" sId="5" numFmtId="4">
    <nc r="E290">
      <v>15</v>
    </nc>
  </rcc>
  <rcc rId="3576" sId="5" numFmtId="4">
    <nc r="F290">
      <v>2</v>
    </nc>
  </rcc>
  <rcc rId="3577" sId="5" numFmtId="4">
    <nc r="G290">
      <v>1</v>
    </nc>
  </rcc>
  <rcc rId="3578" sId="5" numFmtId="4">
    <nc r="B291">
      <v>11</v>
    </nc>
  </rcc>
  <rcc rId="3579" sId="5" numFmtId="4">
    <nc r="C291">
      <v>54</v>
    </nc>
  </rcc>
  <rcc rId="3580" sId="5" numFmtId="4">
    <nc r="D291">
      <v>7</v>
    </nc>
  </rcc>
  <rcc rId="3581" sId="5" numFmtId="4">
    <nc r="E291">
      <v>15</v>
    </nc>
  </rcc>
  <rcc rId="3582" sId="5" numFmtId="4">
    <nc r="F291">
      <v>2</v>
    </nc>
  </rcc>
  <rcc rId="3583" sId="5" numFmtId="4">
    <nc r="G291">
      <v>0</v>
    </nc>
  </rcc>
  <rcc rId="3584" sId="5" numFmtId="4">
    <nc r="B292">
      <v>11</v>
    </nc>
  </rcc>
  <rcc rId="3585" sId="5" numFmtId="4">
    <nc r="C292">
      <v>62</v>
    </nc>
  </rcc>
  <rcc rId="3586" sId="5" numFmtId="4">
    <nc r="D292">
      <v>9</v>
    </nc>
  </rcc>
  <rcc rId="3587" sId="5" numFmtId="4">
    <nc r="E292">
      <v>11</v>
    </nc>
  </rcc>
  <rcc rId="3588" sId="5" numFmtId="4">
    <nc r="F292">
      <v>12</v>
    </nc>
  </rcc>
  <rcc rId="3589" sId="5" numFmtId="4">
    <nc r="G292">
      <v>0</v>
    </nc>
  </rcc>
  <rcc rId="3590" sId="5" numFmtId="4">
    <nc r="B293">
      <v>11</v>
    </nc>
  </rcc>
  <rcc rId="3591" sId="5" numFmtId="4">
    <nc r="C293">
      <v>62</v>
    </nc>
  </rcc>
  <rcc rId="3592" sId="5" numFmtId="4">
    <nc r="D293">
      <v>8</v>
    </nc>
  </rcc>
  <rcc rId="3593" sId="5" numFmtId="4">
    <nc r="E293">
      <v>15</v>
    </nc>
  </rcc>
  <rcc rId="3594" sId="5" numFmtId="4">
    <nc r="F293">
      <v>10</v>
    </nc>
  </rcc>
  <rcc rId="3595" sId="5" numFmtId="4">
    <nc r="G293">
      <v>0</v>
    </nc>
  </rcc>
  <rcc rId="3596" sId="5" numFmtId="4">
    <nc r="B294">
      <v>11</v>
    </nc>
  </rcc>
  <rcc rId="3597" sId="5" numFmtId="4">
    <nc r="C294">
      <v>48</v>
    </nc>
  </rcc>
  <rcc rId="3598" sId="5" numFmtId="4">
    <nc r="D294">
      <v>7</v>
    </nc>
  </rcc>
  <rcc rId="3599" sId="5" numFmtId="4">
    <nc r="E294">
      <v>9</v>
    </nc>
  </rcc>
  <rcc rId="3600" sId="5" numFmtId="4">
    <nc r="F294">
      <v>3</v>
    </nc>
  </rcc>
  <rcc rId="3601" sId="5" numFmtId="4">
    <nc r="G294">
      <v>8</v>
    </nc>
  </rcc>
  <rcc rId="3602" sId="5" numFmtId="4">
    <nc r="B295">
      <v>11</v>
    </nc>
  </rcc>
  <rcc rId="3603" sId="5" numFmtId="4">
    <nc r="C295">
      <v>36</v>
    </nc>
  </rcc>
  <rcc rId="3604" sId="5" numFmtId="4">
    <nc r="D295">
      <v>9</v>
    </nc>
  </rcc>
  <rcc rId="3605" sId="5" numFmtId="4">
    <nc r="E295">
      <v>21</v>
    </nc>
  </rcc>
  <rcc rId="3606" sId="5" numFmtId="4">
    <nc r="F295">
      <v>4</v>
    </nc>
  </rcc>
  <rcc rId="3607" sId="5" numFmtId="4">
    <nc r="G295">
      <v>0</v>
    </nc>
  </rcc>
  <rcc rId="3608" sId="5" numFmtId="4">
    <nc r="B296">
      <v>11</v>
    </nc>
  </rcc>
  <rcc rId="3609" sId="5" numFmtId="4">
    <nc r="C296">
      <v>36</v>
    </nc>
  </rcc>
  <rcc rId="3610" sId="5" numFmtId="4">
    <nc r="D296">
      <v>7</v>
    </nc>
  </rcc>
  <rcc rId="3611" sId="5" numFmtId="4">
    <nc r="E296">
      <v>19</v>
    </nc>
  </rcc>
  <rcc rId="3612" sId="5" numFmtId="4">
    <nc r="F296">
      <v>3</v>
    </nc>
  </rcc>
  <rcc rId="3613" sId="5" numFmtId="4">
    <nc r="G296">
      <v>3</v>
    </nc>
  </rcc>
  <rcc rId="3614" sId="5" numFmtId="4">
    <nc r="B297">
      <v>11</v>
    </nc>
  </rcc>
  <rcc rId="3615" sId="5" numFmtId="4">
    <nc r="C297">
      <v>36</v>
    </nc>
  </rcc>
  <rcc rId="3616" sId="5" numFmtId="4">
    <nc r="D297">
      <v>5</v>
    </nc>
  </rcc>
  <rcc rId="3617" sId="5" numFmtId="4">
    <nc r="E297">
      <v>23</v>
    </nc>
  </rcc>
  <rcc rId="3618" sId="5" numFmtId="4">
    <nc r="F297">
      <v>0</v>
    </nc>
  </rcc>
  <rcc rId="3619" sId="5" numFmtId="4">
    <nc r="G297">
      <v>2</v>
    </nc>
  </rcc>
  <rcc rId="3620" sId="5" numFmtId="4">
    <nc r="B298">
      <v>11</v>
    </nc>
  </rcc>
  <rcc rId="3621" sId="5" numFmtId="4">
    <nc r="C298">
      <v>36</v>
    </nc>
  </rcc>
  <rcc rId="3622" sId="5" numFmtId="4">
    <nc r="D298">
      <v>6</v>
    </nc>
  </rcc>
  <rcc rId="3623" sId="5" numFmtId="4">
    <nc r="E298">
      <v>25</v>
    </nc>
  </rcc>
  <rcc rId="3624" sId="5" numFmtId="4">
    <nc r="F298">
      <v>0</v>
    </nc>
  </rcc>
  <rcc rId="3625" sId="5" numFmtId="4">
    <nc r="G298">
      <v>0</v>
    </nc>
  </rcc>
  <rcc rId="3626" sId="5" numFmtId="4">
    <nc r="B299">
      <v>11</v>
    </nc>
  </rcc>
  <rcc rId="3627" sId="5" numFmtId="4">
    <nc r="C299">
      <v>36</v>
    </nc>
  </rcc>
  <rcc rId="3628" sId="5" numFmtId="4">
    <nc r="D299">
      <v>8</v>
    </nc>
  </rcc>
  <rcc rId="3629" sId="5" numFmtId="4">
    <nc r="E299">
      <v>25</v>
    </nc>
  </rcc>
  <rcc rId="3630" sId="5" numFmtId="4">
    <nc r="F299">
      <v>0</v>
    </nc>
  </rcc>
  <rcc rId="3631" sId="5" numFmtId="4">
    <nc r="G299">
      <v>0</v>
    </nc>
  </rcc>
  <rcc rId="3632" sId="5" numFmtId="4">
    <nc r="B300">
      <v>11</v>
    </nc>
  </rcc>
  <rcc rId="3633" sId="5" numFmtId="4">
    <nc r="C300">
      <v>53</v>
    </nc>
  </rcc>
  <rcc rId="3634" sId="5" numFmtId="4">
    <nc r="D300">
      <v>7</v>
    </nc>
  </rcc>
  <rcc rId="3635" sId="5" numFmtId="4">
    <nc r="E300">
      <v>26</v>
    </nc>
  </rcc>
  <rcc rId="3636" sId="5" numFmtId="4">
    <nc r="F300">
      <v>1</v>
    </nc>
  </rcc>
  <rcc rId="3637" sId="5" numFmtId="4">
    <nc r="G300">
      <v>0</v>
    </nc>
  </rcc>
  <rcc rId="3638" sId="5" numFmtId="4">
    <nc r="B301">
      <v>11</v>
    </nc>
  </rcc>
  <rcc rId="3639" sId="5" numFmtId="4">
    <nc r="C301">
      <v>40</v>
    </nc>
  </rcc>
  <rcc rId="3640" sId="5" numFmtId="4">
    <nc r="D301">
      <v>4</v>
    </nc>
  </rcc>
  <rcc rId="3641" sId="5" numFmtId="4">
    <nc r="E301">
      <v>2</v>
    </nc>
  </rcc>
  <rcc rId="3642" sId="5" numFmtId="4">
    <nc r="F301">
      <v>0</v>
    </nc>
  </rcc>
  <rcc rId="3643" sId="5" numFmtId="4">
    <nc r="G301">
      <v>0</v>
    </nc>
  </rcc>
  <rcc rId="3644" sId="5" numFmtId="4">
    <nc r="B302">
      <v>11</v>
    </nc>
  </rcc>
  <rcc rId="3645" sId="5" numFmtId="4">
    <nc r="C302">
      <v>40</v>
    </nc>
  </rcc>
  <rcc rId="3646" sId="5" numFmtId="4">
    <nc r="D302">
      <v>5</v>
    </nc>
  </rcc>
  <rcc rId="3647" sId="5" numFmtId="4">
    <nc r="E302">
      <v>10</v>
    </nc>
  </rcc>
  <rcc rId="3648" sId="5" numFmtId="4">
    <nc r="F302">
      <v>4</v>
    </nc>
  </rcc>
  <rcc rId="3649" sId="5" numFmtId="4">
    <nc r="G302">
      <v>5</v>
    </nc>
  </rcc>
  <rcc rId="3650" sId="5" numFmtId="4">
    <nc r="B303">
      <v>11</v>
    </nc>
  </rcc>
  <rcc rId="3651" sId="5" numFmtId="4">
    <nc r="C303">
      <v>40</v>
    </nc>
  </rcc>
  <rcc rId="3652" sId="5" numFmtId="4">
    <nc r="D303">
      <v>6</v>
    </nc>
  </rcc>
  <rcc rId="3653" sId="5" numFmtId="4">
    <nc r="E303">
      <v>3</v>
    </nc>
  </rcc>
  <rcc rId="3654" sId="5" numFmtId="4">
    <nc r="F303">
      <v>2</v>
    </nc>
  </rcc>
  <rcc rId="3655" sId="5" numFmtId="4">
    <nc r="G303">
      <v>3</v>
    </nc>
  </rcc>
  <rcc rId="3656" sId="5" numFmtId="4">
    <nc r="B304">
      <v>11</v>
    </nc>
  </rcc>
  <rcc rId="3657" sId="5" numFmtId="4">
    <nc r="C304">
      <v>40</v>
    </nc>
  </rcc>
  <rcc rId="3658" sId="5" numFmtId="4">
    <nc r="D304">
      <v>7</v>
    </nc>
  </rcc>
  <rcc rId="3659" sId="5" numFmtId="4">
    <nc r="E304">
      <v>6</v>
    </nc>
  </rcc>
  <rcc rId="3660" sId="5" numFmtId="4">
    <nc r="F304">
      <v>5</v>
    </nc>
  </rcc>
  <rcc rId="3661" sId="5" numFmtId="4">
    <nc r="G304">
      <v>3</v>
    </nc>
  </rcc>
  <rcc rId="3662" sId="5" numFmtId="4">
    <nc r="B305">
      <v>11</v>
    </nc>
  </rcc>
  <rcc rId="3663" sId="5" numFmtId="4">
    <nc r="C305">
      <v>40</v>
    </nc>
  </rcc>
  <rcc rId="3664" sId="5" numFmtId="4">
    <nc r="D305">
      <v>8</v>
    </nc>
  </rcc>
  <rcc rId="3665" sId="5" numFmtId="4">
    <nc r="E305">
      <v>5</v>
    </nc>
  </rcc>
  <rcc rId="3666" sId="5" numFmtId="4">
    <nc r="F305">
      <v>4</v>
    </nc>
  </rcc>
  <rcc rId="3667" sId="5" numFmtId="4">
    <nc r="G305">
      <v>3</v>
    </nc>
  </rcc>
  <rcc rId="3668" sId="5" numFmtId="4">
    <nc r="B306">
      <v>11</v>
    </nc>
  </rcc>
  <rcc rId="3669" sId="5" numFmtId="4">
    <nc r="C306">
      <v>40</v>
    </nc>
  </rcc>
  <rcc rId="3670" sId="5" numFmtId="4">
    <nc r="D306">
      <v>9</v>
    </nc>
  </rcc>
  <rcc rId="3671" sId="5" numFmtId="4">
    <nc r="E306">
      <v>13</v>
    </nc>
  </rcc>
  <rcc rId="3672" sId="5" numFmtId="4">
    <nc r="F306">
      <v>6</v>
    </nc>
  </rcc>
  <rcc rId="3673" sId="5" numFmtId="4">
    <nc r="G306">
      <v>4</v>
    </nc>
  </rcc>
  <rcc rId="3674" sId="2" numFmtId="4">
    <nc r="B137">
      <v>9</v>
    </nc>
  </rcc>
  <rcc rId="3675" sId="2" numFmtId="4">
    <nc r="C137">
      <v>12</v>
    </nc>
  </rcc>
  <rcc rId="3676" sId="2" numFmtId="4">
    <nc r="D137">
      <v>3</v>
    </nc>
  </rcc>
  <rcc rId="3677" sId="2" numFmtId="4">
    <nc r="E137">
      <v>22</v>
    </nc>
  </rcc>
  <rcc rId="3678" sId="2" numFmtId="4">
    <nc r="F137">
      <v>12</v>
    </nc>
  </rcc>
  <rcc rId="3679" sId="2" numFmtId="4">
    <nc r="G137">
      <v>0</v>
    </nc>
  </rcc>
  <rcc rId="3680" sId="2" numFmtId="4">
    <nc r="B138">
      <v>9</v>
    </nc>
  </rcc>
  <rcc rId="3681" sId="2" numFmtId="4">
    <nc r="C138">
      <v>17</v>
    </nc>
  </rcc>
  <rcc rId="3682" sId="2" numFmtId="4">
    <nc r="D138">
      <v>8</v>
    </nc>
  </rcc>
  <rcc rId="3683" sId="2" numFmtId="4">
    <nc r="E138">
      <v>15</v>
    </nc>
  </rcc>
  <rcc rId="3684" sId="2" numFmtId="4">
    <nc r="F138">
      <v>20</v>
    </nc>
  </rcc>
  <rcc rId="3685" sId="2" numFmtId="4">
    <nc r="G138">
      <v>0</v>
    </nc>
  </rcc>
</revisions>
</file>

<file path=xl/revisions/revisionLog62.xml><?xml version="1.0" encoding="utf-8"?>
<revisions xmlns="http://schemas.openxmlformats.org/spreadsheetml/2006/main" xmlns:r="http://schemas.openxmlformats.org/officeDocument/2006/relationships">
  <rcc rId="3686" sId="8" numFmtId="4">
    <nc r="B143">
      <v>16</v>
    </nc>
  </rcc>
  <rcc rId="3687" sId="8" numFmtId="4">
    <nc r="C143">
      <v>65</v>
    </nc>
  </rcc>
  <rcc rId="3688" sId="8" numFmtId="4">
    <nc r="D143">
      <v>10</v>
    </nc>
  </rcc>
  <rcc rId="3689" sId="8" numFmtId="4">
    <nc r="E143">
      <v>7</v>
    </nc>
  </rcc>
  <rcc rId="3690" sId="8" numFmtId="4">
    <nc r="F143">
      <v>4</v>
    </nc>
  </rcc>
  <rcc rId="3691" sId="8" numFmtId="4">
    <nc r="G143">
      <v>2</v>
    </nc>
  </rcc>
  <rcc rId="3692" sId="8" numFmtId="4">
    <nc r="H143">
      <v>3</v>
    </nc>
  </rcc>
  <rcc rId="3693" sId="8" numFmtId="4">
    <nc r="B144">
      <v>16</v>
    </nc>
  </rcc>
  <rcc rId="3694" sId="8" numFmtId="4">
    <nc r="C144">
      <v>65</v>
    </nc>
  </rcc>
  <rcc rId="3695" sId="8" numFmtId="4">
    <nc r="D144">
      <v>9</v>
    </nc>
  </rcc>
  <rcc rId="3696" sId="8" numFmtId="4">
    <nc r="E144">
      <v>5</v>
    </nc>
  </rcc>
  <rcc rId="3697" sId="8" numFmtId="4">
    <nc r="F144">
      <v>1</v>
    </nc>
  </rcc>
  <rcc rId="3698" sId="8" numFmtId="4">
    <nc r="G144">
      <v>3</v>
    </nc>
  </rcc>
  <rcc rId="3699" sId="8" numFmtId="4">
    <nc r="H144">
      <v>0</v>
    </nc>
  </rcc>
  <rcc rId="3700" sId="8" numFmtId="4">
    <nc r="B145">
      <v>16</v>
    </nc>
  </rcc>
  <rcc rId="3701" sId="8" numFmtId="4">
    <nc r="C145">
      <v>65</v>
    </nc>
  </rcc>
  <rcc rId="3702" sId="8" numFmtId="4">
    <nc r="D145">
      <v>8</v>
    </nc>
  </rcc>
  <rcc rId="3703" sId="8" numFmtId="4">
    <nc r="E145">
      <v>15</v>
    </nc>
  </rcc>
  <rcc rId="3704" sId="8" numFmtId="4">
    <nc r="F145">
      <v>2</v>
    </nc>
  </rcc>
  <rcc rId="3705" sId="8" numFmtId="4">
    <nc r="G145">
      <v>7</v>
    </nc>
  </rcc>
  <rcc rId="3706" sId="8" numFmtId="4">
    <nc r="H145">
      <v>1</v>
    </nc>
  </rcc>
  <rcc rId="3707" sId="8" numFmtId="4">
    <nc r="B146">
      <v>16</v>
    </nc>
  </rcc>
  <rcc rId="3708" sId="8" numFmtId="4">
    <nc r="C146">
      <v>65</v>
    </nc>
  </rcc>
  <rcc rId="3709" sId="8" numFmtId="4">
    <nc r="D146">
      <v>7</v>
    </nc>
  </rcc>
  <rcc rId="3710" sId="8" numFmtId="4">
    <nc r="E146">
      <v>6</v>
    </nc>
  </rcc>
  <rcc rId="3711" sId="8" numFmtId="4">
    <nc r="F146">
      <v>3</v>
    </nc>
  </rcc>
  <rcc rId="3712" sId="8" numFmtId="4">
    <nc r="G146">
      <v>2</v>
    </nc>
  </rcc>
  <rcc rId="3713" sId="8" numFmtId="4">
    <nc r="H146">
      <v>3</v>
    </nc>
  </rcc>
  <rcc rId="3714" sId="8" numFmtId="4">
    <nc r="B147">
      <v>16</v>
    </nc>
  </rcc>
  <rcc rId="3715" sId="8" numFmtId="4">
    <nc r="C147">
      <v>65</v>
    </nc>
  </rcc>
  <rcc rId="3716" sId="8" numFmtId="4">
    <nc r="D147">
      <v>6</v>
    </nc>
  </rcc>
  <rcc rId="3717" sId="8" numFmtId="4">
    <nc r="E147">
      <v>12</v>
    </nc>
  </rcc>
  <rcc rId="3718" sId="8" numFmtId="4">
    <nc r="F147">
      <v>4</v>
    </nc>
  </rcc>
  <rcc rId="3719" sId="8" numFmtId="4">
    <nc r="G147">
      <v>9</v>
    </nc>
  </rcc>
  <rcc rId="3720" sId="8" numFmtId="4">
    <nc r="H147">
      <v>0</v>
    </nc>
  </rcc>
  <rcc rId="3721" sId="8" numFmtId="4">
    <nc r="B148">
      <v>16</v>
    </nc>
  </rcc>
  <rcc rId="3722" sId="8" numFmtId="4">
    <nc r="C148">
      <v>81</v>
    </nc>
  </rcc>
  <rcc rId="3723" sId="8" numFmtId="4">
    <nc r="D148">
      <v>8</v>
    </nc>
  </rcc>
  <rcc rId="3724" sId="8" numFmtId="4">
    <nc r="E148">
      <v>13</v>
    </nc>
  </rcc>
  <rcc rId="3725" sId="8" numFmtId="4">
    <nc r="F148">
      <v>4</v>
    </nc>
  </rcc>
  <rcc rId="3726" sId="8" numFmtId="4">
    <nc r="G148">
      <v>12</v>
    </nc>
  </rcc>
  <rcc rId="3727" sId="8" numFmtId="4">
    <nc r="H148">
      <v>0</v>
    </nc>
  </rcc>
  <rcc rId="3728" sId="8" numFmtId="4">
    <nc r="B149">
      <v>16</v>
    </nc>
  </rcc>
  <rcc rId="3729" sId="8" numFmtId="4">
    <nc r="C149">
      <v>81</v>
    </nc>
  </rcc>
  <rcc rId="3730" sId="8" numFmtId="4">
    <nc r="D149">
      <v>9</v>
    </nc>
  </rcc>
  <rcc rId="3731" sId="8" numFmtId="4">
    <nc r="E149">
      <v>9</v>
    </nc>
  </rcc>
  <rcc rId="3732" sId="8" numFmtId="4">
    <nc r="F149">
      <v>6</v>
    </nc>
  </rcc>
  <rcc rId="3733" sId="8" numFmtId="4">
    <nc r="G149">
      <v>11</v>
    </nc>
  </rcc>
  <rcc rId="3734" sId="8" numFmtId="4">
    <nc r="H149">
      <v>0</v>
    </nc>
  </rcc>
</revisions>
</file>

<file path=xl/revisions/revisionLog63.xml><?xml version="1.0" encoding="utf-8"?>
<revisions xmlns="http://schemas.openxmlformats.org/spreadsheetml/2006/main" xmlns:r="http://schemas.openxmlformats.org/officeDocument/2006/relationships">
  <rcc rId="3735" sId="2" numFmtId="4">
    <nc r="B139">
      <v>9</v>
    </nc>
  </rcc>
  <rcc rId="3736" sId="2" numFmtId="4">
    <nc r="C139">
      <v>17</v>
    </nc>
  </rcc>
  <rcc rId="3737" sId="2" numFmtId="4">
    <nc r="D139">
      <v>7</v>
    </nc>
  </rcc>
  <rcc rId="3738" sId="2" numFmtId="4">
    <nc r="E139">
      <v>11</v>
    </nc>
  </rcc>
  <rcc rId="3739" sId="2" numFmtId="4">
    <nc r="F139">
      <v>16</v>
    </nc>
  </rcc>
  <rcc rId="3740" sId="2" numFmtId="4">
    <nc r="G139">
      <v>0</v>
    </nc>
  </rcc>
  <rcc rId="3741" sId="2" numFmtId="4">
    <nc r="B140">
      <v>9</v>
    </nc>
  </rcc>
  <rcc rId="3742" sId="2" numFmtId="4">
    <nc r="C140">
      <v>17</v>
    </nc>
  </rcc>
  <rcc rId="3743" sId="2" numFmtId="4">
    <nc r="D140">
      <v>6</v>
    </nc>
  </rcc>
  <rcc rId="3744" sId="2" numFmtId="4">
    <nc r="E140">
      <v>12</v>
    </nc>
  </rcc>
  <rcc rId="3745" sId="2" numFmtId="4">
    <nc r="F140">
      <v>15</v>
    </nc>
  </rcc>
  <rcc rId="3746" sId="2" numFmtId="4">
    <nc r="G140">
      <v>0</v>
    </nc>
  </rcc>
  <rcc rId="3747" sId="2" numFmtId="4">
    <nc r="B141">
      <v>9</v>
    </nc>
  </rcc>
  <rcc rId="3748" sId="2" numFmtId="4">
    <nc r="C141">
      <v>17</v>
    </nc>
  </rcc>
  <rcc rId="3749" sId="2" numFmtId="4">
    <nc r="D141">
      <v>5</v>
    </nc>
  </rcc>
  <rcc rId="3750" sId="2" numFmtId="4">
    <nc r="E141">
      <v>20</v>
    </nc>
  </rcc>
  <rcc rId="3751" sId="2" numFmtId="4">
    <nc r="F141">
      <v>28</v>
    </nc>
  </rcc>
  <rcc rId="3752" sId="2" numFmtId="4">
    <nc r="G141">
      <v>0</v>
    </nc>
  </rcc>
  <rcc rId="3753" sId="2" numFmtId="4">
    <nc r="B142">
      <v>9</v>
    </nc>
  </rcc>
  <rcc rId="3754" sId="2" numFmtId="4">
    <nc r="C142">
      <v>17</v>
    </nc>
  </rcc>
  <rcc rId="3755" sId="2" numFmtId="4">
    <nc r="D142">
      <v>9</v>
    </nc>
  </rcc>
  <rcc rId="3756" sId="2" numFmtId="4">
    <nc r="E142">
      <v>20</v>
    </nc>
  </rcc>
  <rcc rId="3757" sId="2" numFmtId="4">
    <nc r="F142">
      <v>16</v>
    </nc>
  </rcc>
  <rcc rId="3758" sId="2" numFmtId="4">
    <nc r="G142">
      <v>0</v>
    </nc>
  </rcc>
  <rcc rId="3759" sId="5" numFmtId="4">
    <nc r="B307">
      <v>11</v>
    </nc>
  </rcc>
  <rcc rId="3760" sId="5" numFmtId="4">
    <nc r="C307">
      <v>49</v>
    </nc>
  </rcc>
  <rcc rId="3761" sId="5" numFmtId="4">
    <nc r="D307">
      <v>8</v>
    </nc>
  </rcc>
  <rcc rId="3762" sId="5" numFmtId="4">
    <nc r="E307">
      <v>4</v>
    </nc>
  </rcc>
  <rcc rId="3763" sId="5" numFmtId="4">
    <nc r="F307">
      <v>0</v>
    </nc>
  </rcc>
  <rcc rId="3764" sId="5" numFmtId="4">
    <nc r="G307">
      <v>0</v>
    </nc>
  </rcc>
  <rcc rId="3765" sId="5" numFmtId="4">
    <nc r="B308">
      <v>11</v>
    </nc>
  </rcc>
  <rcc rId="3766" sId="5" numFmtId="4">
    <nc r="C308">
      <v>49</v>
    </nc>
  </rcc>
  <rcc rId="3767" sId="5" numFmtId="4">
    <nc r="D308">
      <v>7</v>
    </nc>
  </rcc>
  <rcc rId="3768" sId="5" numFmtId="4">
    <nc r="E308">
      <v>6</v>
    </nc>
  </rcc>
  <rcc rId="3769" sId="5" numFmtId="4">
    <nc r="F308">
      <v>1</v>
    </nc>
  </rcc>
  <rcc rId="3770" sId="5" numFmtId="4">
    <nc r="G308">
      <v>0</v>
    </nc>
  </rcc>
  <rcc rId="3771" sId="5" numFmtId="4">
    <nc r="B309">
      <v>11</v>
    </nc>
  </rcc>
  <rcc rId="3772" sId="5" numFmtId="4">
    <nc r="C309">
      <v>42</v>
    </nc>
  </rcc>
  <rcc rId="3773" sId="5" numFmtId="4">
    <nc r="D309">
      <v>5</v>
    </nc>
  </rcc>
  <rcc rId="3774" sId="5" numFmtId="4">
    <nc r="E309">
      <v>15</v>
    </nc>
  </rcc>
  <rcc rId="3775" sId="5" numFmtId="4">
    <nc r="F309">
      <v>7</v>
    </nc>
  </rcc>
  <rcc rId="3776" sId="5" numFmtId="4">
    <nc r="G309">
      <v>2</v>
    </nc>
  </rcc>
  <rcc rId="3777" sId="5" numFmtId="4">
    <nc r="B310">
      <v>11</v>
    </nc>
  </rcc>
  <rcc rId="3778" sId="5" numFmtId="4">
    <nc r="C310">
      <v>42</v>
    </nc>
  </rcc>
  <rcc rId="3779" sId="5" numFmtId="4">
    <nc r="D310">
      <v>6</v>
    </nc>
  </rcc>
  <rcc rId="3780" sId="5" numFmtId="4">
    <nc r="E310">
      <v>14</v>
    </nc>
  </rcc>
  <rcc rId="3781" sId="5" numFmtId="4">
    <nc r="F310">
      <v>6</v>
    </nc>
  </rcc>
  <rcc rId="3782" sId="5" numFmtId="4">
    <nc r="G310">
      <v>5</v>
    </nc>
  </rcc>
  <rcc rId="3783" sId="2" numFmtId="4">
    <nc r="B143">
      <v>9</v>
    </nc>
  </rcc>
  <rcc rId="3784" sId="2" numFmtId="4">
    <nc r="C143">
      <v>8</v>
    </nc>
  </rcc>
  <rcc rId="3785" sId="2" numFmtId="4">
    <nc r="D143">
      <v>8</v>
    </nc>
  </rcc>
  <rcc rId="3786" sId="2" numFmtId="4">
    <nc r="E143">
      <v>15</v>
    </nc>
  </rcc>
  <rcc rId="3787" sId="2" numFmtId="4">
    <nc r="F143">
      <v>19</v>
    </nc>
  </rcc>
  <rcc rId="3788" sId="2" numFmtId="4">
    <nc r="G143">
      <v>0</v>
    </nc>
  </rcc>
  <rcc rId="3789" sId="2" numFmtId="4">
    <nc r="B144">
      <v>9</v>
    </nc>
  </rcc>
  <rcc rId="3790" sId="2" numFmtId="4">
    <nc r="C144">
      <v>8</v>
    </nc>
  </rcc>
  <rcc rId="3791" sId="2" numFmtId="4">
    <nc r="D144">
      <v>7</v>
    </nc>
  </rcc>
  <rcc rId="3792" sId="2" numFmtId="4">
    <nc r="E144">
      <v>7</v>
    </nc>
  </rcc>
  <rcc rId="3793" sId="2" numFmtId="4">
    <nc r="F144">
      <v>13</v>
    </nc>
  </rcc>
  <rcc rId="3794" sId="2" numFmtId="4">
    <nc r="G144">
      <v>0</v>
    </nc>
  </rcc>
  <rcc rId="3795" sId="2" numFmtId="4">
    <nc r="B145">
      <v>9</v>
    </nc>
  </rcc>
  <rcc rId="3796" sId="2" numFmtId="4">
    <nc r="C145">
      <v>8</v>
    </nc>
  </rcc>
  <rcc rId="3797" sId="2" numFmtId="4">
    <nc r="D145">
      <v>6</v>
    </nc>
  </rcc>
  <rcc rId="3798" sId="2" numFmtId="4">
    <nc r="E145">
      <v>17</v>
    </nc>
  </rcc>
  <rcc rId="3799" sId="2" numFmtId="4">
    <nc r="F145">
      <v>14</v>
    </nc>
  </rcc>
  <rcc rId="3800" sId="2" numFmtId="4">
    <nc r="G145">
      <v>0</v>
    </nc>
  </rcc>
  <rcc rId="3801" sId="2" numFmtId="4">
    <nc r="B146">
      <v>9</v>
    </nc>
  </rcc>
  <rcc rId="3802" sId="2" numFmtId="4">
    <nc r="C146">
      <v>9</v>
    </nc>
  </rcc>
  <rcc rId="3803" sId="2" numFmtId="4">
    <nc r="D146">
      <v>9</v>
    </nc>
  </rcc>
  <rcc rId="3804" sId="2" numFmtId="4">
    <nc r="E146">
      <v>2</v>
    </nc>
  </rcc>
  <rcc rId="3805" sId="2" numFmtId="4">
    <nc r="F146">
      <v>1</v>
    </nc>
  </rcc>
  <rcc rId="3806" sId="2" numFmtId="4">
    <nc r="G146">
      <v>0</v>
    </nc>
  </rcc>
  <rcc rId="3807" sId="2" numFmtId="4">
    <nc r="B147">
      <v>9</v>
    </nc>
  </rcc>
  <rcc rId="3808" sId="2" numFmtId="4">
    <nc r="C147">
      <v>9</v>
    </nc>
  </rcc>
  <rcc rId="3809" sId="2" numFmtId="4">
    <nc r="D147">
      <v>8</v>
    </nc>
  </rcc>
  <rcc rId="3810" sId="2" numFmtId="4">
    <nc r="E147">
      <v>3</v>
    </nc>
  </rcc>
  <rcc rId="3811" sId="2" numFmtId="4">
    <nc r="F147">
      <v>5</v>
    </nc>
  </rcc>
  <rcc rId="3812" sId="2" numFmtId="4">
    <nc r="G147">
      <v>0</v>
    </nc>
  </rcc>
  <rcc rId="3813" sId="2" numFmtId="4">
    <nc r="B148">
      <v>9</v>
    </nc>
  </rcc>
  <rcc rId="3814" sId="2" numFmtId="4">
    <nc r="C148">
      <v>9</v>
    </nc>
  </rcc>
  <rcc rId="3815" sId="2" numFmtId="4">
    <nc r="D148">
      <v>10</v>
    </nc>
  </rcc>
  <rcc rId="3816" sId="2" numFmtId="4">
    <nc r="E148">
      <v>4</v>
    </nc>
  </rcc>
  <rcc rId="3817" sId="2" numFmtId="4">
    <nc r="F148">
      <v>1</v>
    </nc>
  </rcc>
  <rcc rId="3818" sId="2" numFmtId="4">
    <nc r="G148">
      <v>0</v>
    </nc>
  </rcc>
  <rcc rId="3819" sId="5" numFmtId="4">
    <nc r="B311">
      <v>11</v>
    </nc>
  </rcc>
  <rcc rId="3820" sId="5" numFmtId="4">
    <nc r="C311">
      <v>47</v>
    </nc>
  </rcc>
  <rcc rId="3821" sId="5" numFmtId="4">
    <nc r="D311">
      <v>9</v>
    </nc>
  </rcc>
  <rcc rId="3822" sId="5" numFmtId="4">
    <nc r="E311">
      <v>15</v>
    </nc>
  </rcc>
  <rcc rId="3823" sId="5" numFmtId="4">
    <nc r="F311">
      <v>4</v>
    </nc>
  </rcc>
  <rcc rId="3824" sId="5" numFmtId="4">
    <nc r="G311">
      <v>6</v>
    </nc>
  </rcc>
  <rcc rId="3825" sId="5" numFmtId="4">
    <nc r="B312">
      <v>11</v>
    </nc>
  </rcc>
  <rcc rId="3826" sId="5" numFmtId="4">
    <nc r="C312">
      <v>47</v>
    </nc>
  </rcc>
  <rcc rId="3827" sId="5" numFmtId="4">
    <nc r="D312">
      <v>8</v>
    </nc>
  </rcc>
  <rcc rId="3828" sId="5" numFmtId="4">
    <nc r="F312">
      <v>3</v>
    </nc>
  </rcc>
  <rcc rId="3829" sId="5" numFmtId="4">
    <nc r="E312">
      <v>13</v>
    </nc>
  </rcc>
  <rcc rId="3830" sId="5" numFmtId="4">
    <nc r="G312">
      <v>9</v>
    </nc>
  </rcc>
  <rcc rId="3831" sId="5" numFmtId="4">
    <nc r="B313">
      <v>11</v>
    </nc>
  </rcc>
  <rcc rId="3832" sId="5" numFmtId="4">
    <nc r="C313">
      <v>47</v>
    </nc>
  </rcc>
  <rcc rId="3833" sId="5" numFmtId="4">
    <nc r="D313">
      <v>7</v>
    </nc>
  </rcc>
  <rcc rId="3834" sId="5" numFmtId="4">
    <nc r="E313">
      <v>14</v>
    </nc>
  </rcc>
  <rcc rId="3835" sId="5" numFmtId="4">
    <nc r="F313">
      <v>4</v>
    </nc>
  </rcc>
  <rcc rId="3836" sId="5" numFmtId="4">
    <nc r="G313">
      <v>7</v>
    </nc>
  </rcc>
  <rcc rId="3837" sId="5" numFmtId="4">
    <nc r="B314">
      <v>11</v>
    </nc>
  </rcc>
  <rcc rId="3838" sId="5" numFmtId="4">
    <nc r="C314">
      <v>61</v>
    </nc>
  </rcc>
  <rcc rId="3839" sId="5" numFmtId="4">
    <nc r="D314">
      <v>5</v>
    </nc>
  </rcc>
  <rcc rId="3840" sId="5" numFmtId="4">
    <nc r="E314">
      <v>13</v>
    </nc>
  </rcc>
  <rcc rId="3841" sId="5" numFmtId="4">
    <nc r="F314">
      <v>6</v>
    </nc>
  </rcc>
  <rcc rId="3842" sId="5" numFmtId="4">
    <nc r="G314">
      <v>3</v>
    </nc>
  </rcc>
  <rcc rId="3843" sId="5" numFmtId="4">
    <nc r="B315">
      <v>11</v>
    </nc>
  </rcc>
  <rcc rId="3844" sId="5" numFmtId="4">
    <nc r="C315">
      <v>31</v>
    </nc>
  </rcc>
  <rcc rId="3845" sId="5" numFmtId="4">
    <nc r="D315">
      <v>2</v>
    </nc>
  </rcc>
  <rcc rId="3846" sId="5" numFmtId="4">
    <nc r="E315">
      <v>25</v>
    </nc>
  </rcc>
  <rcc rId="3847" sId="5" numFmtId="4">
    <nc r="F315">
      <v>0</v>
    </nc>
  </rcc>
  <rcc rId="3848" sId="5" numFmtId="4">
    <nc r="G315">
      <v>0</v>
    </nc>
  </rcc>
  <rcc rId="3849" sId="5" numFmtId="4">
    <nc r="B316">
      <v>11</v>
    </nc>
  </rcc>
  <rcc rId="3850" sId="5" numFmtId="4">
    <nc r="C316">
      <v>57</v>
    </nc>
  </rcc>
  <rcc rId="3851" sId="5" numFmtId="4">
    <nc r="D316">
      <v>8</v>
    </nc>
  </rcc>
  <rcc rId="3852" sId="5" numFmtId="4">
    <nc r="E316">
      <v>7</v>
    </nc>
  </rcc>
  <rcc rId="3853" sId="5" numFmtId="4">
    <nc r="F316">
      <v>2</v>
    </nc>
  </rcc>
  <rcc rId="3854" sId="5" numFmtId="4">
    <nc r="G316">
      <v>2</v>
    </nc>
  </rcc>
  <rcc rId="3855" sId="5" numFmtId="4">
    <nc r="B317">
      <v>11</v>
    </nc>
  </rcc>
  <rcc rId="3856" sId="5" numFmtId="4">
    <nc r="C317">
      <v>57</v>
    </nc>
  </rcc>
  <rcc rId="3857" sId="5" numFmtId="4">
    <nc r="D317">
      <v>9</v>
    </nc>
  </rcc>
  <rcc rId="3858" sId="5" numFmtId="4">
    <nc r="F317">
      <v>4</v>
    </nc>
  </rcc>
  <rcc rId="3859" sId="5" numFmtId="4">
    <nc r="G317">
      <v>2</v>
    </nc>
  </rcc>
  <rcc rId="3860" sId="5" numFmtId="4">
    <nc r="E317">
      <v>12</v>
    </nc>
  </rcc>
  <rcc rId="3861" sId="5" numFmtId="4">
    <nc r="B318">
      <v>11</v>
    </nc>
  </rcc>
  <rcc rId="3862" sId="5" numFmtId="4">
    <nc r="C318">
      <v>44</v>
    </nc>
  </rcc>
  <rcc rId="3863" sId="5" numFmtId="4">
    <nc r="D318">
      <v>10</v>
    </nc>
  </rcc>
</revisions>
</file>

<file path=xl/revisions/revisionLog64.xml><?xml version="1.0" encoding="utf-8"?>
<revisions xmlns="http://schemas.openxmlformats.org/spreadsheetml/2006/main" xmlns:r="http://schemas.openxmlformats.org/officeDocument/2006/relationships">
  <rcc rId="3864" sId="11" numFmtId="4">
    <nc r="B32">
      <v>20</v>
    </nc>
  </rcc>
  <rcc rId="3865" sId="11" numFmtId="4">
    <nc r="C32">
      <v>92</v>
    </nc>
  </rcc>
  <rcc rId="3866" sId="11" numFmtId="4">
    <nc r="D32">
      <v>2</v>
    </nc>
  </rcc>
  <rcc rId="3867" sId="11" numFmtId="4">
    <nc r="E32">
      <v>18</v>
    </nc>
  </rcc>
  <rcc rId="3868" sId="11" numFmtId="4">
    <nc r="F32">
      <v>13</v>
    </nc>
  </rcc>
  <rcc rId="3869" sId="11" numFmtId="4">
    <nc r="G32">
      <v>13</v>
    </nc>
  </rcc>
  <rcc rId="3870" sId="11" numFmtId="4">
    <nc r="H32">
      <v>7</v>
    </nc>
  </rcc>
  <rcc rId="3871" sId="11" numFmtId="4">
    <nc r="B33">
      <v>20</v>
    </nc>
  </rcc>
  <rcc rId="3872" sId="11" numFmtId="4">
    <nc r="C33">
      <v>92</v>
    </nc>
  </rcc>
  <rcc rId="3873" sId="11" numFmtId="4">
    <nc r="D33">
      <v>3</v>
    </nc>
  </rcc>
  <rcc rId="3874" sId="11" numFmtId="4">
    <nc r="E33">
      <v>6</v>
    </nc>
  </rcc>
  <rcc rId="3875" sId="11" numFmtId="4">
    <nc r="F33">
      <v>3</v>
    </nc>
  </rcc>
  <rcc rId="3876" sId="11" numFmtId="4">
    <nc r="G33">
      <v>5</v>
    </nc>
  </rcc>
  <rcc rId="3877" sId="11" numFmtId="4">
    <nc r="H33">
      <v>1</v>
    </nc>
  </rcc>
</revisions>
</file>

<file path=xl/revisions/revisionLog65.xml><?xml version="1.0" encoding="utf-8"?>
<revisions xmlns="http://schemas.openxmlformats.org/spreadsheetml/2006/main" xmlns:r="http://schemas.openxmlformats.org/officeDocument/2006/relationships">
  <rcc rId="3878" sId="5" numFmtId="4">
    <nc r="E318">
      <v>3</v>
    </nc>
  </rcc>
  <rcc rId="3879" sId="5" numFmtId="4">
    <nc r="F318">
      <v>15</v>
    </nc>
  </rcc>
  <rcc rId="3880" sId="5" numFmtId="4">
    <nc r="G318">
      <v>6</v>
    </nc>
  </rcc>
  <rcc rId="3881" sId="5" numFmtId="4">
    <nc r="B319">
      <v>11</v>
    </nc>
  </rcc>
  <rcc rId="3882" sId="5" numFmtId="4">
    <nc r="C319">
      <v>63</v>
    </nc>
  </rcc>
  <rcc rId="3883" sId="5" numFmtId="4">
    <nc r="D319">
      <v>8</v>
    </nc>
  </rcc>
  <rcc rId="3884" sId="5" numFmtId="4">
    <nc r="E319">
      <v>12</v>
    </nc>
  </rcc>
  <rcc rId="3885" sId="5" numFmtId="4">
    <nc r="F319">
      <v>2</v>
    </nc>
  </rcc>
  <rcc rId="3886" sId="5" numFmtId="4">
    <nc r="G319">
      <v>0</v>
    </nc>
  </rcc>
  <rcc rId="3887" sId="5" numFmtId="4">
    <nc r="B320">
      <v>11</v>
    </nc>
  </rcc>
  <rcc rId="3888" sId="5" numFmtId="4">
    <nc r="C320">
      <v>63</v>
    </nc>
  </rcc>
  <rcc rId="3889" sId="5" numFmtId="4">
    <nc r="D320">
      <v>9</v>
    </nc>
  </rcc>
  <rcc rId="3890" sId="5" numFmtId="4">
    <nc r="E320">
      <v>14</v>
    </nc>
  </rcc>
  <rcc rId="3891" sId="5" numFmtId="4">
    <nc r="F320">
      <v>3</v>
    </nc>
  </rcc>
  <rcc rId="3892" sId="5" numFmtId="4">
    <nc r="G320">
      <v>0</v>
    </nc>
  </rcc>
  <rcc rId="3893" sId="5" numFmtId="4">
    <nc r="B321">
      <v>11</v>
    </nc>
  </rcc>
  <rcc rId="3894" sId="5" numFmtId="4">
    <nc r="C321">
      <v>63</v>
    </nc>
  </rcc>
  <rcc rId="3895" sId="5" numFmtId="4">
    <nc r="D321">
      <v>10</v>
    </nc>
  </rcc>
  <rcc rId="3896" sId="5" numFmtId="4">
    <nc r="E321">
      <v>5</v>
    </nc>
  </rcc>
  <rcc rId="3897" sId="5" numFmtId="4">
    <nc r="F321">
      <v>0</v>
    </nc>
  </rcc>
  <rcc rId="3898" sId="5" numFmtId="4">
    <nc r="G321">
      <v>1</v>
    </nc>
  </rcc>
  <rcc rId="3899" sId="2" numFmtId="4">
    <nc r="B149">
      <v>9</v>
    </nc>
  </rcc>
  <rcc rId="3900" sId="2" numFmtId="4">
    <nc r="C149">
      <v>2</v>
    </nc>
  </rcc>
  <rcc rId="3901" sId="2" numFmtId="4">
    <nc r="D149">
      <v>9</v>
    </nc>
  </rcc>
  <rcc rId="3902" sId="2" numFmtId="4">
    <nc r="E149">
      <v>154</v>
    </nc>
  </rcc>
  <rcc rId="3903" sId="2" numFmtId="4">
    <nc r="F149">
      <v>110</v>
    </nc>
  </rcc>
  <rcc rId="3904" sId="2" numFmtId="4">
    <nc r="G149">
      <v>0</v>
    </nc>
  </rcc>
  <rcc rId="3905" sId="2" numFmtId="4">
    <nc r="B150">
      <v>9</v>
    </nc>
  </rcc>
  <rcc rId="3906" sId="2" numFmtId="4">
    <nc r="C150">
      <v>2</v>
    </nc>
  </rcc>
  <rcc rId="3907" sId="2" numFmtId="4">
    <nc r="D150">
      <v>8</v>
    </nc>
  </rcc>
  <rcc rId="3908" sId="2" numFmtId="4">
    <nc r="E150">
      <v>114</v>
    </nc>
  </rcc>
  <rcc rId="3909" sId="2" numFmtId="4">
    <nc r="F150">
      <v>89</v>
    </nc>
  </rcc>
  <rcc rId="3910" sId="2" numFmtId="4">
    <nc r="G150">
      <v>0</v>
    </nc>
  </rcc>
  <rcc rId="3911" sId="2" numFmtId="4">
    <nc r="B151">
      <v>9</v>
    </nc>
  </rcc>
  <rcc rId="3912" sId="2" numFmtId="4">
    <nc r="C151">
      <v>14</v>
    </nc>
  </rcc>
  <rcc rId="3913" sId="2" numFmtId="4">
    <nc r="D151">
      <v>6</v>
    </nc>
  </rcc>
  <rcc rId="3914" sId="2" numFmtId="4">
    <nc r="E151">
      <v>5</v>
    </nc>
  </rcc>
  <rcc rId="3915" sId="2" numFmtId="4">
    <nc r="F151">
      <v>8</v>
    </nc>
  </rcc>
  <rcc rId="3916" sId="2" numFmtId="4">
    <nc r="G151">
      <v>0</v>
    </nc>
  </rcc>
  <rcc rId="3917" sId="2" numFmtId="4">
    <nc r="B152">
      <v>9</v>
    </nc>
  </rcc>
  <rcc rId="3918" sId="2" numFmtId="4">
    <nc r="C152">
      <v>14</v>
    </nc>
  </rcc>
  <rcc rId="3919" sId="2" numFmtId="4">
    <nc r="D152">
      <v>5</v>
    </nc>
  </rcc>
  <rcc rId="3920" sId="2" numFmtId="4">
    <nc r="E152">
      <v>6</v>
    </nc>
  </rcc>
  <rcc rId="3921" sId="2" numFmtId="4">
    <nc r="F152">
      <v>7</v>
    </nc>
  </rcc>
  <rcc rId="3922" sId="2" numFmtId="4">
    <nc r="G152">
      <v>0</v>
    </nc>
  </rcc>
  <rcc rId="3923" sId="2" numFmtId="4">
    <nc r="B153">
      <v>9</v>
    </nc>
  </rcc>
  <rcc rId="3924" sId="2" numFmtId="4">
    <nc r="C153">
      <v>14</v>
    </nc>
  </rcc>
  <rcc rId="3925" sId="2" numFmtId="4">
    <nc r="D153">
      <v>7</v>
    </nc>
  </rcc>
  <rcc rId="3926" sId="2" numFmtId="4">
    <nc r="E153">
      <v>6</v>
    </nc>
  </rcc>
  <rcc rId="3927" sId="2" numFmtId="4">
    <nc r="F153">
      <v>9</v>
    </nc>
  </rcc>
  <rcc rId="3928" sId="2" numFmtId="4">
    <nc r="G153">
      <v>0</v>
    </nc>
  </rcc>
  <rcc rId="3929" sId="2" numFmtId="4">
    <nc r="B154">
      <v>9</v>
    </nc>
  </rcc>
  <rcc rId="3930" sId="2" numFmtId="4">
    <nc r="C154">
      <v>2</v>
    </nc>
  </rcc>
  <rcc rId="3931" sId="2" numFmtId="4">
    <nc r="D154">
      <v>7</v>
    </nc>
  </rcc>
  <rcc rId="3932" sId="2" numFmtId="4">
    <nc r="E154">
      <v>94</v>
    </nc>
  </rcc>
  <rcc rId="3933" sId="2" numFmtId="4">
    <nc r="F154">
      <v>75</v>
    </nc>
  </rcc>
  <rcc rId="3934" sId="2" numFmtId="4">
    <nc r="G154">
      <v>0</v>
    </nc>
  </rcc>
  <rcc rId="3935" sId="2" numFmtId="4">
    <nc r="B155">
      <v>9</v>
    </nc>
  </rcc>
  <rcc rId="3936" sId="2" numFmtId="4">
    <nc r="C155">
      <v>2</v>
    </nc>
  </rcc>
  <rcc rId="3937" sId="2" numFmtId="4">
    <nc r="D155">
      <v>6</v>
    </nc>
  </rcc>
  <rcc rId="3938" sId="2" numFmtId="4">
    <nc r="E155">
      <v>78</v>
    </nc>
  </rcc>
  <rcc rId="3939" sId="2" numFmtId="4">
    <nc r="F155">
      <v>61</v>
    </nc>
  </rcc>
  <rcc rId="3940" sId="2" numFmtId="4">
    <nc r="G155">
      <v>0</v>
    </nc>
  </rcc>
  <rcc rId="3941" sId="2" numFmtId="4">
    <nc r="B156">
      <v>9</v>
    </nc>
  </rcc>
  <rcc rId="3942" sId="2" numFmtId="4">
    <nc r="C156">
      <v>2</v>
    </nc>
  </rcc>
  <rcc rId="3943" sId="2" numFmtId="4">
    <nc r="D156">
      <v>5</v>
    </nc>
  </rcc>
  <rcc rId="3944" sId="2" numFmtId="4">
    <nc r="E156">
      <v>46</v>
    </nc>
  </rcc>
  <rcc rId="3945" sId="2" numFmtId="4">
    <nc r="F156">
      <v>39</v>
    </nc>
  </rcc>
  <rcc rId="3946" sId="2" numFmtId="4">
    <nc r="G156">
      <v>0</v>
    </nc>
  </rcc>
  <rcc rId="3947" sId="2" numFmtId="4">
    <nc r="B157">
      <v>9</v>
    </nc>
  </rcc>
  <rcc rId="3948" sId="2" numFmtId="4">
    <nc r="C157">
      <v>2</v>
    </nc>
  </rcc>
  <rcc rId="3949" sId="2" numFmtId="4">
    <nc r="D157">
      <v>4</v>
    </nc>
  </rcc>
  <rcc rId="3950" sId="2" numFmtId="4">
    <nc r="E157">
      <v>19</v>
    </nc>
  </rcc>
  <rcc rId="3951" sId="2" numFmtId="4">
    <nc r="F157">
      <v>10</v>
    </nc>
  </rcc>
  <rcc rId="3952" sId="2" numFmtId="4">
    <nc r="G157">
      <v>0</v>
    </nc>
  </rcc>
  <rcc rId="3953" sId="5" numFmtId="4">
    <nc r="B322">
      <v>11</v>
    </nc>
  </rcc>
  <rcc rId="3954" sId="5" numFmtId="4">
    <nc r="C322">
      <v>31</v>
    </nc>
  </rcc>
  <rcc rId="3955" sId="5" numFmtId="4">
    <nc r="D322">
      <v>3</v>
    </nc>
  </rcc>
  <rcc rId="3956" sId="5" numFmtId="4">
    <nc r="E322">
      <v>20</v>
    </nc>
  </rcc>
  <rcc rId="3957" sId="5" numFmtId="4">
    <nc r="F322">
      <v>1</v>
    </nc>
  </rcc>
  <rcc rId="3958" sId="5" numFmtId="4">
    <nc r="G322">
      <v>4</v>
    </nc>
  </rcc>
  <rcc rId="3959" sId="5" numFmtId="4">
    <nc r="B323">
      <v>11</v>
    </nc>
  </rcc>
  <rcc rId="3960" sId="5" numFmtId="4">
    <nc r="C323">
      <v>31</v>
    </nc>
  </rcc>
  <rcc rId="3961" sId="5" numFmtId="4">
    <nc r="D323">
      <v>4</v>
    </nc>
  </rcc>
  <rcc rId="3962" sId="5" numFmtId="4">
    <nc r="E323">
      <v>25</v>
    </nc>
  </rcc>
  <rcc rId="3963" sId="5" numFmtId="4">
    <nc r="F323">
      <v>0</v>
    </nc>
  </rcc>
  <rcc rId="3964" sId="5" numFmtId="4">
    <nc r="G323">
      <v>0</v>
    </nc>
  </rcc>
  <rcc rId="3965" sId="5" numFmtId="4">
    <nc r="B324">
      <v>11</v>
    </nc>
  </rcc>
  <rcc rId="3966" sId="5" numFmtId="4">
    <nc r="C324">
      <v>31</v>
    </nc>
  </rcc>
  <rcc rId="3967" sId="5" numFmtId="4">
    <nc r="D324">
      <v>5</v>
    </nc>
  </rcc>
  <rcc rId="3968" sId="5" numFmtId="4">
    <nc r="E324">
      <v>21</v>
    </nc>
  </rcc>
  <rcc rId="3969" sId="5" numFmtId="4">
    <nc r="F324">
      <v>2</v>
    </nc>
  </rcc>
  <rcc rId="3970" sId="5" numFmtId="4">
    <nc r="G324">
      <v>2</v>
    </nc>
  </rcc>
  <rcc rId="3971" sId="5" numFmtId="4">
    <nc r="B325">
      <v>11</v>
    </nc>
  </rcc>
  <rcc rId="3972" sId="5" numFmtId="4">
    <nc r="C325">
      <v>31</v>
    </nc>
  </rcc>
  <rcc rId="3973" sId="5" numFmtId="4">
    <nc r="D325">
      <v>6</v>
    </nc>
  </rcc>
  <rcc rId="3974" sId="5" numFmtId="4">
    <nc r="E325">
      <v>24</v>
    </nc>
  </rcc>
  <rcc rId="3975" sId="5" numFmtId="4">
    <nc r="F325">
      <v>0</v>
    </nc>
  </rcc>
  <rcc rId="3976" sId="5" numFmtId="4">
    <nc r="G325">
      <v>3</v>
    </nc>
  </rcc>
  <rcc rId="3977" sId="5" numFmtId="4">
    <nc r="B326">
      <v>11</v>
    </nc>
  </rcc>
  <rcc rId="3978" sId="5" numFmtId="4">
    <nc r="C326">
      <v>41</v>
    </nc>
  </rcc>
  <rcc rId="3979" sId="5" numFmtId="4">
    <nc r="D326">
      <v>5</v>
    </nc>
  </rcc>
  <rcc rId="3980" sId="5" numFmtId="4">
    <nc r="E326">
      <v>25</v>
    </nc>
  </rcc>
  <rcc rId="3981" sId="5" numFmtId="4">
    <nc r="F326">
      <v>16</v>
    </nc>
  </rcc>
  <rcc rId="3982" sId="5" numFmtId="4">
    <nc r="G326">
      <v>9</v>
    </nc>
  </rcc>
  <rcc rId="3983" sId="5" numFmtId="4">
    <nc r="B327">
      <v>11</v>
    </nc>
  </rcc>
  <rcc rId="3984" sId="5" numFmtId="4">
    <nc r="C327">
      <v>45</v>
    </nc>
  </rcc>
  <rcc rId="3985" sId="5" numFmtId="4">
    <nc r="D327">
      <v>10</v>
    </nc>
  </rcc>
  <rcc rId="3986" sId="5" numFmtId="4">
    <nc r="E327">
      <v>6</v>
    </nc>
  </rcc>
  <rcc rId="3987" sId="5" numFmtId="4">
    <nc r="F327">
      <v>20</v>
    </nc>
  </rcc>
  <rcc rId="3988" sId="5" numFmtId="4">
    <nc r="G327">
      <v>3</v>
    </nc>
  </rcc>
  <rcc rId="3989" sId="2" numFmtId="4">
    <nc r="B158">
      <v>9</v>
    </nc>
  </rcc>
  <rcc rId="3990" sId="2" numFmtId="4">
    <nc r="C158">
      <v>19</v>
    </nc>
  </rcc>
  <rcc rId="3991" sId="2" numFmtId="4">
    <nc r="D158">
      <v>10</v>
    </nc>
  </rcc>
  <rcc rId="3992" sId="2" numFmtId="4">
    <nc r="E158">
      <v>5</v>
    </nc>
  </rcc>
  <rcc rId="3993" sId="2" numFmtId="4">
    <nc r="F158">
      <v>9</v>
    </nc>
  </rcc>
  <rcc rId="3994" sId="2" numFmtId="4">
    <nc r="G158">
      <v>0</v>
    </nc>
  </rcc>
  <rcc rId="3995" sId="2" numFmtId="4">
    <nc r="B159">
      <v>9</v>
    </nc>
  </rcc>
  <rcc rId="3996" sId="2" numFmtId="4">
    <nc r="C159">
      <v>19</v>
    </nc>
  </rcc>
  <rcc rId="3997" sId="2" numFmtId="4">
    <nc r="D159">
      <v>4</v>
    </nc>
  </rcc>
  <rcc rId="3998" sId="2" numFmtId="4">
    <nc r="E159">
      <v>7</v>
    </nc>
  </rcc>
  <rcc rId="3999" sId="2" numFmtId="4">
    <nc r="F159">
      <v>12</v>
    </nc>
  </rcc>
  <rcc rId="4000" sId="2" numFmtId="4">
    <nc r="G159">
      <v>0</v>
    </nc>
  </rcc>
</revisions>
</file>

<file path=xl/revisions/revisionLog66.xml><?xml version="1.0" encoding="utf-8"?>
<revisions xmlns="http://schemas.openxmlformats.org/spreadsheetml/2006/main" xmlns:r="http://schemas.openxmlformats.org/officeDocument/2006/relationships">
  <rcc rId="4001" sId="11" numFmtId="4">
    <nc r="B34">
      <v>20</v>
    </nc>
  </rcc>
  <rcc rId="4002" sId="11" numFmtId="4">
    <nc r="C34">
      <v>85</v>
    </nc>
  </rcc>
  <rcc rId="4003" sId="11" numFmtId="4">
    <nc r="D34">
      <v>2</v>
    </nc>
  </rcc>
  <rcc rId="4004" sId="11" numFmtId="4">
    <nc r="E34">
      <v>6</v>
    </nc>
  </rcc>
  <rcc rId="4005" sId="11" numFmtId="4">
    <nc r="F34">
      <v>0</v>
    </nc>
  </rcc>
  <rcc rId="4006" sId="11" numFmtId="4">
    <nc r="G34">
      <v>2</v>
    </nc>
  </rcc>
  <rcc rId="4007" sId="11" numFmtId="4">
    <nc r="H34">
      <v>1</v>
    </nc>
  </rcc>
  <rcc rId="4008" sId="8" numFmtId="4">
    <nc r="B150">
      <v>16</v>
    </nc>
  </rcc>
  <rcc rId="4009" sId="8" numFmtId="4">
    <nc r="C150">
      <v>68</v>
    </nc>
  </rcc>
  <rcc rId="4010" sId="8" numFmtId="4">
    <nc r="D150">
      <v>8</v>
    </nc>
  </rcc>
  <rcc rId="4011" sId="8" numFmtId="4">
    <nc r="E150">
      <v>6</v>
    </nc>
  </rcc>
  <rcc rId="4012" sId="8" numFmtId="4">
    <nc r="F150">
      <v>12</v>
    </nc>
  </rcc>
  <rcc rId="4013" sId="8" numFmtId="4">
    <nc r="G150">
      <v>9</v>
    </nc>
  </rcc>
  <rcc rId="4014" sId="8" numFmtId="4">
    <nc r="H150">
      <v>4</v>
    </nc>
  </rcc>
  <rcc rId="4015" sId="8" numFmtId="4">
    <nc r="B151">
      <v>16</v>
    </nc>
  </rcc>
  <rcc rId="4016" sId="8" numFmtId="4">
    <nc r="C151">
      <v>68</v>
    </nc>
  </rcc>
  <rcc rId="4017" sId="8" numFmtId="4">
    <nc r="D151">
      <v>9</v>
    </nc>
  </rcc>
  <rcc rId="4018" sId="8" numFmtId="4">
    <nc r="E151">
      <v>4</v>
    </nc>
  </rcc>
  <rcc rId="4019" sId="8" numFmtId="4">
    <nc r="F151">
      <v>5</v>
    </nc>
  </rcc>
  <rcc rId="4020" sId="8" numFmtId="4">
    <nc r="G151">
      <v>7</v>
    </nc>
  </rcc>
  <rcc rId="4021" sId="8" numFmtId="4">
    <nc r="H151">
      <v>4</v>
    </nc>
  </rcc>
  <rcc rId="4022" sId="8" numFmtId="4">
    <nc r="B152">
      <v>16</v>
    </nc>
  </rcc>
  <rcc rId="4023" sId="8" numFmtId="4">
    <nc r="C152">
      <v>68</v>
    </nc>
  </rcc>
  <rcc rId="4024" sId="8" numFmtId="4">
    <nc r="D152">
      <v>10</v>
    </nc>
  </rcc>
  <rcc rId="4025" sId="8" numFmtId="4">
    <nc r="E152">
      <v>12</v>
    </nc>
  </rcc>
  <rcc rId="4026" sId="8" numFmtId="4">
    <nc r="F152">
      <v>6</v>
    </nc>
  </rcc>
  <rcc rId="4027" sId="8" numFmtId="4">
    <nc r="G152">
      <v>9</v>
    </nc>
  </rcc>
  <rcc rId="4028" sId="8" numFmtId="4">
    <nc r="H152">
      <v>5</v>
    </nc>
  </rcc>
  <rcc rId="4029" sId="8" numFmtId="4">
    <nc r="B153">
      <v>16</v>
    </nc>
  </rcc>
  <rcc rId="4030" sId="8" numFmtId="4">
    <nc r="C153">
      <v>68</v>
    </nc>
  </rcc>
  <rcc rId="4031" sId="8" numFmtId="4">
    <nc r="D153">
      <v>11</v>
    </nc>
  </rcc>
  <rcc rId="4032" sId="8" numFmtId="4">
    <nc r="E153">
      <v>8</v>
    </nc>
  </rcc>
  <rcc rId="4033" sId="8" numFmtId="4">
    <nc r="F153">
      <v>7</v>
    </nc>
  </rcc>
  <rcc rId="4034" sId="8" numFmtId="4">
    <nc r="G153">
      <v>12</v>
    </nc>
  </rcc>
  <rcc rId="4035" sId="8" numFmtId="4">
    <nc r="H153">
      <v>5</v>
    </nc>
  </rcc>
  <rcc rId="4036" sId="11" numFmtId="4">
    <nc r="B35">
      <v>20</v>
    </nc>
  </rcc>
  <rcc rId="4037" sId="11" numFmtId="4">
    <nc r="C35">
      <v>97</v>
    </nc>
  </rcc>
  <rcc rId="4038" sId="11" numFmtId="4">
    <nc r="D35">
      <v>10</v>
    </nc>
  </rcc>
  <rcc rId="4039" sId="11" numFmtId="4">
    <nc r="E35">
      <v>10</v>
    </nc>
  </rcc>
  <rcc rId="4040" sId="11" numFmtId="4">
    <nc r="F35">
      <v>3</v>
    </nc>
  </rcc>
  <rcc rId="4041" sId="11" numFmtId="4">
    <nc r="G35">
      <v>15</v>
    </nc>
  </rcc>
  <rcc rId="4042" sId="11" numFmtId="4">
    <nc r="H35">
      <v>0</v>
    </nc>
  </rcc>
  <rcc rId="4043" sId="11" numFmtId="4">
    <nc r="B36">
      <v>20</v>
    </nc>
  </rcc>
  <rcc rId="4044" sId="11" numFmtId="4">
    <nc r="C36">
      <v>97</v>
    </nc>
  </rcc>
  <rcc rId="4045" sId="11" numFmtId="4">
    <nc r="D36">
      <v>9</v>
    </nc>
  </rcc>
  <rcc rId="4046" sId="11" numFmtId="4">
    <nc r="E36">
      <v>15</v>
    </nc>
  </rcc>
  <rcc rId="4047" sId="11" numFmtId="4">
    <nc r="F36">
      <v>14</v>
    </nc>
  </rcc>
  <rcc rId="4048" sId="11" numFmtId="4">
    <nc r="G36">
      <v>18</v>
    </nc>
  </rcc>
  <rcc rId="4049" sId="11" numFmtId="4">
    <nc r="H36">
      <v>0</v>
    </nc>
  </rcc>
  <rcc rId="4050" sId="11" numFmtId="4">
    <nc r="B37">
      <v>20</v>
    </nc>
  </rcc>
  <rcc rId="4051" sId="11" numFmtId="4">
    <nc r="C37">
      <v>97</v>
    </nc>
  </rcc>
  <rcc rId="4052" sId="11" numFmtId="4">
    <nc r="D37">
      <v>8</v>
    </nc>
  </rcc>
  <rcc rId="4053" sId="11" numFmtId="4">
    <nc r="E37">
      <v>10</v>
    </nc>
  </rcc>
  <rcc rId="4054" sId="11" numFmtId="4">
    <nc r="F37">
      <v>15</v>
    </nc>
  </rcc>
  <rcc rId="4055" sId="11" numFmtId="4">
    <nc r="G37">
      <v>8</v>
    </nc>
  </rcc>
  <rcc rId="4056" sId="11" numFmtId="4">
    <nc r="H37">
      <v>0</v>
    </nc>
  </rcc>
  <rcc rId="4057" sId="11" numFmtId="4">
    <nc r="B38">
      <v>20</v>
    </nc>
  </rcc>
  <rcc rId="4058" sId="11" numFmtId="4">
    <nc r="C38">
      <v>97</v>
    </nc>
  </rcc>
  <rcc rId="4059" sId="11" numFmtId="4">
    <nc r="D38">
      <v>7</v>
    </nc>
  </rcc>
  <rcc rId="4060" sId="11" numFmtId="4">
    <nc r="E38">
      <v>20</v>
    </nc>
  </rcc>
  <rcc rId="4061" sId="11" numFmtId="4">
    <nc r="F38">
      <v>20</v>
    </nc>
  </rcc>
  <rcc rId="4062" sId="11" numFmtId="4">
    <nc r="G38">
      <v>10</v>
    </nc>
  </rcc>
  <rcc rId="4063" sId="11" numFmtId="4">
    <nc r="H38">
      <v>0</v>
    </nc>
  </rcc>
  <rcc rId="4064" sId="11" numFmtId="4">
    <nc r="B39">
      <v>20</v>
    </nc>
  </rcc>
  <rcc rId="4065" sId="11" numFmtId="4">
    <nc r="C39">
      <v>97</v>
    </nc>
  </rcc>
  <rcc rId="4066" sId="11" numFmtId="4">
    <nc r="D39">
      <v>6</v>
    </nc>
  </rcc>
  <rcc rId="4067" sId="11" numFmtId="4">
    <nc r="E39">
      <v>20</v>
    </nc>
  </rcc>
  <rcc rId="4068" sId="11" numFmtId="4">
    <nc r="F39">
      <v>18</v>
    </nc>
  </rcc>
  <rcc rId="4069" sId="11" numFmtId="4">
    <nc r="G39">
      <v>10</v>
    </nc>
  </rcc>
  <rcc rId="4070" sId="11" numFmtId="4">
    <nc r="H39">
      <v>0</v>
    </nc>
  </rcc>
  <rcc rId="4071" sId="11" numFmtId="4">
    <nc r="B40">
      <v>20</v>
    </nc>
  </rcc>
  <rcc rId="4072" sId="11" numFmtId="4">
    <nc r="C40">
      <v>97</v>
    </nc>
  </rcc>
  <rcc rId="4073" sId="11" numFmtId="4">
    <nc r="D40">
      <v>5</v>
    </nc>
  </rcc>
  <rcc rId="4074" sId="11" numFmtId="4">
    <nc r="E40">
      <v>21</v>
    </nc>
  </rcc>
  <rcc rId="4075" sId="11" numFmtId="4">
    <nc r="F40">
      <v>20</v>
    </nc>
  </rcc>
  <rcc rId="4076" sId="11" numFmtId="4">
    <nc r="G40">
      <v>15</v>
    </nc>
  </rcc>
  <rcc rId="4077" sId="11" numFmtId="4">
    <nc r="H40">
      <v>0</v>
    </nc>
  </rcc>
  <rcc rId="4078" sId="8" numFmtId="4">
    <nc r="B154">
      <v>16</v>
    </nc>
  </rcc>
  <rcc rId="4079" sId="8" numFmtId="4">
    <nc r="C154">
      <v>82</v>
    </nc>
  </rcc>
  <rcc rId="4080" sId="8" numFmtId="4">
    <nc r="D154">
      <v>11</v>
    </nc>
  </rcc>
  <rcc rId="4081" sId="8" numFmtId="4">
    <nc r="E154">
      <v>5</v>
    </nc>
  </rcc>
  <rcc rId="4082" sId="8" numFmtId="4">
    <nc r="F154">
      <v>3</v>
    </nc>
  </rcc>
  <rcc rId="4083" sId="8" numFmtId="4">
    <nc r="G154">
      <v>4</v>
    </nc>
  </rcc>
  <rcc rId="4084" sId="8" numFmtId="4">
    <nc r="H154">
      <v>0</v>
    </nc>
  </rcc>
</revisions>
</file>

<file path=xl/revisions/revisionLog67.xml><?xml version="1.0" encoding="utf-8"?>
<revisions xmlns="http://schemas.openxmlformats.org/spreadsheetml/2006/main" xmlns:r="http://schemas.openxmlformats.org/officeDocument/2006/relationships">
  <rcc rId="4085" sId="5" numFmtId="4">
    <nc r="B328">
      <v>11</v>
    </nc>
  </rcc>
  <rcc rId="4086" sId="5" numFmtId="4">
    <nc r="C328">
      <v>41</v>
    </nc>
  </rcc>
  <rcc rId="4087" sId="5" numFmtId="4">
    <nc r="D328">
      <v>6</v>
    </nc>
  </rcc>
  <rcc rId="4088" sId="5" numFmtId="4">
    <nc r="E328">
      <v>29</v>
    </nc>
  </rcc>
  <rcc rId="4089" sId="5" numFmtId="4">
    <nc r="F328">
      <v>13</v>
    </nc>
  </rcc>
  <rcc rId="4090" sId="5" numFmtId="4">
    <nc r="G328">
      <v>6</v>
    </nc>
  </rcc>
  <rcc rId="4091" sId="2" numFmtId="4">
    <nc r="B160">
      <v>9</v>
    </nc>
  </rcc>
  <rcc rId="4092" sId="2" numFmtId="4">
    <nc r="C160">
      <v>13</v>
    </nc>
  </rcc>
  <rcc rId="4093" sId="2" numFmtId="4">
    <nc r="D160">
      <v>10</v>
    </nc>
  </rcc>
  <rcc rId="4094" sId="2" numFmtId="4">
    <nc r="E160">
      <v>9</v>
    </nc>
  </rcc>
  <rcc rId="4095" sId="2" numFmtId="4">
    <nc r="F160">
      <v>10</v>
    </nc>
  </rcc>
  <rcc rId="4096" sId="2" numFmtId="4">
    <nc r="G160">
      <v>0</v>
    </nc>
  </rcc>
  <rcc rId="4097" sId="2" numFmtId="4">
    <nc r="B161">
      <v>9</v>
    </nc>
  </rcc>
  <rcc rId="4098" sId="2" numFmtId="4">
    <nc r="C161">
      <v>13</v>
    </nc>
  </rcc>
  <rcc rId="4099" sId="2" numFmtId="4">
    <nc r="D161">
      <v>11</v>
    </nc>
  </rcc>
  <rcc rId="4100" sId="2" numFmtId="4">
    <nc r="E161">
      <v>13</v>
    </nc>
  </rcc>
  <rcc rId="4101" sId="2" numFmtId="4">
    <nc r="F161">
      <v>12</v>
    </nc>
  </rcc>
  <rcc rId="4102" sId="2" numFmtId="4">
    <nc r="G161">
      <v>0</v>
    </nc>
  </rcc>
  <rcc rId="4103" sId="5" numFmtId="4">
    <nc r="B329">
      <v>11</v>
    </nc>
  </rcc>
  <rcc rId="4104" sId="5" numFmtId="4">
    <nc r="C329">
      <v>46</v>
    </nc>
  </rcc>
  <rcc rId="4105" sId="5" numFmtId="4">
    <nc r="D329">
      <v>7</v>
    </nc>
  </rcc>
  <rcc rId="4106" sId="5" numFmtId="4">
    <nc r="E329">
      <v>12</v>
    </nc>
  </rcc>
  <rcc rId="4107" sId="5" numFmtId="4">
    <nc r="F329">
      <v>3</v>
    </nc>
  </rcc>
  <rcc rId="4108" sId="5" numFmtId="4">
    <nc r="G329">
      <v>8</v>
    </nc>
  </rcc>
  <rcc rId="4109" sId="5" numFmtId="4">
    <nc r="B330">
      <v>11</v>
    </nc>
  </rcc>
  <rcc rId="4110" sId="5" numFmtId="4">
    <nc r="C330">
      <v>46</v>
    </nc>
  </rcc>
  <rcc rId="4111" sId="5" numFmtId="4">
    <nc r="D330">
      <v>6</v>
    </nc>
  </rcc>
  <rcc rId="4112" sId="5" numFmtId="4">
    <nc r="E330">
      <v>10</v>
    </nc>
  </rcc>
  <rcc rId="4113" sId="5" numFmtId="4">
    <nc r="F330">
      <v>4</v>
    </nc>
  </rcc>
  <rcc rId="4114" sId="5" numFmtId="4">
    <nc r="G330">
      <v>12</v>
    </nc>
  </rcc>
  <rcc rId="4115" sId="5" numFmtId="4">
    <nc r="B331">
      <v>11</v>
    </nc>
  </rcc>
  <rcc rId="4116" sId="5" numFmtId="4">
    <nc r="C331">
      <v>46</v>
    </nc>
  </rcc>
  <rcc rId="4117" sId="5" numFmtId="4">
    <nc r="D331">
      <v>5</v>
    </nc>
  </rcc>
  <rcc rId="4118" sId="5" numFmtId="4">
    <nc r="E331">
      <v>15</v>
    </nc>
  </rcc>
  <rcc rId="4119" sId="5" numFmtId="4">
    <nc r="F331">
      <v>5</v>
    </nc>
  </rcc>
  <rcc rId="4120" sId="5" numFmtId="4">
    <nc r="G331">
      <v>10</v>
    </nc>
  </rcc>
  <rcc rId="4121" sId="2" numFmtId="4">
    <nc r="B162">
      <v>9</v>
    </nc>
  </rcc>
  <rcc rId="4122" sId="2" numFmtId="4">
    <nc r="C162">
      <v>3</v>
    </nc>
  </rcc>
  <rcc rId="4123" sId="2" numFmtId="4">
    <nc r="D162">
      <v>5</v>
    </nc>
  </rcc>
  <rcc rId="4124" sId="2" numFmtId="4">
    <nc r="E162">
      <v>20</v>
    </nc>
  </rcc>
  <rcc rId="4125" sId="2" numFmtId="4">
    <nc r="F162">
      <v>45</v>
    </nc>
  </rcc>
  <rcc rId="4126" sId="2" numFmtId="4">
    <nc r="G162">
      <v>0</v>
    </nc>
  </rcc>
  <rcc rId="4127" sId="2" numFmtId="4">
    <nc r="B163">
      <v>9</v>
    </nc>
  </rcc>
  <rcc rId="4128" sId="2" numFmtId="4">
    <nc r="C163">
      <v>3</v>
    </nc>
  </rcc>
  <rcc rId="4129" sId="2" numFmtId="4">
    <nc r="D163">
      <v>6</v>
    </nc>
  </rcc>
  <rcc rId="4130" sId="2" numFmtId="4">
    <nc r="E163">
      <v>25</v>
    </nc>
  </rcc>
  <rcc rId="4131" sId="2" numFmtId="4">
    <nc r="F163">
      <v>22</v>
    </nc>
  </rcc>
  <rcc rId="4132" sId="2" numFmtId="4">
    <nc r="G163">
      <v>0</v>
    </nc>
  </rcc>
  <rcc rId="4133" sId="2" numFmtId="4">
    <nc r="B164">
      <v>9</v>
    </nc>
  </rcc>
  <rcc rId="4134" sId="2" numFmtId="4">
    <nc r="C164">
      <v>21</v>
    </nc>
  </rcc>
  <rcc rId="4135" sId="2" numFmtId="4">
    <nc r="D164">
      <v>4</v>
    </nc>
  </rcc>
  <rcc rId="4136" sId="2" numFmtId="4">
    <nc r="E164">
      <v>22</v>
    </nc>
  </rcc>
  <rcc rId="4137" sId="2" numFmtId="4">
    <nc r="F164">
      <v>19</v>
    </nc>
  </rcc>
  <rcc rId="4138" sId="2" numFmtId="4">
    <nc r="G164">
      <v>0</v>
    </nc>
  </rcc>
  <rcc rId="4139" sId="2" numFmtId="4">
    <nc r="B165">
      <v>9</v>
    </nc>
  </rcc>
  <rcc rId="4140" sId="2" numFmtId="4">
    <nc r="C165">
      <v>11</v>
    </nc>
  </rcc>
  <rcc rId="4141" sId="2" numFmtId="4">
    <nc r="D165">
      <v>9</v>
    </nc>
  </rcc>
</revisions>
</file>

<file path=xl/revisions/revisionLog68.xml><?xml version="1.0" encoding="utf-8"?>
<revisions xmlns="http://schemas.openxmlformats.org/spreadsheetml/2006/main" xmlns:r="http://schemas.openxmlformats.org/officeDocument/2006/relationships">
  <rcc rId="4142" sId="8" numFmtId="4">
    <nc r="B155">
      <v>16</v>
    </nc>
  </rcc>
  <rcc rId="4143" sId="8" numFmtId="4">
    <nc r="C155">
      <v>72</v>
    </nc>
  </rcc>
  <rcc rId="4144" sId="8" numFmtId="4">
    <nc r="D155">
      <v>1</v>
    </nc>
  </rcc>
  <rcc rId="4145" sId="8" numFmtId="4">
    <nc r="E155">
      <v>4</v>
    </nc>
  </rcc>
  <rcc rId="4146" sId="8" numFmtId="4">
    <nc r="F155">
      <v>8</v>
    </nc>
  </rcc>
  <rcc rId="4147" sId="8" numFmtId="4">
    <nc r="G155">
      <v>2</v>
    </nc>
  </rcc>
  <rcc rId="4148" sId="8" numFmtId="4">
    <nc r="H155">
      <v>0</v>
    </nc>
  </rcc>
  <rcc rId="4149" sId="8" numFmtId="4">
    <nc r="B156">
      <v>16</v>
    </nc>
  </rcc>
  <rcc rId="4150" sId="8" numFmtId="4">
    <nc r="C156">
      <v>72</v>
    </nc>
  </rcc>
  <rcc rId="4151" sId="8" numFmtId="4">
    <nc r="D156">
      <v>11</v>
    </nc>
  </rcc>
  <rcc rId="4152" sId="8" numFmtId="4">
    <nc r="E156">
      <v>1</v>
    </nc>
  </rcc>
  <rcc rId="4153" sId="8" numFmtId="4">
    <nc r="F156">
      <v>15</v>
    </nc>
  </rcc>
  <rcc rId="4154" sId="8" numFmtId="4">
    <nc r="G156">
      <v>1</v>
    </nc>
  </rcc>
  <rcc rId="4155" sId="8" numFmtId="4">
    <nc r="H156">
      <v>0</v>
    </nc>
  </rcc>
  <rcc rId="4156" sId="8" numFmtId="4">
    <nc r="B157">
      <v>16</v>
    </nc>
  </rcc>
  <rcc rId="4157" sId="8" numFmtId="4">
    <nc r="C157">
      <v>69</v>
    </nc>
  </rcc>
  <rcc rId="4158" sId="8" numFmtId="4">
    <nc r="D157">
      <v>11</v>
    </nc>
  </rcc>
  <rcc rId="4159" sId="8" numFmtId="4">
    <nc r="E157">
      <v>8</v>
    </nc>
  </rcc>
  <rcc rId="4160" sId="8" numFmtId="4">
    <nc r="F157">
      <v>7</v>
    </nc>
  </rcc>
  <rcc rId="4161" sId="8" numFmtId="4">
    <nc r="G157">
      <v>7</v>
    </nc>
  </rcc>
  <rcc rId="4162" sId="8" numFmtId="4">
    <nc r="H157">
      <v>0</v>
    </nc>
  </rcc>
</revisions>
</file>

<file path=xl/revisions/revisionLog69.xml><?xml version="1.0" encoding="utf-8"?>
<revisions xmlns="http://schemas.openxmlformats.org/spreadsheetml/2006/main" xmlns:r="http://schemas.openxmlformats.org/officeDocument/2006/relationships">
  <rcc rId="4163" sId="2" numFmtId="4">
    <nc r="E165">
      <v>96</v>
    </nc>
  </rcc>
  <rcc rId="4164" sId="2" numFmtId="4">
    <nc r="F165">
      <v>58</v>
    </nc>
  </rcc>
  <rcc rId="4165" sId="2" numFmtId="4">
    <nc r="G165">
      <v>0</v>
    </nc>
  </rcc>
  <rcc rId="4166" sId="2" numFmtId="4">
    <nc r="B166">
      <v>9</v>
    </nc>
  </rcc>
  <rcc rId="4167" sId="2" numFmtId="4">
    <nc r="C166">
      <v>11</v>
    </nc>
  </rcc>
  <rcc rId="4168" sId="2" numFmtId="4">
    <nc r="D166">
      <v>8</v>
    </nc>
  </rcc>
  <rcc rId="4169" sId="2" numFmtId="4">
    <nc r="E166">
      <v>101</v>
    </nc>
  </rcc>
  <rcc rId="4170" sId="2" numFmtId="4">
    <nc r="F166">
      <v>48</v>
    </nc>
  </rcc>
  <rcc rId="4171" sId="2" numFmtId="4">
    <nc r="G166">
      <v>0</v>
    </nc>
  </rcc>
  <rcc rId="4172" sId="2" numFmtId="4">
    <nc r="B167">
      <v>9</v>
    </nc>
  </rcc>
  <rcc rId="4173" sId="2" numFmtId="4">
    <nc r="C167">
      <v>11</v>
    </nc>
  </rcc>
  <rcc rId="4174" sId="2" numFmtId="4">
    <nc r="D167">
      <v>7</v>
    </nc>
  </rcc>
  <rcc rId="4175" sId="2" numFmtId="4">
    <nc r="E167">
      <v>112</v>
    </nc>
  </rcc>
  <rcc rId="4176" sId="2" numFmtId="4">
    <nc r="F167">
      <v>56</v>
    </nc>
  </rcc>
  <rcc rId="4177" sId="2" numFmtId="4">
    <nc r="G167">
      <v>0</v>
    </nc>
  </rcc>
  <rcc rId="4178" sId="2" numFmtId="4">
    <nc r="B168">
      <v>9</v>
    </nc>
  </rcc>
  <rcc rId="4179" sId="2" numFmtId="4">
    <nc r="C168">
      <v>11</v>
    </nc>
  </rcc>
  <rcc rId="4180" sId="2" numFmtId="4">
    <nc r="D168">
      <v>6</v>
    </nc>
  </rcc>
  <rcc rId="4181" sId="2" numFmtId="4">
    <nc r="E168">
      <v>100</v>
    </nc>
  </rcc>
  <rcc rId="4182" sId="2" numFmtId="4">
    <nc r="F168">
      <v>59</v>
    </nc>
  </rcc>
  <rcc rId="4183" sId="2" numFmtId="4">
    <nc r="G168">
      <v>0</v>
    </nc>
  </rcc>
  <rcc rId="4184" sId="2" numFmtId="4">
    <nc r="B169">
      <v>9</v>
    </nc>
  </rcc>
  <rcc rId="4185" sId="2" numFmtId="4">
    <nc r="C169">
      <v>11</v>
    </nc>
  </rcc>
  <rcc rId="4186" sId="2" numFmtId="4">
    <nc r="D169">
      <v>5</v>
    </nc>
  </rcc>
  <rcc rId="4187" sId="2" numFmtId="4">
    <nc r="E169">
      <v>98</v>
    </nc>
  </rcc>
  <rcc rId="4188" sId="2" numFmtId="4">
    <nc r="F169">
      <v>30</v>
    </nc>
  </rcc>
  <rcc rId="4189" sId="2" numFmtId="4">
    <nc r="G169">
      <v>0</v>
    </nc>
  </rcc>
  <rcc rId="4190" sId="2" numFmtId="4">
    <nc r="B170">
      <v>9</v>
    </nc>
  </rcc>
  <rcc rId="4191" sId="2" numFmtId="4">
    <nc r="C170">
      <v>22</v>
    </nc>
  </rcc>
  <rcc rId="4192" sId="2" numFmtId="4">
    <nc r="D170">
      <v>6</v>
    </nc>
  </rcc>
  <rcc rId="4193" sId="2" numFmtId="4">
    <nc r="E170">
      <v>40</v>
    </nc>
  </rcc>
  <rcc rId="4194" sId="2" numFmtId="4">
    <nc r="F170">
      <v>62</v>
    </nc>
  </rcc>
  <rcc rId="4195" sId="2" numFmtId="4">
    <nc r="G170">
      <v>3</v>
    </nc>
  </rcc>
  <rcc rId="4196" sId="5" numFmtId="4">
    <nc r="B332">
      <v>11</v>
    </nc>
  </rcc>
  <rcc rId="4197" sId="5" numFmtId="4">
    <nc r="C332">
      <v>57</v>
    </nc>
  </rcc>
  <rcc rId="4198" sId="5" numFmtId="4">
    <nc r="D332">
      <v>10</v>
    </nc>
  </rcc>
  <rcc rId="4199" sId="5" numFmtId="4">
    <nc r="E332">
      <v>4</v>
    </nc>
  </rcc>
  <rcc rId="4200" sId="5" numFmtId="4">
    <nc r="F332">
      <v>1</v>
    </nc>
  </rcc>
  <rcc rId="4201" sId="5" numFmtId="4">
    <nc r="G332">
      <v>1</v>
    </nc>
  </rcc>
  <rcc rId="4202" sId="5" numFmtId="4">
    <nc r="B333">
      <v>11</v>
    </nc>
  </rcc>
  <rcc rId="4203" sId="5" numFmtId="4">
    <nc r="C333">
      <v>57</v>
    </nc>
  </rcc>
  <rcc rId="4204" sId="5" numFmtId="4">
    <nc r="D333">
      <v>11</v>
    </nc>
  </rcc>
  <rcc rId="4205" sId="5" numFmtId="4">
    <nc r="E333">
      <v>6</v>
    </nc>
  </rcc>
  <rcc rId="4206" sId="5" numFmtId="4">
    <nc r="F333">
      <v>2</v>
    </nc>
  </rcc>
  <rcc rId="4207" sId="5" numFmtId="4">
    <nc r="G333">
      <v>0</v>
    </nc>
  </rcc>
  <rcc rId="4208" sId="5" numFmtId="4">
    <nc r="B334">
      <v>11</v>
    </nc>
  </rcc>
  <rcc rId="4209" sId="5" numFmtId="4">
    <nc r="C334">
      <v>55</v>
    </nc>
  </rcc>
  <rcc rId="4210" sId="5" numFmtId="4">
    <nc r="D334">
      <v>10</v>
    </nc>
  </rcc>
  <rcc rId="4211" sId="5" numFmtId="4">
    <nc r="E334">
      <v>11</v>
    </nc>
  </rcc>
  <rcc rId="4212" sId="5" numFmtId="4">
    <nc r="F334">
      <v>1</v>
    </nc>
  </rcc>
  <rcc rId="4213" sId="5" numFmtId="4">
    <nc r="G334">
      <v>2</v>
    </nc>
  </rcc>
  <rcc rId="4214" sId="5" numFmtId="4">
    <nc r="B335">
      <v>11</v>
    </nc>
  </rcc>
  <rcc rId="4215" sId="5" numFmtId="4">
    <nc r="C335">
      <v>55</v>
    </nc>
  </rcc>
  <rcc rId="4216" sId="5" numFmtId="4">
    <nc r="D335">
      <v>9</v>
    </nc>
  </rcc>
  <rcc rId="4217" sId="5" numFmtId="4">
    <nc r="E335">
      <v>13</v>
    </nc>
  </rcc>
  <rcc rId="4218" sId="5" numFmtId="4">
    <nc r="F335">
      <v>3</v>
    </nc>
  </rcc>
  <rcc rId="4219" sId="5" numFmtId="4">
    <nc r="G335">
      <v>2</v>
    </nc>
  </rcc>
  <rcc rId="4220" sId="5" numFmtId="4">
    <nc r="B336">
      <v>11</v>
    </nc>
  </rcc>
  <rcc rId="4221" sId="5" numFmtId="4">
    <nc r="C336">
      <v>55</v>
    </nc>
  </rcc>
  <rcc rId="4222" sId="5" numFmtId="4">
    <nc r="D336">
      <v>8</v>
    </nc>
  </rcc>
  <rcc rId="4223" sId="5" numFmtId="4">
    <nc r="E336">
      <v>10</v>
    </nc>
  </rcc>
  <rcc rId="4224" sId="5" numFmtId="4">
    <nc r="F336">
      <v>0</v>
    </nc>
  </rcc>
  <rcc rId="4225" sId="5" numFmtId="4">
    <nc r="G336">
      <v>0</v>
    </nc>
  </rcc>
  <rcc rId="4226" sId="5" numFmtId="4">
    <nc r="B337">
      <v>11</v>
    </nc>
  </rcc>
  <rcc rId="4227" sId="5" numFmtId="4">
    <nc r="C337">
      <v>55</v>
    </nc>
  </rcc>
  <rcc rId="4228" sId="5" numFmtId="4">
    <nc r="D337">
      <v>7</v>
    </nc>
  </rcc>
  <rcc rId="4229" sId="5" numFmtId="4">
    <nc r="E337">
      <v>11</v>
    </nc>
  </rcc>
  <rcc rId="4230" sId="5" numFmtId="4">
    <nc r="F337">
      <v>1</v>
    </nc>
  </rcc>
  <rcc rId="4231" sId="5" numFmtId="4">
    <nc r="G337">
      <v>0</v>
    </nc>
  </rcc>
  <rcc rId="4232" sId="5" numFmtId="4">
    <nc r="B338">
      <v>11</v>
    </nc>
  </rcc>
  <rcc rId="4233" sId="5" numFmtId="4">
    <nc r="C338">
      <v>55</v>
    </nc>
  </rcc>
  <rcc rId="4234" sId="5" numFmtId="4">
    <nc r="D338">
      <v>6</v>
    </nc>
  </rcc>
  <rcc rId="4235" sId="5" numFmtId="4">
    <nc r="E338">
      <v>12</v>
    </nc>
  </rcc>
  <rcc rId="4236" sId="5" numFmtId="4">
    <nc r="F338">
      <v>0</v>
    </nc>
  </rcc>
  <rcc rId="4237" sId="5" numFmtId="4">
    <nc r="G338">
      <v>0</v>
    </nc>
  </rcc>
</revisions>
</file>

<file path=xl/revisions/revisionLog70.xml><?xml version="1.0" encoding="utf-8"?>
<revisions xmlns="http://schemas.openxmlformats.org/spreadsheetml/2006/main" xmlns:r="http://schemas.openxmlformats.org/officeDocument/2006/relationships">
  <rcc rId="4238" sId="8" numFmtId="4">
    <nc r="B158">
      <v>16</v>
    </nc>
  </rcc>
  <rcc rId="4239" sId="8" numFmtId="4">
    <nc r="C158">
      <v>74</v>
    </nc>
  </rcc>
  <rcc rId="4240" sId="8" numFmtId="4">
    <nc r="D158">
      <v>11</v>
    </nc>
  </rcc>
  <rcc rId="4241" sId="8" numFmtId="4">
    <nc r="E158">
      <v>6</v>
    </nc>
  </rcc>
  <rcc rId="4242" sId="8" numFmtId="4">
    <nc r="F158">
      <v>10</v>
    </nc>
  </rcc>
  <rcc rId="4243" sId="8" numFmtId="4">
    <nc r="G158">
      <v>1</v>
    </nc>
  </rcc>
  <rcc rId="4244" sId="8" numFmtId="4">
    <nc r="H158">
      <v>0</v>
    </nc>
  </rcc>
  <rcc rId="4245" sId="8" numFmtId="4">
    <nc r="B159">
      <v>16</v>
    </nc>
  </rcc>
  <rcc rId="4246" sId="8" numFmtId="4">
    <nc r="C159">
      <v>74</v>
    </nc>
  </rcc>
  <rcc rId="4247" sId="8" numFmtId="4">
    <nc r="D159">
      <v>10</v>
    </nc>
  </rcc>
  <rcc rId="4248" sId="8" numFmtId="4">
    <nc r="E159">
      <v>8</v>
    </nc>
  </rcc>
  <rcc rId="4249" sId="8" numFmtId="4">
    <nc r="F159">
      <v>0</v>
    </nc>
  </rcc>
  <rcc rId="4250" sId="8" numFmtId="4">
    <nc r="G159">
      <v>1</v>
    </nc>
  </rcc>
  <rcc rId="4251" sId="8" numFmtId="4">
    <nc r="H159">
      <v>0</v>
    </nc>
  </rcc>
  <rcc rId="4252" sId="11" numFmtId="4">
    <nc r="B41">
      <v>20</v>
    </nc>
  </rcc>
  <rcc rId="4253" sId="11" numFmtId="4">
    <nc r="C41">
      <v>96</v>
    </nc>
  </rcc>
  <rcc rId="4254" sId="11" numFmtId="4">
    <nc r="D41">
      <v>8</v>
    </nc>
  </rcc>
  <rcc rId="4255" sId="11" numFmtId="4">
    <nc r="E41">
      <v>0</v>
    </nc>
  </rcc>
  <rcc rId="4256" sId="11" numFmtId="4">
    <nc r="F41">
      <v>1</v>
    </nc>
  </rcc>
  <rcc rId="4257" sId="11" numFmtId="4">
    <nc r="G41">
      <v>2</v>
    </nc>
  </rcc>
  <rcc rId="4258" sId="11" numFmtId="4">
    <nc r="H41">
      <v>0</v>
    </nc>
  </rcc>
</revisions>
</file>

<file path=xl/revisions/revisionLog71.xml><?xml version="1.0" encoding="utf-8"?>
<revisions xmlns="http://schemas.openxmlformats.org/spreadsheetml/2006/main" xmlns:r="http://schemas.openxmlformats.org/officeDocument/2006/relationships">
  <rcc rId="4259" sId="5" numFmtId="4">
    <nc r="B339">
      <v>11</v>
    </nc>
  </rcc>
  <rcc rId="4260" sId="5" numFmtId="4">
    <nc r="C339">
      <v>41</v>
    </nc>
  </rcc>
  <rcc rId="4261" sId="5" numFmtId="4">
    <nc r="D339">
      <v>7</v>
    </nc>
  </rcc>
  <rcc rId="4262" sId="5" numFmtId="4">
    <nc r="E339">
      <v>26</v>
    </nc>
  </rcc>
  <rcc rId="4263" sId="5" numFmtId="4">
    <nc r="F339">
      <v>10</v>
    </nc>
  </rcc>
  <rcc rId="4264" sId="5" numFmtId="4">
    <nc r="G339">
      <v>8</v>
    </nc>
  </rcc>
  <rcc rId="4265" sId="5" numFmtId="4">
    <nc r="B340">
      <v>11</v>
    </nc>
  </rcc>
  <rcc rId="4266" sId="5" numFmtId="4">
    <nc r="C340">
      <v>50</v>
    </nc>
  </rcc>
  <rcc rId="4267" sId="5" numFmtId="4">
    <nc r="D340">
      <v>8</v>
    </nc>
  </rcc>
  <rcc rId="4268" sId="5" numFmtId="4">
    <nc r="E340">
      <v>15</v>
    </nc>
  </rcc>
  <rcc rId="4269" sId="5" numFmtId="4">
    <nc r="F340">
      <v>3</v>
    </nc>
  </rcc>
  <rcc rId="4270" sId="5" numFmtId="4">
    <nc r="G340">
      <v>4</v>
    </nc>
  </rcc>
  <rcc rId="4271" sId="5" numFmtId="4">
    <nc r="B341">
      <v>11</v>
    </nc>
  </rcc>
  <rcc rId="4272" sId="5" numFmtId="4">
    <nc r="C341">
      <v>50</v>
    </nc>
  </rcc>
  <rcc rId="4273" sId="5" numFmtId="4">
    <nc r="D341">
      <v>9</v>
    </nc>
  </rcc>
  <rcc rId="4274" sId="5" numFmtId="4">
    <nc r="E341">
      <v>18</v>
    </nc>
  </rcc>
  <rcc rId="4275" sId="5" numFmtId="4">
    <nc r="F341">
      <v>5</v>
    </nc>
  </rcc>
  <rcc rId="4276" sId="5" numFmtId="4">
    <nc r="G341">
      <v>3</v>
    </nc>
  </rcc>
  <rcc rId="4277" sId="5" numFmtId="4">
    <nc r="B342">
      <v>11</v>
    </nc>
  </rcc>
  <rcc rId="4278" sId="5" numFmtId="4">
    <nc r="C342">
      <v>50</v>
    </nc>
  </rcc>
  <rcc rId="4279" sId="5" numFmtId="4">
    <nc r="D342">
      <v>7</v>
    </nc>
  </rcc>
  <rcc rId="4280" sId="5" numFmtId="4">
    <nc r="E342">
      <v>16</v>
    </nc>
  </rcc>
  <rcc rId="4281" sId="5" numFmtId="4">
    <nc r="F342">
      <v>1</v>
    </nc>
  </rcc>
  <rcc rId="4282" sId="5" numFmtId="4">
    <nc r="G342">
      <v>6</v>
    </nc>
  </rcc>
  <rcc rId="4283" sId="5" numFmtId="4">
    <nc r="B343">
      <v>11</v>
    </nc>
  </rcc>
  <rcc rId="4284" sId="5" numFmtId="4">
    <nc r="C343">
      <v>38</v>
    </nc>
  </rcc>
  <rcc rId="4285" sId="5" numFmtId="4">
    <nc r="D343">
      <v>8</v>
    </nc>
  </rcc>
  <rcc rId="4286" sId="5" numFmtId="4">
    <nc r="E343">
      <v>6</v>
    </nc>
  </rcc>
  <rcc rId="4287" sId="5" numFmtId="4">
    <nc r="F343">
      <v>2</v>
    </nc>
  </rcc>
  <rcc rId="4288" sId="5" numFmtId="4">
    <nc r="G343">
      <v>0</v>
    </nc>
  </rcc>
  <rcc rId="4289" sId="5" numFmtId="4">
    <nc r="B344">
      <v>11</v>
    </nc>
  </rcc>
  <rcc rId="4290" sId="5" numFmtId="4">
    <nc r="C344">
      <v>38</v>
    </nc>
  </rcc>
  <rcc rId="4291" sId="5" numFmtId="4">
    <nc r="D344">
      <v>9</v>
    </nc>
  </rcc>
  <rcc rId="4292" sId="5" numFmtId="4">
    <nc r="E344">
      <v>7</v>
    </nc>
  </rcc>
  <rcc rId="4293" sId="5" numFmtId="4">
    <nc r="F344">
      <v>3</v>
    </nc>
  </rcc>
  <rcc rId="4294" sId="5" numFmtId="4">
    <nc r="G344">
      <v>0</v>
    </nc>
  </rcc>
  <rcc rId="4295" sId="5" numFmtId="4">
    <nc r="B345">
      <v>11</v>
    </nc>
  </rcc>
  <rcc rId="4296" sId="5" numFmtId="4">
    <nc r="C345">
      <v>38</v>
    </nc>
  </rcc>
  <rcc rId="4297" sId="5" numFmtId="4">
    <nc r="D345">
      <v>10</v>
    </nc>
  </rcc>
  <rcc rId="4298" sId="5" numFmtId="4">
    <nc r="E345">
      <v>4</v>
    </nc>
  </rcc>
  <rcc rId="4299" sId="5" numFmtId="4">
    <nc r="F345">
      <v>1</v>
    </nc>
  </rcc>
  <rcc rId="4300" sId="5" numFmtId="4">
    <nc r="G345">
      <v>0</v>
    </nc>
  </rcc>
  <rcc rId="4301" sId="2" numFmtId="4">
    <nc r="B171">
      <v>9</v>
    </nc>
  </rcc>
  <rcc rId="4302" sId="2" numFmtId="4">
    <nc r="C171">
      <v>20</v>
    </nc>
  </rcc>
  <rcc rId="4303" sId="2" numFmtId="4">
    <nc r="D171">
      <v>10</v>
    </nc>
  </rcc>
  <rcc rId="4304" sId="2" numFmtId="4">
    <nc r="E171">
      <v>8</v>
    </nc>
  </rcc>
  <rcc rId="4305" sId="2" numFmtId="4">
    <nc r="F171">
      <v>12</v>
    </nc>
  </rcc>
  <rcc rId="4306" sId="2" numFmtId="4">
    <nc r="G171">
      <v>3</v>
    </nc>
  </rcc>
  <rcc rId="4307" sId="2" numFmtId="4">
    <nc r="B172">
      <v>9</v>
    </nc>
  </rcc>
  <rcc rId="4308" sId="2" numFmtId="4">
    <nc r="C172">
      <v>20</v>
    </nc>
  </rcc>
  <rcc rId="4309" sId="2" numFmtId="4">
    <nc r="D172">
      <v>11</v>
    </nc>
  </rcc>
  <rcc rId="4310" sId="2" numFmtId="4">
    <nc r="E172">
      <v>7</v>
    </nc>
  </rcc>
  <rcc rId="4311" sId="2" numFmtId="4">
    <nc r="F172">
      <v>13</v>
    </nc>
  </rcc>
  <rcc rId="4312" sId="2" numFmtId="4">
    <nc r="G172">
      <v>2</v>
    </nc>
  </rcc>
  <rcc rId="4313" sId="2" numFmtId="4">
    <nc r="B173">
      <v>9</v>
    </nc>
  </rcc>
  <rcc rId="4314" sId="2" numFmtId="4">
    <nc r="C173">
      <v>18</v>
    </nc>
  </rcc>
  <rcc rId="4315" sId="2" numFmtId="4">
    <nc r="D173">
      <v>9</v>
    </nc>
  </rcc>
  <rcc rId="4316" sId="2" numFmtId="4">
    <nc r="E173">
      <v>11</v>
    </nc>
  </rcc>
  <rcc rId="4317" sId="2" numFmtId="4">
    <nc r="F173">
      <v>20</v>
    </nc>
  </rcc>
  <rcc rId="4318" sId="2" numFmtId="4">
    <nc r="G173">
      <v>0</v>
    </nc>
  </rcc>
  <rcc rId="4319" sId="2" numFmtId="4">
    <nc r="B174">
      <v>9</v>
    </nc>
  </rcc>
</revisions>
</file>

<file path=xl/revisions/revisionLog72.xml><?xml version="1.0" encoding="utf-8"?>
<revisions xmlns="http://schemas.openxmlformats.org/spreadsheetml/2006/main" xmlns:r="http://schemas.openxmlformats.org/officeDocument/2006/relationships">
  <rcc rId="4320" sId="2" numFmtId="4">
    <nc r="C174">
      <v>18</v>
    </nc>
  </rcc>
  <rcc rId="4321" sId="2" numFmtId="4">
    <nc r="D174">
      <v>10</v>
    </nc>
  </rcc>
  <rcc rId="4322" sId="2" numFmtId="4">
    <nc r="E174">
      <v>7</v>
    </nc>
  </rcc>
  <rcc rId="4323" sId="2" numFmtId="4">
    <nc r="F174">
      <v>21</v>
    </nc>
  </rcc>
  <rcc rId="4324" sId="2" numFmtId="4">
    <nc r="G174">
      <v>2</v>
    </nc>
  </rcc>
  <rcc rId="4325" sId="2" numFmtId="4">
    <nc r="B175">
      <v>9</v>
    </nc>
  </rcc>
  <rcc rId="4326" sId="2" numFmtId="4">
    <nc r="C175">
      <v>18</v>
    </nc>
  </rcc>
  <rcc rId="4327" sId="2" numFmtId="4">
    <nc r="D175">
      <v>11</v>
    </nc>
  </rcc>
  <rcc rId="4328" sId="2" numFmtId="4">
    <nc r="E175">
      <v>7</v>
    </nc>
  </rcc>
  <rcc rId="4329" sId="2" numFmtId="4">
    <nc r="F175">
      <v>18</v>
    </nc>
  </rcc>
  <rcc rId="4330" sId="2" numFmtId="4">
    <nc r="G175">
      <v>2</v>
    </nc>
  </rcc>
  <rcc rId="4331" sId="2" numFmtId="4">
    <nc r="B176">
      <v>9</v>
    </nc>
  </rcc>
  <rcc rId="4332" sId="2" numFmtId="4">
    <nc r="C176">
      <v>6</v>
    </nc>
  </rcc>
  <rcc rId="4333" sId="2" numFmtId="4">
    <nc r="D176">
      <v>10</v>
    </nc>
  </rcc>
  <rcc rId="4334" sId="2" numFmtId="4">
    <nc r="E176">
      <v>16</v>
    </nc>
  </rcc>
  <rcc rId="4335" sId="2" numFmtId="4">
    <nc r="F176">
      <v>15</v>
    </nc>
  </rcc>
  <rcc rId="4336" sId="2" numFmtId="4">
    <nc r="G176">
      <v>0</v>
    </nc>
  </rcc>
  <rcc rId="4337" sId="2" numFmtId="4">
    <nc r="B177">
      <v>9</v>
    </nc>
  </rcc>
  <rcc rId="4338" sId="2" numFmtId="4">
    <nc r="C177">
      <v>6</v>
    </nc>
  </rcc>
  <rcc rId="4339" sId="2" numFmtId="4">
    <nc r="D177">
      <v>11</v>
    </nc>
  </rcc>
  <rcc rId="4340" sId="2" numFmtId="4">
    <nc r="E177">
      <v>9</v>
    </nc>
  </rcc>
  <rcc rId="4341" sId="2" numFmtId="4">
    <nc r="F177">
      <v>7</v>
    </nc>
  </rcc>
  <rcc rId="4342" sId="2" numFmtId="4">
    <nc r="G177">
      <v>0</v>
    </nc>
  </rcc>
  <rcc rId="4343" sId="5" numFmtId="4">
    <nc r="B346">
      <v>11</v>
    </nc>
  </rcc>
  <rcc rId="4344" sId="5" numFmtId="4">
    <nc r="C346">
      <v>51</v>
    </nc>
  </rcc>
  <rcc rId="4345" sId="5" numFmtId="4">
    <nc r="D346">
      <v>10</v>
    </nc>
  </rcc>
  <rcc rId="4346" sId="5" numFmtId="4">
    <nc r="E346">
      <v>12</v>
    </nc>
  </rcc>
  <rcc rId="4347" sId="5" numFmtId="4">
    <nc r="F346">
      <v>0</v>
    </nc>
  </rcc>
  <rcc rId="4348" sId="5" numFmtId="4">
    <nc r="G346">
      <v>0</v>
    </nc>
  </rcc>
  <rcc rId="4349" sId="5" numFmtId="4">
    <nc r="B347">
      <v>11</v>
    </nc>
  </rcc>
  <rcc rId="4350" sId="5" numFmtId="4">
    <nc r="C347">
      <v>51</v>
    </nc>
  </rcc>
  <rcc rId="4351" sId="5" numFmtId="4">
    <nc r="D347">
      <v>9</v>
    </nc>
  </rcc>
  <rcc rId="4352" sId="5" numFmtId="4">
    <nc r="E347">
      <v>13</v>
    </nc>
  </rcc>
  <rcc rId="4353" sId="5" numFmtId="4">
    <nc r="F347">
      <v>0</v>
    </nc>
  </rcc>
  <rcc rId="4354" sId="5" numFmtId="4">
    <nc r="G347">
      <v>0</v>
    </nc>
  </rcc>
  <rcc rId="4355" sId="5" numFmtId="4">
    <nc r="B348">
      <v>11</v>
    </nc>
  </rcc>
  <rcc rId="4356" sId="5" numFmtId="4">
    <nc r="C348">
      <v>51</v>
    </nc>
  </rcc>
  <rcc rId="4357" sId="5" numFmtId="4">
    <nc r="D348">
      <v>8</v>
    </nc>
  </rcc>
  <rcc rId="4358" sId="5" numFmtId="4">
    <nc r="E348">
      <v>3</v>
    </nc>
  </rcc>
  <rcc rId="4359" sId="5" numFmtId="4">
    <nc r="F348">
      <v>0</v>
    </nc>
  </rcc>
  <rcc rId="4360" sId="5" numFmtId="4">
    <nc r="G348">
      <v>0</v>
    </nc>
  </rcc>
  <rcc rId="4361" sId="5" numFmtId="4">
    <nc r="B349">
      <v>11</v>
    </nc>
  </rcc>
  <rcc rId="4362" sId="5" numFmtId="4">
    <nc r="C349">
      <v>58</v>
    </nc>
  </rcc>
  <rcc rId="4363" sId="5" numFmtId="4">
    <nc r="D349">
      <v>8</v>
    </nc>
  </rcc>
  <rcc rId="4364" sId="5" numFmtId="4">
    <nc r="E349">
      <v>11</v>
    </nc>
  </rcc>
  <rcc rId="4365" sId="5" numFmtId="4">
    <nc r="F349">
      <v>10</v>
    </nc>
  </rcc>
  <rcc rId="4366" sId="5" numFmtId="4">
    <nc r="G349">
      <v>3</v>
    </nc>
  </rcc>
  <rcc rId="4367" sId="5" numFmtId="4">
    <nc r="B350">
      <v>11</v>
    </nc>
  </rcc>
  <rcc rId="4368" sId="5" numFmtId="4">
    <nc r="C350">
      <v>58</v>
    </nc>
  </rcc>
  <rcc rId="4369" sId="5" numFmtId="4">
    <nc r="D350">
      <v>9</v>
    </nc>
  </rcc>
  <rcc rId="4370" sId="5" numFmtId="4">
    <nc r="E350">
      <v>14</v>
    </nc>
  </rcc>
  <rcc rId="4371" sId="5" numFmtId="4">
    <nc r="F350">
      <v>6</v>
    </nc>
  </rcc>
  <rcc rId="4372" sId="5" numFmtId="4">
    <nc r="G350">
      <v>3</v>
    </nc>
  </rcc>
  <rcc rId="4373" sId="5" numFmtId="4">
    <nc r="B351">
      <v>11</v>
    </nc>
  </rcc>
  <rcc rId="4374" sId="5" numFmtId="4">
    <nc r="C351">
      <v>35</v>
    </nc>
  </rcc>
  <rcc rId="4375" sId="5" numFmtId="4">
    <nc r="D351">
      <v>8</v>
    </nc>
  </rcc>
  <rcc rId="4376" sId="5" numFmtId="4">
    <nc r="E351">
      <v>19</v>
    </nc>
  </rcc>
  <rcc rId="4377" sId="5" numFmtId="4">
    <nc r="F351">
      <v>0</v>
    </nc>
  </rcc>
  <rcc rId="4378" sId="5" numFmtId="4">
    <nc r="G351">
      <v>0</v>
    </nc>
  </rcc>
  <rcc rId="4379" sId="5" numFmtId="4">
    <nc r="B352">
      <v>11</v>
    </nc>
  </rcc>
  <rcc rId="4380" sId="5" numFmtId="4">
    <nc r="C352">
      <v>35</v>
    </nc>
  </rcc>
  <rcc rId="4381" sId="5" numFmtId="4">
    <nc r="D352">
      <v>9</v>
    </nc>
  </rcc>
  <rcc rId="4382" sId="5" numFmtId="4">
    <nc r="E352">
      <v>20</v>
    </nc>
  </rcc>
  <rcc rId="4383" sId="5" numFmtId="4">
    <nc r="F352">
      <v>1</v>
    </nc>
  </rcc>
  <rcc rId="4384" sId="5" numFmtId="4">
    <nc r="G352">
      <v>0</v>
    </nc>
  </rcc>
  <rcc rId="4385" sId="5" numFmtId="4">
    <nc r="B353">
      <v>11</v>
    </nc>
  </rcc>
  <rcc rId="4386" sId="5" numFmtId="4">
    <nc r="C353">
      <v>35</v>
    </nc>
  </rcc>
  <rcc rId="4387" sId="5" numFmtId="4">
    <nc r="D353">
      <v>10</v>
    </nc>
  </rcc>
  <rcc rId="4388" sId="5" numFmtId="4">
    <nc r="E353">
      <v>22</v>
    </nc>
  </rcc>
  <rcc rId="4389" sId="5" numFmtId="4">
    <nc r="F353">
      <v>0</v>
    </nc>
  </rcc>
  <rcc rId="4390" sId="5" numFmtId="4">
    <nc r="G353">
      <v>0</v>
    </nc>
  </rcc>
  <rcc rId="4391" sId="5" numFmtId="4">
    <nc r="B354">
      <v>11</v>
    </nc>
  </rcc>
  <rcc rId="4392" sId="5" numFmtId="4">
    <nc r="C354">
      <v>35</v>
    </nc>
  </rcc>
  <rcc rId="4393" sId="5" numFmtId="4">
    <nc r="D354">
      <v>11</v>
    </nc>
  </rcc>
  <rcc rId="4394" sId="5" numFmtId="4">
    <nc r="E354">
      <v>25</v>
    </nc>
  </rcc>
  <rcc rId="4395" sId="5" numFmtId="4">
    <nc r="F354">
      <v>0</v>
    </nc>
  </rcc>
  <rcc rId="4396" sId="5" numFmtId="4">
    <nc r="G354">
      <v>0</v>
    </nc>
  </rcc>
  <rcc rId="4397" sId="5" numFmtId="4">
    <nc r="B355">
      <v>11</v>
    </nc>
  </rcc>
  <rcc rId="4398" sId="5" numFmtId="4">
    <nc r="C355">
      <v>34</v>
    </nc>
  </rcc>
  <rcc rId="4399" sId="5" numFmtId="4">
    <nc r="D355">
      <v>7</v>
    </nc>
  </rcc>
  <rcc rId="4400" sId="5" numFmtId="4">
    <nc r="E355">
      <v>25</v>
    </nc>
  </rcc>
  <rcc rId="4401" sId="5" numFmtId="4">
    <nc r="F355">
      <v>6</v>
    </nc>
  </rcc>
  <rcc rId="4402" sId="5" numFmtId="4">
    <nc r="G355">
      <v>6</v>
    </nc>
  </rcc>
  <rcc rId="4403" sId="5" numFmtId="4">
    <nc r="B356">
      <v>11</v>
    </nc>
  </rcc>
  <rcc rId="4404" sId="5" numFmtId="4">
    <nc r="C356">
      <v>34</v>
    </nc>
  </rcc>
  <rcc rId="4405" sId="5" numFmtId="4">
    <nc r="D356">
      <v>8</v>
    </nc>
  </rcc>
  <rcc rId="4406" sId="5" numFmtId="4">
    <nc r="E356">
      <v>19</v>
    </nc>
  </rcc>
  <rcc rId="4407" sId="5" numFmtId="4">
    <nc r="F356">
      <v>0</v>
    </nc>
  </rcc>
  <rcc rId="4408" sId="5" numFmtId="4">
    <nc r="G356">
      <v>8</v>
    </nc>
  </rcc>
  <rcc rId="4409" sId="5" numFmtId="4">
    <nc r="B357">
      <v>11</v>
    </nc>
  </rcc>
  <rcc rId="4410" sId="5" numFmtId="4">
    <nc r="C357">
      <v>34</v>
    </nc>
  </rcc>
  <rcc rId="4411" sId="5" numFmtId="4">
    <nc r="D357">
      <v>9</v>
    </nc>
  </rcc>
  <rcc rId="4412" sId="5" numFmtId="4">
    <nc r="E357">
      <v>23</v>
    </nc>
  </rcc>
  <rcc rId="4413" sId="5" numFmtId="4">
    <nc r="F357">
      <v>2</v>
    </nc>
  </rcc>
  <rcc rId="4414" sId="5" numFmtId="4">
    <nc r="G357">
      <v>4</v>
    </nc>
  </rcc>
  <rcc rId="4415" sId="5" numFmtId="4">
    <nc r="B358">
      <v>11</v>
    </nc>
  </rcc>
  <rcc rId="4416" sId="5" numFmtId="4">
    <nc r="C358">
      <v>44</v>
    </nc>
  </rcc>
  <rcc rId="4417" sId="5" numFmtId="4">
    <nc r="D358">
      <v>11</v>
    </nc>
  </rcc>
  <rcc rId="4418" sId="5" numFmtId="4">
    <nc r="E358">
      <v>21</v>
    </nc>
  </rcc>
  <rcc rId="4419" sId="5" numFmtId="4">
    <nc r="F358">
      <v>16</v>
    </nc>
  </rcc>
  <rcc rId="4420" sId="5" numFmtId="4">
    <nc r="G358">
      <v>5</v>
    </nc>
  </rcc>
  <rcc rId="4421" sId="5" numFmtId="4">
    <nc r="B359">
      <v>11</v>
    </nc>
  </rcc>
  <rcc rId="4422" sId="5" numFmtId="4">
    <nc r="C359">
      <v>32</v>
    </nc>
  </rcc>
  <rcc rId="4423" sId="5" numFmtId="4">
    <nc r="D359">
      <v>8</v>
    </nc>
  </rcc>
  <rcc rId="4424" sId="5" numFmtId="4">
    <nc r="E359">
      <v>16</v>
    </nc>
  </rcc>
  <rcc rId="4425" sId="5" numFmtId="4">
    <nc r="F359">
      <v>3</v>
    </nc>
  </rcc>
  <rcc rId="4426" sId="5" numFmtId="4">
    <nc r="G359">
      <v>0</v>
    </nc>
  </rcc>
  <rcc rId="4427" sId="5" numFmtId="4">
    <nc r="B360">
      <v>11</v>
    </nc>
  </rcc>
  <rcc rId="4428" sId="5" numFmtId="4">
    <nc r="C360">
      <v>32</v>
    </nc>
  </rcc>
  <rcc rId="4429" sId="5" numFmtId="4">
    <nc r="D360">
      <v>9</v>
    </nc>
  </rcc>
  <rcc rId="4430" sId="5" numFmtId="4">
    <nc r="E360">
      <v>22</v>
    </nc>
  </rcc>
  <rcc rId="4431" sId="5" numFmtId="4">
    <nc r="F360">
      <v>0</v>
    </nc>
  </rcc>
  <rcc rId="4432" sId="5" numFmtId="4">
    <nc r="G360">
      <v>2</v>
    </nc>
  </rcc>
  <rcc rId="4433" sId="5" numFmtId="4">
    <nc r="B361">
      <v>11</v>
    </nc>
  </rcc>
  <rcc rId="4434" sId="5" numFmtId="4">
    <nc r="C361">
      <v>32</v>
    </nc>
  </rcc>
  <rcc rId="4435" sId="5" numFmtId="4">
    <nc r="D361">
      <v>10</v>
    </nc>
  </rcc>
  <rcc rId="4436" sId="5" numFmtId="4">
    <nc r="E361">
      <v>18</v>
    </nc>
  </rcc>
  <rcc rId="4437" sId="5" numFmtId="4">
    <nc r="F361">
      <v>0</v>
    </nc>
  </rcc>
  <rcc rId="4438" sId="5" numFmtId="4">
    <nc r="G361">
      <v>2</v>
    </nc>
  </rcc>
  <rcc rId="4439" sId="5" numFmtId="4">
    <nc r="B362">
      <v>11</v>
    </nc>
  </rcc>
  <rcc rId="4440" sId="5" numFmtId="4">
    <nc r="C362">
      <v>32</v>
    </nc>
  </rcc>
  <rcc rId="4441" sId="5" numFmtId="4">
    <nc r="D362">
      <v>11</v>
    </nc>
  </rcc>
  <rcc rId="4442" sId="5" numFmtId="4">
    <nc r="E362">
      <v>10</v>
    </nc>
  </rcc>
  <rcc rId="4443" sId="5" numFmtId="4">
    <nc r="F362">
      <v>0</v>
    </nc>
  </rcc>
  <rcc rId="4444" sId="5" numFmtId="4">
    <nc r="G362">
      <v>0</v>
    </nc>
  </rcc>
  <rcc rId="4445" sId="5" numFmtId="4">
    <nc r="B363">
      <v>11</v>
    </nc>
  </rcc>
  <rcc rId="4446" sId="5" numFmtId="4">
    <nc r="C363">
      <v>34</v>
    </nc>
  </rcc>
  <rcc rId="4447" sId="5" numFmtId="4">
    <nc r="D363">
      <v>10</v>
    </nc>
  </rcc>
  <rcc rId="4448" sId="5" numFmtId="4">
    <nc r="E363">
      <v>27</v>
    </nc>
  </rcc>
  <rcc rId="4449" sId="5" numFmtId="4">
    <nc r="F363">
      <v>2</v>
    </nc>
  </rcc>
  <rcc rId="4450" sId="5" numFmtId="4">
    <nc r="G363">
      <v>6</v>
    </nc>
  </rcc>
  <rcc rId="4451" sId="2" numFmtId="4">
    <nc r="B178">
      <v>9</v>
    </nc>
  </rcc>
  <rcc rId="4452" sId="2" numFmtId="4">
    <nc r="C178">
      <v>15</v>
    </nc>
  </rcc>
  <rcc rId="4453" sId="2" numFmtId="4">
    <nc r="D178">
      <v>7</v>
    </nc>
  </rcc>
  <rcc rId="4454" sId="2" numFmtId="4">
    <nc r="E178">
      <v>15</v>
    </nc>
  </rcc>
  <rcc rId="4455" sId="2" numFmtId="4">
    <nc r="F178">
      <v>21</v>
    </nc>
  </rcc>
  <rcc rId="4456" sId="2" numFmtId="4">
    <nc r="G178">
      <v>0</v>
    </nc>
  </rcc>
  <rcc rId="4457" sId="2" numFmtId="4">
    <nc r="B179">
      <v>9</v>
    </nc>
  </rcc>
  <rcc rId="4458" sId="2" numFmtId="4">
    <nc r="C179">
      <v>15</v>
    </nc>
  </rcc>
  <rcc rId="4459" sId="2" numFmtId="4">
    <nc r="D179">
      <v>8</v>
    </nc>
  </rcc>
  <rcc rId="4460" sId="2" numFmtId="4">
    <nc r="E179">
      <v>8</v>
    </nc>
  </rcc>
  <rcc rId="4461" sId="2" numFmtId="4">
    <nc r="F179">
      <v>9</v>
    </nc>
  </rcc>
  <rcc rId="4462" sId="2" numFmtId="4">
    <nc r="G179">
      <v>0</v>
    </nc>
  </rcc>
</revisions>
</file>

<file path=xl/revisions/revisionLog73.xml><?xml version="1.0" encoding="utf-8"?>
<revisions xmlns="http://schemas.openxmlformats.org/spreadsheetml/2006/main" xmlns:r="http://schemas.openxmlformats.org/officeDocument/2006/relationships">
  <rcc rId="4463" sId="8" numFmtId="4">
    <nc r="B160">
      <v>16</v>
    </nc>
  </rcc>
  <rcc rId="4464" sId="8" numFmtId="4">
    <nc r="C160">
      <v>76</v>
    </nc>
  </rcc>
  <rcc rId="4465" sId="8" numFmtId="4">
    <nc r="D160">
      <v>9</v>
    </nc>
  </rcc>
  <rcc rId="4466" sId="8" numFmtId="4">
    <nc r="E160">
      <v>6</v>
    </nc>
  </rcc>
  <rcc rId="4467" sId="8" numFmtId="4">
    <nc r="F160">
      <v>3</v>
    </nc>
  </rcc>
  <rcc rId="4468" sId="8" numFmtId="4">
    <nc r="G160">
      <v>4</v>
    </nc>
  </rcc>
  <rcc rId="4469" sId="8" numFmtId="4">
    <nc r="H160">
      <v>0</v>
    </nc>
  </rcc>
  <rcc rId="4470" sId="8" numFmtId="4">
    <nc r="B161">
      <v>16</v>
    </nc>
  </rcc>
  <rcc rId="4471" sId="8" numFmtId="4">
    <nc r="C161">
      <v>76</v>
    </nc>
  </rcc>
  <rcc rId="4472" sId="8" numFmtId="4">
    <nc r="D161">
      <v>10</v>
    </nc>
  </rcc>
  <rcc rId="4473" sId="8" numFmtId="4">
    <nc r="E161">
      <v>4</v>
    </nc>
  </rcc>
  <rcc rId="4474" sId="8" numFmtId="4">
    <nc r="F161">
      <v>2</v>
    </nc>
  </rcc>
  <rcc rId="4475" sId="8" numFmtId="4">
    <nc r="G161">
      <v>5</v>
    </nc>
  </rcc>
  <rcc rId="4476" sId="8" numFmtId="4">
    <nc r="H161">
      <v>0</v>
    </nc>
  </rcc>
</revisions>
</file>

<file path=xl/revisions/revisionLog74.xml><?xml version="1.0" encoding="utf-8"?>
<revisions xmlns="http://schemas.openxmlformats.org/spreadsheetml/2006/main" xmlns:r="http://schemas.openxmlformats.org/officeDocument/2006/relationships">
  <rcc rId="4477" sId="5" numFmtId="4">
    <nc r="B364">
      <v>11</v>
    </nc>
  </rcc>
  <rcc rId="4478" sId="5" numFmtId="4">
    <nc r="C364">
      <v>24</v>
    </nc>
  </rcc>
  <rcc rId="4479" sId="5" numFmtId="4">
    <nc r="D364">
      <v>11</v>
    </nc>
  </rcc>
  <rcc rId="4480" sId="5" numFmtId="4">
    <nc r="E364">
      <v>16</v>
    </nc>
  </rcc>
  <rcc rId="4481" sId="5" numFmtId="4">
    <nc r="F364">
      <v>2</v>
    </nc>
  </rcc>
  <rcc rId="4482" sId="5" numFmtId="4">
    <nc r="G364">
      <v>2</v>
    </nc>
  </rcc>
  <rcc rId="4483" sId="5" numFmtId="4">
    <nc r="B365">
      <v>11</v>
    </nc>
  </rcc>
  <rcc rId="4484" sId="5" numFmtId="4">
    <nc r="C365">
      <v>24</v>
    </nc>
  </rcc>
  <rcc rId="4485" sId="5" numFmtId="4">
    <nc r="D365">
      <v>10</v>
    </nc>
  </rcc>
  <rcc rId="4486" sId="5" numFmtId="4">
    <nc r="E365">
      <v>14</v>
    </nc>
  </rcc>
  <rcc rId="4487" sId="5" numFmtId="4">
    <nc r="F365">
      <v>4</v>
    </nc>
  </rcc>
  <rcc rId="4488" sId="5" numFmtId="4">
    <nc r="G365">
      <v>1</v>
    </nc>
  </rcc>
  <rcc rId="4489" sId="5" numFmtId="4">
    <nc r="B366">
      <v>11</v>
    </nc>
  </rcc>
  <rcc rId="4490" sId="5" numFmtId="4">
    <nc r="C366">
      <v>24</v>
    </nc>
  </rcc>
  <rcc rId="4491" sId="5" numFmtId="4">
    <nc r="D366">
      <v>9</v>
    </nc>
  </rcc>
  <rcc rId="4492" sId="5" numFmtId="4">
    <nc r="E366">
      <v>15</v>
    </nc>
  </rcc>
  <rcc rId="4493" sId="5" numFmtId="4">
    <nc r="F366">
      <v>5</v>
    </nc>
  </rcc>
  <rcc rId="4494" sId="5" numFmtId="4">
    <nc r="G366">
      <v>1</v>
    </nc>
  </rcc>
  <rcc rId="4495" sId="5" numFmtId="4">
    <nc r="B367">
      <v>11</v>
    </nc>
  </rcc>
  <rcc rId="4496" sId="5" numFmtId="4">
    <nc r="C367">
      <v>24</v>
    </nc>
  </rcc>
  <rcc rId="4497" sId="5" numFmtId="4">
    <nc r="D367">
      <v>8</v>
    </nc>
  </rcc>
  <rcc rId="4498" sId="5" numFmtId="4">
    <nc r="E367">
      <v>14</v>
    </nc>
  </rcc>
  <rcc rId="4499" sId="5" numFmtId="4">
    <nc r="F367">
      <v>1</v>
    </nc>
  </rcc>
  <rcc rId="4500" sId="5" numFmtId="4">
    <nc r="G367">
      <v>1</v>
    </nc>
  </rcc>
  <rcc rId="4501" sId="5" numFmtId="4">
    <nc r="B368">
      <v>11</v>
    </nc>
  </rcc>
  <rcc rId="4502" sId="5" numFmtId="4">
    <nc r="C368">
      <v>24</v>
    </nc>
  </rcc>
  <rcc rId="4503" sId="5" numFmtId="4">
    <nc r="D368">
      <v>7</v>
    </nc>
  </rcc>
  <rcc rId="4504" sId="5" numFmtId="4">
    <nc r="E368">
      <v>16</v>
    </nc>
  </rcc>
  <rcc rId="4505" sId="5" numFmtId="4">
    <nc r="F368">
      <v>2</v>
    </nc>
  </rcc>
  <rcc rId="4506" sId="5" numFmtId="4">
    <nc r="G368">
      <v>0</v>
    </nc>
  </rcc>
  <rcc rId="4507" sId="5" numFmtId="4">
    <nc r="B369">
      <v>11</v>
    </nc>
  </rcc>
  <rcc rId="4508" sId="5" numFmtId="4">
    <nc r="C369">
      <v>24</v>
    </nc>
  </rcc>
  <rcc rId="4509" sId="5" numFmtId="4">
    <nc r="D369">
      <v>6</v>
    </nc>
  </rcc>
  <rcc rId="4510" sId="5" numFmtId="4">
    <nc r="E369">
      <v>18</v>
    </nc>
  </rcc>
</revisions>
</file>

<file path=xl/revisions/revisionLog75.xml><?xml version="1.0" encoding="utf-8"?>
<revisions xmlns="http://schemas.openxmlformats.org/spreadsheetml/2006/main" xmlns:r="http://schemas.openxmlformats.org/officeDocument/2006/relationships">
  <rcc rId="4511" sId="8" numFmtId="4">
    <nc r="B162">
      <v>16</v>
    </nc>
  </rcc>
</revisions>
</file>

<file path=xl/revisions/revisionLog76.xml><?xml version="1.0" encoding="utf-8"?>
<revisions xmlns="http://schemas.openxmlformats.org/spreadsheetml/2006/main" xmlns:r="http://schemas.openxmlformats.org/officeDocument/2006/relationships">
  <rcc rId="4512" sId="5" numFmtId="4">
    <nc r="F369">
      <v>1</v>
    </nc>
  </rcc>
  <rcc rId="4513" sId="5" numFmtId="4">
    <nc r="G369">
      <v>3</v>
    </nc>
  </rcc>
  <rcc rId="4514" sId="5" numFmtId="4">
    <nc r="B370">
      <v>11</v>
    </nc>
  </rcc>
  <rcc rId="4515" sId="5" numFmtId="4">
    <nc r="C370">
      <v>24</v>
    </nc>
  </rcc>
  <rcc rId="4516" sId="5" numFmtId="4">
    <nc r="D370">
      <v>5</v>
    </nc>
  </rcc>
  <rcc rId="4517" sId="5" numFmtId="4">
    <nc r="E370">
      <v>20</v>
    </nc>
  </rcc>
  <rcc rId="4518" sId="5" numFmtId="4">
    <nc r="F370">
      <v>1</v>
    </nc>
  </rcc>
  <rcc rId="4519" sId="5" numFmtId="4">
    <nc r="G370">
      <v>1</v>
    </nc>
  </rcc>
  <rcc rId="4520" sId="5" numFmtId="4">
    <nc r="B371">
      <v>11</v>
    </nc>
  </rcc>
  <rcc rId="4521" sId="5" numFmtId="4">
    <nc r="C371">
      <v>37</v>
    </nc>
  </rcc>
  <rcc rId="4522" sId="5" numFmtId="4">
    <nc r="D371">
      <v>6</v>
    </nc>
  </rcc>
  <rcc rId="4523" sId="5" numFmtId="4">
    <nc r="E371">
      <v>25</v>
    </nc>
  </rcc>
  <rcc rId="4524" sId="5" numFmtId="4">
    <nc r="F371">
      <v>15</v>
    </nc>
  </rcc>
  <rcc rId="4525" sId="5" numFmtId="4">
    <nc r="G371">
      <v>2</v>
    </nc>
  </rcc>
  <rcc rId="4526" sId="5" numFmtId="4">
    <nc r="B372">
      <v>11</v>
    </nc>
  </rcc>
  <rcc rId="4527" sId="5" numFmtId="4">
    <nc r="C372">
      <v>45</v>
    </nc>
  </rcc>
  <rcc rId="4528" sId="5" numFmtId="4">
    <nc r="D372">
      <v>11</v>
    </nc>
  </rcc>
  <rcc rId="4529" sId="5" numFmtId="4">
    <nc r="E372">
      <v>14</v>
    </nc>
  </rcc>
  <rcc rId="4530" sId="5" numFmtId="4">
    <nc r="F372">
      <v>25</v>
    </nc>
  </rcc>
  <rcc rId="4531" sId="5" numFmtId="4">
    <nc r="G372">
      <v>6</v>
    </nc>
  </rcc>
  <rcc rId="4532" sId="5" numFmtId="4">
    <nc r="B373">
      <v>11</v>
    </nc>
  </rcc>
  <rcc rId="4533" sId="5" numFmtId="4">
    <nc r="C373">
      <v>39</v>
    </nc>
  </rcc>
  <rcc rId="4534" sId="5" numFmtId="4">
    <nc r="D373">
      <v>9</v>
    </nc>
  </rcc>
  <rcc rId="4535" sId="5" numFmtId="4">
    <nc r="E373">
      <v>12</v>
    </nc>
  </rcc>
  <rcc rId="4536" sId="5" numFmtId="4">
    <nc r="F373">
      <v>5</v>
    </nc>
  </rcc>
  <rcc rId="4537" sId="5" numFmtId="4">
    <nc r="G373">
      <v>8</v>
    </nc>
  </rcc>
  <rcc rId="4538" sId="5" numFmtId="4">
    <nc r="B374">
      <v>11</v>
    </nc>
  </rcc>
  <rcc rId="4539" sId="5" numFmtId="4">
    <nc r="C374">
      <v>39</v>
    </nc>
  </rcc>
  <rcc rId="4540" sId="5" numFmtId="4">
    <nc r="D374">
      <v>10</v>
    </nc>
  </rcc>
  <rcc rId="4541" sId="5" numFmtId="4">
    <nc r="E374">
      <v>5</v>
    </nc>
  </rcc>
  <rcc rId="4542" sId="5" numFmtId="4">
    <nc r="F374">
      <v>6</v>
    </nc>
  </rcc>
  <rcc rId="4543" sId="5" numFmtId="4">
    <nc r="G374">
      <v>14</v>
    </nc>
  </rcc>
  <rcc rId="4544" sId="5" numFmtId="4">
    <nc r="B375">
      <v>11</v>
    </nc>
  </rcc>
  <rcc rId="4545" sId="5" numFmtId="4">
    <nc r="C375">
      <v>39</v>
    </nc>
  </rcc>
  <rcc rId="4546" sId="5" numFmtId="4">
    <nc r="D375">
      <v>11</v>
    </nc>
  </rcc>
  <rcc rId="4547" sId="5" numFmtId="4">
    <nc r="E375">
      <v>10</v>
    </nc>
  </rcc>
  <rcc rId="4548" sId="5" numFmtId="4">
    <nc r="F375">
      <v>7</v>
    </nc>
  </rcc>
  <rcc rId="4549" sId="5" numFmtId="4">
    <nc r="G375">
      <v>8</v>
    </nc>
  </rcc>
  <rcc rId="4550" sId="2" numFmtId="4">
    <nc r="B180">
      <v>9</v>
    </nc>
  </rcc>
  <rcc rId="4551" sId="2" numFmtId="4">
    <nc r="C180">
      <v>1</v>
    </nc>
  </rcc>
  <rcc rId="4552" sId="2" numFmtId="4">
    <nc r="D180">
      <v>8</v>
    </nc>
  </rcc>
  <rcc rId="4553" sId="2" numFmtId="4">
    <nc r="E180">
      <v>10</v>
    </nc>
  </rcc>
  <rcc rId="4554" sId="2" numFmtId="4">
    <nc r="F180">
      <v>15</v>
    </nc>
  </rcc>
  <rcc rId="4555" sId="2" numFmtId="4">
    <nc r="G180">
      <v>0</v>
    </nc>
  </rcc>
  <rcc rId="4556" sId="2" numFmtId="4">
    <nc r="B181">
      <v>9</v>
    </nc>
  </rcc>
  <rcc rId="4557" sId="2" numFmtId="4">
    <nc r="C181">
      <v>1</v>
    </nc>
  </rcc>
  <rcc rId="4558" sId="2" numFmtId="4">
    <nc r="D181">
      <v>9</v>
    </nc>
  </rcc>
  <rcc rId="4559" sId="2" numFmtId="4">
    <nc r="E181">
      <v>30</v>
    </nc>
  </rcc>
  <rcc rId="4560" sId="2" numFmtId="4">
    <nc r="F181">
      <v>25</v>
    </nc>
  </rcc>
  <rcc rId="4561" sId="2" numFmtId="4">
    <nc r="G181">
      <v>0</v>
    </nc>
  </rcc>
  <rcc rId="4562" sId="2" numFmtId="4">
    <nc r="B182">
      <v>9</v>
    </nc>
  </rcc>
  <rcc rId="4563" sId="2" numFmtId="4">
    <nc r="C182">
      <v>1</v>
    </nc>
  </rcc>
  <rcc rId="4564" sId="2" numFmtId="4">
    <nc r="D182">
      <v>10</v>
    </nc>
  </rcc>
  <rcc rId="4565" sId="2" numFmtId="4">
    <nc r="E182">
      <v>40</v>
    </nc>
  </rcc>
  <rcc rId="4566" sId="2" numFmtId="4">
    <nc r="F182">
      <v>60</v>
    </nc>
  </rcc>
</revisions>
</file>

<file path=xl/revisions/revisionLog77.xml><?xml version="1.0" encoding="utf-8"?>
<revisions xmlns="http://schemas.openxmlformats.org/spreadsheetml/2006/main" xmlns:r="http://schemas.openxmlformats.org/officeDocument/2006/relationships">
  <rcc rId="4567" sId="8" numFmtId="4">
    <nc r="C162">
      <v>80</v>
    </nc>
  </rcc>
  <rcc rId="4568" sId="8" numFmtId="4">
    <nc r="D162">
      <v>8</v>
    </nc>
  </rcc>
  <rcc rId="4569" sId="8" numFmtId="4">
    <nc r="E162">
      <v>8</v>
    </nc>
  </rcc>
  <rcc rId="4570" sId="8" numFmtId="4">
    <nc r="F162">
      <v>2</v>
    </nc>
  </rcc>
  <rcc rId="4571" sId="8" numFmtId="4">
    <nc r="G162">
      <v>0</v>
    </nc>
  </rcc>
  <rcc rId="4572" sId="8" numFmtId="4">
    <nc r="H162">
      <v>2</v>
    </nc>
  </rcc>
  <rcc rId="4573" sId="8" numFmtId="4">
    <nc r="B163">
      <v>16</v>
    </nc>
  </rcc>
  <rcc rId="4574" sId="8" numFmtId="4">
    <nc r="C163">
      <v>80</v>
    </nc>
  </rcc>
  <rcc rId="4575" sId="8" numFmtId="4">
    <nc r="D163">
      <v>9</v>
    </nc>
  </rcc>
  <rcc rId="4576" sId="8" numFmtId="4">
    <nc r="E163">
      <v>10</v>
    </nc>
  </rcc>
  <rcc rId="4577" sId="8" numFmtId="4">
    <nc r="F163">
      <v>2</v>
    </nc>
  </rcc>
  <rcc rId="4578" sId="8" numFmtId="4">
    <nc r="G163">
      <v>6</v>
    </nc>
  </rcc>
  <rcc rId="4579" sId="8" numFmtId="4">
    <nc r="H163">
      <v>2</v>
    </nc>
  </rcc>
  <rcc rId="4580" sId="8" numFmtId="4">
    <nc r="B164">
      <v>16</v>
    </nc>
  </rcc>
  <rcc rId="4581" sId="8" numFmtId="4">
    <nc r="C164">
      <v>77</v>
    </nc>
  </rcc>
  <rcc rId="4582" sId="8" numFmtId="4">
    <nc r="D164">
      <v>10</v>
    </nc>
  </rcc>
  <rcc rId="4583" sId="8" numFmtId="4">
    <nc r="E164">
      <v>7</v>
    </nc>
  </rcc>
  <rcc rId="4584" sId="8" numFmtId="4">
    <nc r="F164">
      <v>1</v>
    </nc>
  </rcc>
  <rcc rId="4585" sId="8" numFmtId="4">
    <nc r="G164">
      <v>13</v>
    </nc>
  </rcc>
  <rcc rId="4586" sId="8" numFmtId="4">
    <nc r="H164">
      <v>0</v>
    </nc>
  </rcc>
  <rcc rId="4587" sId="8" numFmtId="4">
    <nc r="B165">
      <v>16</v>
    </nc>
  </rcc>
  <rcc rId="4588" sId="8" numFmtId="4">
    <nc r="C165">
      <v>77</v>
    </nc>
  </rcc>
  <rcc rId="4589" sId="8" numFmtId="4">
    <nc r="D165">
      <v>11</v>
    </nc>
  </rcc>
  <rcc rId="4590" sId="8" numFmtId="4">
    <nc r="E165">
      <v>9</v>
    </nc>
  </rcc>
  <rcc rId="4591" sId="8" numFmtId="4">
    <nc r="F165">
      <v>0</v>
    </nc>
  </rcc>
  <rcc rId="4592" sId="8" numFmtId="4">
    <nc r="G165">
      <v>14</v>
    </nc>
  </rcc>
  <rcc rId="4593" sId="8" numFmtId="4">
    <nc r="H165">
      <v>1</v>
    </nc>
  </rcc>
  <rcc rId="4594" sId="8" numFmtId="4">
    <nc r="B166">
      <v>16</v>
    </nc>
  </rcc>
  <rcc rId="4595" sId="8" numFmtId="4">
    <nc r="C166">
      <v>65</v>
    </nc>
  </rcc>
  <rcc rId="4596" sId="8" numFmtId="4">
    <nc r="D166">
      <v>11</v>
    </nc>
  </rcc>
  <rcc rId="4597" sId="8" numFmtId="4">
    <nc r="E166">
      <v>1</v>
    </nc>
  </rcc>
  <rcc rId="4598" sId="8" numFmtId="4">
    <nc r="F166">
      <v>0</v>
    </nc>
  </rcc>
  <rcc rId="4599" sId="8" numFmtId="4">
    <nc r="G166">
      <v>1</v>
    </nc>
  </rcc>
  <rcc rId="4600" sId="8" numFmtId="4">
    <nc r="H166">
      <v>0</v>
    </nc>
  </rcc>
</revisions>
</file>

<file path=xl/revisions/revisionLog78.xml><?xml version="1.0" encoding="utf-8"?>
<revisions xmlns="http://schemas.openxmlformats.org/spreadsheetml/2006/main" xmlns:r="http://schemas.openxmlformats.org/officeDocument/2006/relationships">
  <rcc rId="4601" sId="8" numFmtId="4">
    <nc r="B167">
      <v>16</v>
    </nc>
  </rcc>
  <rcc rId="4602" sId="8" numFmtId="4">
    <nc r="C167">
      <v>81</v>
    </nc>
  </rcc>
  <rcc rId="4603" sId="8" numFmtId="4">
    <nc r="D167">
      <v>11</v>
    </nc>
  </rcc>
  <rcc rId="4604" sId="8" numFmtId="4">
    <nc r="E167">
      <v>8</v>
    </nc>
  </rcc>
  <rcc rId="4605" sId="8" numFmtId="4">
    <nc r="F167">
      <v>6</v>
    </nc>
  </rcc>
  <rcc rId="4606" sId="8" numFmtId="4">
    <nc r="G167">
      <v>12</v>
    </nc>
  </rcc>
  <rcc rId="4607" sId="8" numFmtId="4">
    <nc r="H167">
      <v>0</v>
    </nc>
  </rcc>
  <rcc rId="4608" sId="8" numFmtId="4">
    <nc r="B168">
      <v>16</v>
    </nc>
  </rcc>
  <rcc rId="4609" sId="8" numFmtId="4">
    <nc r="C168">
      <v>81</v>
    </nc>
  </rcc>
  <rcc rId="4610" sId="8" numFmtId="4">
    <nc r="D168">
      <v>10</v>
    </nc>
  </rcc>
  <rcc rId="4611" sId="8" numFmtId="4">
    <nc r="E168">
      <v>7</v>
    </nc>
  </rcc>
  <rcc rId="4612" sId="8" numFmtId="4">
    <nc r="F168">
      <v>5</v>
    </nc>
  </rcc>
  <rcc rId="4613" sId="8" numFmtId="4">
    <nc r="G168">
      <v>14</v>
    </nc>
  </rcc>
  <rcc rId="4614" sId="8" numFmtId="4">
    <nc r="H168">
      <v>1</v>
    </nc>
  </rcc>
  <rcc rId="4615" sId="8" numFmtId="4">
    <nc r="B169">
      <v>16</v>
    </nc>
  </rcc>
  <rcc rId="4616" sId="8" numFmtId="4">
    <nc r="C169">
      <v>78</v>
    </nc>
  </rcc>
  <rcc rId="4617" sId="8" numFmtId="4">
    <nc r="D169">
      <v>6</v>
    </nc>
  </rcc>
  <rcc rId="4618" sId="8" numFmtId="4">
    <nc r="E169">
      <v>15</v>
    </nc>
  </rcc>
  <rcc rId="4619" sId="8" numFmtId="4">
    <nc r="F169">
      <v>7</v>
    </nc>
  </rcc>
  <rcc rId="4620" sId="8" numFmtId="4">
    <nc r="G169">
      <v>3</v>
    </nc>
  </rcc>
  <rcc rId="4621" sId="8" numFmtId="4">
    <nc r="H169">
      <v>0</v>
    </nc>
  </rcc>
  <rcc rId="4622" sId="8" numFmtId="4">
    <nc r="B170">
      <v>16</v>
    </nc>
  </rcc>
  <rcc rId="4623" sId="8" numFmtId="4">
    <nc r="C170">
      <v>78</v>
    </nc>
  </rcc>
  <rcc rId="4624" sId="8" numFmtId="4">
    <nc r="D170">
      <v>11</v>
    </nc>
  </rcc>
  <rcc rId="4625" sId="8" numFmtId="4">
    <nc r="E170">
      <v>17</v>
    </nc>
  </rcc>
  <rcc rId="4626" sId="8" numFmtId="4">
    <nc r="F170">
      <v>16</v>
    </nc>
  </rcc>
  <rcc rId="4627" sId="8" numFmtId="4">
    <nc r="G170">
      <v>3</v>
    </nc>
  </rcc>
  <rcc rId="4628" sId="8" numFmtId="4">
    <nc r="H170">
      <v>0</v>
    </nc>
  </rcc>
  <rcc rId="4629" sId="8" numFmtId="4">
    <nc r="B171">
      <v>16</v>
    </nc>
  </rcc>
  <rcc rId="4630" sId="8" numFmtId="4">
    <nc r="C171">
      <v>78</v>
    </nc>
  </rcc>
  <rcc rId="4631" sId="8" numFmtId="4">
    <nc r="D171">
      <v>10</v>
    </nc>
  </rcc>
  <rcc rId="4632" sId="8" numFmtId="4">
    <nc r="E171">
      <v>10</v>
    </nc>
  </rcc>
  <rcc rId="4633" sId="8" numFmtId="4">
    <nc r="F171">
      <v>5</v>
    </nc>
  </rcc>
  <rcc rId="4634" sId="8" numFmtId="4">
    <nc r="G171">
      <v>6</v>
    </nc>
  </rcc>
  <rcc rId="4635" sId="8" numFmtId="4">
    <nc r="H171">
      <v>0</v>
    </nc>
  </rcc>
  <rcc rId="4636" sId="8" numFmtId="4">
    <nc r="B172">
      <v>16</v>
    </nc>
  </rcc>
  <rcc rId="4637" sId="8" numFmtId="4">
    <nc r="C172">
      <v>78</v>
    </nc>
  </rcc>
  <rcc rId="4638" sId="8" numFmtId="4">
    <nc r="D172">
      <v>9</v>
    </nc>
  </rcc>
  <rcc rId="4639" sId="8" numFmtId="4">
    <nc r="E172">
      <v>14</v>
    </nc>
  </rcc>
  <rcc rId="4640" sId="8" numFmtId="4">
    <nc r="F172">
      <v>5</v>
    </nc>
  </rcc>
  <rcc rId="4641" sId="8" numFmtId="4">
    <nc r="G172">
      <v>0</v>
    </nc>
  </rcc>
  <rcc rId="4642" sId="8" numFmtId="4">
    <nc r="H172">
      <v>0</v>
    </nc>
  </rcc>
  <rcc rId="4643" sId="8" numFmtId="4">
    <nc r="B173">
      <v>16</v>
    </nc>
  </rcc>
  <rcc rId="4644" sId="8" numFmtId="4">
    <nc r="C173">
      <v>78</v>
    </nc>
  </rcc>
  <rcc rId="4645" sId="8" numFmtId="4">
    <nc r="D173">
      <v>8</v>
    </nc>
  </rcc>
  <rcc rId="4646" sId="8" numFmtId="4">
    <nc r="E173">
      <v>12</v>
    </nc>
  </rcc>
  <rcc rId="4647" sId="8" numFmtId="4">
    <nc r="F173">
      <v>7</v>
    </nc>
  </rcc>
  <rcc rId="4648" sId="8" numFmtId="4">
    <nc r="G173">
      <v>6</v>
    </nc>
  </rcc>
  <rcc rId="4649" sId="8" numFmtId="4">
    <nc r="H173">
      <v>0</v>
    </nc>
  </rcc>
  <rcc rId="4650" sId="8" numFmtId="4">
    <nc r="B174">
      <v>16</v>
    </nc>
  </rcc>
  <rcc rId="4651" sId="8" numFmtId="4">
    <nc r="C174">
      <v>78</v>
    </nc>
  </rcc>
  <rcc rId="4652" sId="8" numFmtId="4">
    <nc r="D174">
      <v>7</v>
    </nc>
  </rcc>
  <rcc rId="4653" sId="8" numFmtId="4">
    <nc r="E174">
      <v>16</v>
    </nc>
  </rcc>
  <rcc rId="4654" sId="8" numFmtId="4">
    <nc r="F174">
      <v>8</v>
    </nc>
  </rcc>
  <rcc rId="4655" sId="8" numFmtId="4">
    <nc r="G174">
      <v>0</v>
    </nc>
  </rcc>
  <rcc rId="4656" sId="8" numFmtId="4">
    <nc r="H174">
      <v>0</v>
    </nc>
  </rcc>
</revisions>
</file>

<file path=xl/revisions/revisionLog79.xml><?xml version="1.0" encoding="utf-8"?>
<revisions xmlns="http://schemas.openxmlformats.org/spreadsheetml/2006/main" xmlns:r="http://schemas.openxmlformats.org/officeDocument/2006/relationships">
  <rcc rId="4657" sId="2" numFmtId="4">
    <nc r="G182">
      <v>0</v>
    </nc>
  </rcc>
  <rcc rId="4658" sId="2" numFmtId="4">
    <nc r="B183">
      <v>9</v>
    </nc>
  </rcc>
  <rcc rId="4659" sId="2" numFmtId="4">
    <nc r="C183">
      <v>9</v>
    </nc>
  </rcc>
  <rcc rId="4660" sId="2" numFmtId="4">
    <nc r="D183">
      <v>11</v>
    </nc>
  </rcc>
  <rcc rId="4661" sId="2" numFmtId="4">
    <nc r="E183">
      <v>7</v>
    </nc>
  </rcc>
  <rcc rId="4662" sId="2" numFmtId="4">
    <nc r="F183">
      <v>4</v>
    </nc>
  </rcc>
  <rcc rId="4663" sId="2" numFmtId="4">
    <nc r="G183">
      <v>0</v>
    </nc>
  </rcc>
  <rcc rId="4664" sId="2" numFmtId="4">
    <nc r="B184">
      <v>9</v>
    </nc>
  </rcc>
  <rcc rId="4665" sId="2" numFmtId="4">
    <nc r="C184">
      <v>9</v>
    </nc>
  </rcc>
  <rcc rId="4666" sId="2" numFmtId="4">
    <nc r="D184">
      <v>12</v>
    </nc>
  </rcc>
  <rcc rId="4667" sId="2" numFmtId="4">
    <nc r="E184">
      <v>12</v>
    </nc>
  </rcc>
  <rcc rId="4668" sId="2" numFmtId="4">
    <nc r="F184">
      <v>14</v>
    </nc>
  </rcc>
  <rcc rId="4669" sId="2" numFmtId="4">
    <nc r="G184">
      <v>0</v>
    </nc>
  </rcc>
  <rcc rId="4670" sId="2" numFmtId="4">
    <nc r="B185">
      <v>9</v>
    </nc>
  </rcc>
  <rcc rId="4671" sId="2" numFmtId="4">
    <nc r="C185">
      <v>9</v>
    </nc>
  </rcc>
  <rcc rId="4672" sId="2" numFmtId="4">
    <nc r="D185">
      <v>10</v>
    </nc>
  </rcc>
  <rcc rId="4673" sId="2" numFmtId="4">
    <nc r="E185">
      <v>4</v>
    </nc>
  </rcc>
  <rcc rId="4674" sId="2" numFmtId="4">
    <nc r="F185">
      <v>8</v>
    </nc>
  </rcc>
  <rcc rId="4675" sId="2" numFmtId="4">
    <nc r="G185">
      <v>0</v>
    </nc>
  </rcc>
  <rcc rId="4676" sId="5" numFmtId="4">
    <nc r="B376">
      <v>11</v>
    </nc>
  </rcc>
  <rcc rId="4677" sId="5" numFmtId="4">
    <nc r="C376">
      <v>26</v>
    </nc>
  </rcc>
  <rcc rId="4678" sId="5" numFmtId="4">
    <nc r="D376">
      <v>10</v>
    </nc>
  </rcc>
  <rcc rId="4679" sId="5" numFmtId="4">
    <nc r="E376">
      <v>12</v>
    </nc>
  </rcc>
  <rcc rId="4680" sId="5" numFmtId="4">
    <nc r="F376">
      <v>17</v>
    </nc>
  </rcc>
  <rcc rId="4681" sId="5" numFmtId="4">
    <nc r="G376">
      <v>5</v>
    </nc>
  </rcc>
  <rcc rId="4682" sId="5" numFmtId="4">
    <nc r="B377">
      <v>11</v>
    </nc>
  </rcc>
  <rcc rId="4683" sId="5" numFmtId="4">
    <nc r="C377">
      <v>26</v>
    </nc>
  </rcc>
  <rcc rId="4684" sId="5" numFmtId="4">
    <nc r="D377">
      <v>11</v>
    </nc>
  </rcc>
  <rcc rId="4685" sId="5" numFmtId="4">
    <nc r="E377">
      <v>15</v>
    </nc>
  </rcc>
  <rcc rId="4686" sId="5" numFmtId="4">
    <nc r="F377">
      <v>8</v>
    </nc>
  </rcc>
  <rcc rId="4687" sId="5" numFmtId="4">
    <nc r="G377">
      <v>3</v>
    </nc>
  </rcc>
  <rcc rId="4688" sId="5" numFmtId="4">
    <nc r="B378">
      <v>11</v>
    </nc>
  </rcc>
  <rcc rId="4689" sId="5" numFmtId="4">
    <nc r="C378">
      <v>26</v>
    </nc>
  </rcc>
  <rcc rId="4690" sId="5" numFmtId="4">
    <nc r="D378">
      <v>12</v>
    </nc>
  </rcc>
  <rcc rId="4691" sId="5" numFmtId="4">
    <nc r="E378">
      <v>11</v>
    </nc>
  </rcc>
  <rcc rId="4692" sId="5" numFmtId="4">
    <nc r="F378">
      <v>18</v>
    </nc>
  </rcc>
  <rcc rId="4693" sId="5" numFmtId="4">
    <nc r="G378">
      <v>4</v>
    </nc>
  </rcc>
  <rcc rId="4694" sId="5" numFmtId="4">
    <nc r="B379">
      <v>11</v>
    </nc>
  </rcc>
  <rcc rId="4695" sId="5" numFmtId="4">
    <nc r="C379">
      <v>43</v>
    </nc>
  </rcc>
  <rcc rId="4696" sId="5" numFmtId="4">
    <nc r="D379">
      <v>9</v>
    </nc>
  </rcc>
  <rcc rId="4697" sId="5" numFmtId="4">
    <nc r="E379">
      <v>4</v>
    </nc>
  </rcc>
  <rcc rId="4698" sId="5" numFmtId="4">
    <nc r="F379">
      <v>6</v>
    </nc>
  </rcc>
  <rcc rId="4699" sId="5" numFmtId="4">
    <nc r="G379">
      <v>7</v>
    </nc>
  </rcc>
  <rcc rId="4700" sId="5" numFmtId="4">
    <nc r="B380">
      <v>11</v>
    </nc>
  </rcc>
  <rcc rId="4701" sId="5" numFmtId="4">
    <nc r="C380">
      <v>43</v>
    </nc>
  </rcc>
  <rcc rId="4702" sId="5" numFmtId="4">
    <nc r="D380">
      <v>10</v>
    </nc>
  </rcc>
  <rcc rId="4703" sId="5" numFmtId="4">
    <nc r="E380">
      <v>25</v>
    </nc>
  </rcc>
  <rcc rId="4704" sId="5" numFmtId="4">
    <nc r="F380">
      <v>5</v>
    </nc>
  </rcc>
  <rcc rId="4705" sId="5" numFmtId="4">
    <nc r="G380">
      <v>4</v>
    </nc>
  </rcc>
  <rcc rId="4706" sId="5" numFmtId="4">
    <nc r="B381">
      <v>11</v>
    </nc>
  </rcc>
  <rcc rId="4707" sId="5" numFmtId="4">
    <nc r="C381">
      <v>41</v>
    </nc>
  </rcc>
  <rcc rId="4708" sId="5" numFmtId="4">
    <nc r="D381">
      <v>10</v>
    </nc>
  </rcc>
  <rcc rId="4709" sId="5" numFmtId="4">
    <nc r="E381">
      <v>18</v>
    </nc>
  </rcc>
  <rcc rId="4710" sId="5" numFmtId="4">
    <nc r="F381">
      <v>11</v>
    </nc>
  </rcc>
  <rcc rId="4711" sId="5" numFmtId="4">
    <nc r="G381">
      <v>6</v>
    </nc>
  </rcc>
  <rcc rId="4712" sId="5" numFmtId="4">
    <nc r="B382">
      <v>11</v>
    </nc>
  </rcc>
  <rcc rId="4713" sId="5" numFmtId="4">
    <nc r="C382">
      <v>41</v>
    </nc>
  </rcc>
  <rcc rId="4714" sId="5" numFmtId="4">
    <nc r="D382">
      <v>9</v>
    </nc>
  </rcc>
  <rcc rId="4715" sId="5" numFmtId="4">
    <nc r="E382">
      <v>19</v>
    </nc>
  </rcc>
  <rcc rId="4716" sId="5" numFmtId="4">
    <nc r="F382">
      <v>9</v>
    </nc>
  </rcc>
  <rcc rId="4717" sId="5" numFmtId="4">
    <nc r="G382">
      <v>7</v>
    </nc>
  </rcc>
  <rcc rId="4718" sId="5" numFmtId="4">
    <nc r="B383">
      <v>11</v>
    </nc>
  </rcc>
  <rcc rId="4719" sId="5" numFmtId="4">
    <nc r="C383">
      <v>41</v>
    </nc>
  </rcc>
  <rcc rId="4720" sId="5" numFmtId="4">
    <nc r="D383">
      <v>8</v>
    </nc>
  </rcc>
  <rcc rId="4721" sId="5" numFmtId="4">
    <nc r="E383">
      <v>23</v>
    </nc>
  </rcc>
  <rcc rId="4722" sId="5" numFmtId="4">
    <nc r="F383">
      <v>12</v>
    </nc>
  </rcc>
  <rcc rId="4723" sId="5" numFmtId="4">
    <nc r="G383">
      <v>6</v>
    </nc>
  </rcc>
  <rcc rId="4724" sId="5" numFmtId="4">
    <nc r="B384">
      <v>11</v>
    </nc>
  </rcc>
  <rcc rId="4725" sId="5" numFmtId="4">
    <nc r="C384">
      <v>45</v>
    </nc>
  </rcc>
  <rcc rId="4726" sId="5" numFmtId="4">
    <nc r="D384">
      <v>13</v>
    </nc>
  </rcc>
  <rcc rId="4727" sId="5" numFmtId="4">
    <nc r="E384">
      <v>10</v>
    </nc>
  </rcc>
  <rcc rId="4728" sId="5" numFmtId="4">
    <nc r="F384">
      <v>19</v>
    </nc>
  </rcc>
  <rcc rId="4729" sId="5" numFmtId="4">
    <nc r="G384">
      <v>4</v>
    </nc>
  </rcc>
  <rcc rId="4730" sId="5" numFmtId="4">
    <nc r="B385">
      <v>11</v>
    </nc>
  </rcc>
  <rcc rId="4731" sId="5" numFmtId="4">
    <nc r="C385">
      <v>45</v>
    </nc>
  </rcc>
  <rcc rId="4732" sId="5" numFmtId="4">
    <nc r="D385">
      <v>12</v>
    </nc>
  </rcc>
  <rcc rId="4733" sId="5" numFmtId="4">
    <nc r="E385">
      <v>2</v>
    </nc>
  </rcc>
  <rcc rId="4734" sId="5" numFmtId="4">
    <nc r="F385">
      <v>18</v>
    </nc>
  </rcc>
  <rcc rId="4735" sId="5" numFmtId="4">
    <nc r="G385">
      <v>2</v>
    </nc>
  </rcc>
  <rcc rId="4736" sId="5" numFmtId="4">
    <nc r="B386">
      <v>11</v>
    </nc>
  </rcc>
  <rcc rId="4737" sId="5" numFmtId="4">
    <nc r="C386">
      <v>44</v>
    </nc>
  </rcc>
  <rcc rId="4738" sId="5" numFmtId="4">
    <nc r="D386">
      <v>13</v>
    </nc>
  </rcc>
  <rcc rId="4739" sId="5" numFmtId="4">
    <nc r="E386">
      <v>4</v>
    </nc>
  </rcc>
  <rcc rId="4740" sId="5" numFmtId="4">
    <nc r="F386">
      <v>16</v>
    </nc>
  </rcc>
  <rcc rId="4741" sId="5" numFmtId="4">
    <nc r="G386">
      <v>4</v>
    </nc>
  </rcc>
  <rcc rId="4742" sId="5" numFmtId="4">
    <nc r="B387">
      <v>11</v>
    </nc>
  </rcc>
  <rcc rId="4743" sId="5" numFmtId="4">
    <nc r="C387">
      <v>44</v>
    </nc>
  </rcc>
  <rcc rId="4744" sId="5" numFmtId="4">
    <nc r="D387">
      <v>12</v>
    </nc>
  </rcc>
  <rcc rId="4745" sId="5" numFmtId="4">
    <nc r="E387">
      <v>4</v>
    </nc>
  </rcc>
  <rcc rId="4746" sId="5" numFmtId="4">
    <nc r="F387">
      <v>17</v>
    </nc>
  </rcc>
  <rcc rId="4747" sId="5" numFmtId="4">
    <nc r="G387">
      <v>3</v>
    </nc>
  </rcc>
</revisions>
</file>

<file path=xl/revisions/revisionLog80.xml><?xml version="1.0" encoding="utf-8"?>
<revisions xmlns="http://schemas.openxmlformats.org/spreadsheetml/2006/main" xmlns:r="http://schemas.openxmlformats.org/officeDocument/2006/relationships">
  <rcc rId="4748" sId="11" numFmtId="4">
    <nc r="B42">
      <v>20</v>
    </nc>
  </rcc>
  <rcc rId="4749" sId="11" numFmtId="4">
    <nc r="C42">
      <v>95</v>
    </nc>
  </rcc>
  <rcc rId="4750" sId="11" numFmtId="4">
    <nc r="D42">
      <v>8</v>
    </nc>
  </rcc>
  <rcc rId="4751" sId="11" numFmtId="4">
    <nc r="E42">
      <v>14</v>
    </nc>
  </rcc>
  <rcc rId="4752" sId="11" numFmtId="4">
    <nc r="F42">
      <v>11</v>
    </nc>
  </rcc>
  <rcc rId="4753" sId="11" numFmtId="4">
    <nc r="G42">
      <v>6</v>
    </nc>
  </rcc>
  <rcc rId="4754" sId="11" numFmtId="4">
    <nc r="H42">
      <v>1</v>
    </nc>
  </rcc>
  <rcc rId="4755" sId="11" numFmtId="4">
    <nc r="B43">
      <v>20</v>
    </nc>
  </rcc>
  <rcc rId="4756" sId="11" numFmtId="4">
    <nc r="C43">
      <v>97</v>
    </nc>
  </rcc>
  <rcc rId="4757" sId="11" numFmtId="4">
    <nc r="D43">
      <v>11</v>
    </nc>
  </rcc>
  <rcc rId="4758" sId="11" numFmtId="4">
    <nc r="E43">
      <v>23</v>
    </nc>
  </rcc>
  <rcc rId="4759" sId="11" numFmtId="4">
    <nc r="F43">
      <v>21</v>
    </nc>
  </rcc>
  <rcc rId="4760" sId="11" numFmtId="4">
    <nc r="G43">
      <v>18</v>
    </nc>
  </rcc>
  <rcc rId="4761" sId="11" numFmtId="4">
    <nc r="H43">
      <v>0</v>
    </nc>
  </rcc>
  <rcc rId="4762" sId="11" numFmtId="4">
    <nc r="B44">
      <v>20</v>
    </nc>
  </rcc>
  <rcc rId="4763" sId="11" numFmtId="4">
    <nc r="C44">
      <v>97</v>
    </nc>
  </rcc>
  <rcc rId="4764" sId="11" numFmtId="4">
    <nc r="D44">
      <v>12</v>
    </nc>
  </rcc>
  <rcc rId="4765" sId="11" numFmtId="4">
    <nc r="E44">
      <v>24</v>
    </nc>
  </rcc>
  <rcc rId="4766" sId="11" numFmtId="4">
    <nc r="F44">
      <v>18</v>
    </nc>
  </rcc>
  <rcc rId="4767" sId="11" numFmtId="4">
    <nc r="G44">
      <v>18</v>
    </nc>
  </rcc>
  <rcc rId="4768" sId="11" numFmtId="4">
    <nc r="H44">
      <v>0</v>
    </nc>
  </rcc>
  <rcc rId="4769" sId="11" numFmtId="4">
    <nc r="B45">
      <v>20</v>
    </nc>
  </rcc>
  <rcc rId="4770" sId="11" numFmtId="4">
    <nc r="C45">
      <v>96</v>
    </nc>
  </rcc>
  <rcc rId="4771" sId="11" numFmtId="4">
    <nc r="D45">
      <v>10</v>
    </nc>
  </rcc>
  <rcc rId="4772" sId="11" numFmtId="4">
    <nc r="E45">
      <v>0</v>
    </nc>
  </rcc>
  <rcc rId="4773" sId="11" numFmtId="4">
    <nc r="F45">
      <v>2</v>
    </nc>
  </rcc>
  <rcc rId="4774" sId="11" numFmtId="4">
    <nc r="G45">
      <v>3</v>
    </nc>
  </rcc>
  <rcc rId="4775" sId="11" numFmtId="4">
    <nc r="H45">
      <v>2</v>
    </nc>
  </rcc>
  <rcc rId="4776" sId="8" numFmtId="4">
    <nc r="B175">
      <v>16</v>
    </nc>
  </rcc>
  <rcc rId="4777" sId="8" numFmtId="4">
    <nc r="C175">
      <v>67</v>
    </nc>
  </rcc>
  <rcc rId="4778" sId="8" numFmtId="4">
    <nc r="D175">
      <v>8</v>
    </nc>
  </rcc>
  <rcc rId="4779" sId="8" numFmtId="4">
    <nc r="E175">
      <v>8</v>
    </nc>
  </rcc>
  <rcc rId="4780" sId="8" numFmtId="4">
    <nc r="F175">
      <v>2</v>
    </nc>
  </rcc>
  <rcc rId="4781" sId="8" numFmtId="4">
    <nc r="G175">
      <v>1</v>
    </nc>
  </rcc>
  <rcc rId="4782" sId="8" numFmtId="4">
    <nc r="H175">
      <v>0</v>
    </nc>
  </rcc>
  <rcc rId="4783" sId="8" numFmtId="4">
    <nc r="B176">
      <v>16</v>
    </nc>
  </rcc>
  <rcc rId="4784" sId="8" numFmtId="4">
    <nc r="C176">
      <v>67</v>
    </nc>
  </rcc>
  <rcc rId="4785" sId="8" numFmtId="4">
    <nc r="D176">
      <v>7</v>
    </nc>
  </rcc>
  <rcc rId="4786" sId="8" numFmtId="4">
    <nc r="E176">
      <v>4</v>
    </nc>
  </rcc>
  <rcc rId="4787" sId="8" numFmtId="4">
    <nc r="F176">
      <v>3</v>
    </nc>
  </rcc>
  <rcc rId="4788" sId="8" numFmtId="4">
    <nc r="G176">
      <v>0</v>
    </nc>
  </rcc>
  <rcc rId="4789" sId="8" numFmtId="4">
    <nc r="H176">
      <v>0</v>
    </nc>
  </rcc>
  <rcc rId="4790" sId="8" numFmtId="4">
    <nc r="B177">
      <v>16</v>
    </nc>
  </rcc>
  <rcc rId="4791" sId="8" numFmtId="4">
    <nc r="C177">
      <v>67</v>
    </nc>
  </rcc>
  <rcc rId="4792" sId="8" numFmtId="4">
    <nc r="D177">
      <v>9</v>
    </nc>
  </rcc>
  <rcc rId="4793" sId="8" numFmtId="4">
    <nc r="E177">
      <v>5</v>
    </nc>
  </rcc>
  <rcc rId="4794" sId="8" numFmtId="4">
    <nc r="F177">
      <v>4</v>
    </nc>
  </rcc>
  <rcc rId="4795" sId="8" numFmtId="4">
    <nc r="G177">
      <v>2</v>
    </nc>
  </rcc>
  <rcc rId="4796" sId="8" numFmtId="4">
    <nc r="H177">
      <v>0</v>
    </nc>
  </rcc>
  <rcc rId="4797" sId="8" numFmtId="4">
    <nc r="B178">
      <v>16</v>
    </nc>
  </rcc>
  <rcc rId="4798" sId="8" numFmtId="4">
    <nc r="C178">
      <v>67</v>
    </nc>
  </rcc>
  <rcc rId="4799" sId="8" numFmtId="4">
    <nc r="D178">
      <v>10</v>
    </nc>
  </rcc>
  <rcc rId="4800" sId="8" numFmtId="4">
    <nc r="E178">
      <v>3</v>
    </nc>
  </rcc>
  <rcc rId="4801" sId="8" numFmtId="4">
    <nc r="F178">
      <v>2</v>
    </nc>
  </rcc>
  <rcc rId="4802" sId="8" numFmtId="4">
    <nc r="G178">
      <v>1</v>
    </nc>
  </rcc>
  <rcc rId="4803" sId="8" numFmtId="4">
    <nc r="H178">
      <v>0</v>
    </nc>
  </rcc>
  <rcc rId="4804" sId="8" numFmtId="4">
    <nc r="B179">
      <v>16</v>
    </nc>
  </rcc>
  <rcc rId="4805" sId="8" numFmtId="4">
    <nc r="C179">
      <v>67</v>
    </nc>
  </rcc>
  <rcc rId="4806" sId="8" numFmtId="4">
    <nc r="D179">
      <v>11</v>
    </nc>
  </rcc>
  <rcc rId="4807" sId="8" numFmtId="4">
    <nc r="E179">
      <v>4</v>
    </nc>
  </rcc>
  <rcc rId="4808" sId="8" numFmtId="4">
    <nc r="F179">
      <v>3</v>
    </nc>
  </rcc>
  <rcc rId="4809" sId="8" numFmtId="4">
    <nc r="G179">
      <v>2</v>
    </nc>
  </rcc>
  <rcc rId="4810" sId="8" numFmtId="4">
    <nc r="H179">
      <v>0</v>
    </nc>
  </rcc>
</revisions>
</file>

<file path=xl/revisions/revisionLog81.xml><?xml version="1.0" encoding="utf-8"?>
<revisions xmlns="http://schemas.openxmlformats.org/spreadsheetml/2006/main" xmlns:r="http://schemas.openxmlformats.org/officeDocument/2006/relationships">
  <rcc rId="4811" sId="2" numFmtId="4">
    <nc r="B186">
      <v>9</v>
    </nc>
  </rcc>
  <rcc rId="4812" sId="2" numFmtId="4">
    <nc r="C186">
      <v>13</v>
    </nc>
  </rcc>
  <rcc rId="4813" sId="2" numFmtId="4">
    <nc r="D186">
      <v>12</v>
    </nc>
  </rcc>
  <rcc rId="4814" sId="2" numFmtId="4">
    <nc r="E186">
      <v>15</v>
    </nc>
  </rcc>
  <rcc rId="4815" sId="2" numFmtId="4">
    <nc r="F186">
      <v>9</v>
    </nc>
  </rcc>
  <rcc rId="4816" sId="2" numFmtId="4">
    <nc r="G186">
      <v>0</v>
    </nc>
  </rcc>
  <rcc rId="4817" sId="2" numFmtId="4">
    <nc r="B187">
      <v>9</v>
    </nc>
  </rcc>
  <rcc rId="4818" sId="2" numFmtId="4">
    <nc r="C187">
      <v>13</v>
    </nc>
  </rcc>
  <rcc rId="4819" sId="2" numFmtId="4">
    <nc r="D187">
      <v>13</v>
    </nc>
  </rcc>
  <rcc rId="4820" sId="2" numFmtId="4">
    <nc r="E187">
      <v>15</v>
    </nc>
  </rcc>
  <rcc rId="4821" sId="2" numFmtId="4">
    <nc r="F187">
      <v>6</v>
    </nc>
  </rcc>
  <rcc rId="4822" sId="2" numFmtId="4">
    <nc r="G187">
      <v>0</v>
    </nc>
  </rcc>
  <rcc rId="4823" sId="5" numFmtId="4">
    <nc r="B388">
      <v>11</v>
    </nc>
  </rcc>
  <rcc rId="4824" sId="5" numFmtId="4">
    <nc r="C388">
      <v>40</v>
    </nc>
  </rcc>
  <rcc rId="4825" sId="5" numFmtId="4">
    <nc r="D388">
      <v>10</v>
    </nc>
  </rcc>
  <rcc rId="4826" sId="5" numFmtId="4">
    <nc r="E388">
      <v>15</v>
    </nc>
  </rcc>
  <rcc rId="4827" sId="5" numFmtId="4">
    <nc r="F388">
      <v>4</v>
    </nc>
  </rcc>
  <rcc rId="4828" sId="5" numFmtId="4">
    <nc r="G388">
      <v>10</v>
    </nc>
  </rcc>
  <rcc rId="4829" sId="5" numFmtId="4">
    <nc r="B389">
      <v>11</v>
    </nc>
  </rcc>
  <rcc rId="4830" sId="5" numFmtId="4">
    <nc r="C389">
      <v>40</v>
    </nc>
  </rcc>
  <rcc rId="4831" sId="5" numFmtId="4">
    <nc r="D389">
      <v>11</v>
    </nc>
  </rcc>
  <rcc rId="4832" sId="5" numFmtId="4">
    <nc r="E389">
      <v>11</v>
    </nc>
  </rcc>
  <rcc rId="4833" sId="5" numFmtId="4">
    <nc r="F389">
      <v>5</v>
    </nc>
  </rcc>
  <rcc rId="4834" sId="5" numFmtId="4">
    <nc r="G389">
      <v>3</v>
    </nc>
  </rcc>
  <rcc rId="4835" sId="5" numFmtId="4">
    <nc r="B390">
      <v>11</v>
    </nc>
  </rcc>
  <rcc rId="4836" sId="5" numFmtId="4">
    <nc r="C390">
      <v>37</v>
    </nc>
  </rcc>
  <rcc rId="4837" sId="5" numFmtId="4">
    <nc r="D390">
      <v>7</v>
    </nc>
  </rcc>
  <rcc rId="4838" sId="5" numFmtId="4">
    <nc r="E390">
      <v>39</v>
    </nc>
  </rcc>
  <rcc rId="4839" sId="5" numFmtId="4">
    <nc r="F390">
      <v>8</v>
    </nc>
  </rcc>
  <rcc rId="4840" sId="5" numFmtId="4">
    <nc r="G390">
      <v>18</v>
    </nc>
  </rcc>
  <rcc rId="4841" sId="5" numFmtId="4">
    <nc r="B391">
      <v>11</v>
    </nc>
  </rcc>
  <rcc rId="4842" sId="5" numFmtId="4">
    <nc r="C391">
      <v>37</v>
    </nc>
  </rcc>
  <rcc rId="4843" sId="5" numFmtId="4">
    <nc r="D391">
      <v>8</v>
    </nc>
  </rcc>
  <rcc rId="4844" sId="5" numFmtId="4">
    <nc r="E391">
      <v>15</v>
    </nc>
  </rcc>
  <rcc rId="4845" sId="5" numFmtId="4">
    <nc r="F391">
      <v>12</v>
    </nc>
  </rcc>
  <rcc rId="4846" sId="5" numFmtId="4">
    <nc r="G391">
      <v>5</v>
    </nc>
  </rcc>
  <rcc rId="4847" sId="5" numFmtId="4">
    <nc r="B392">
      <v>11</v>
    </nc>
  </rcc>
  <rcc rId="4848" sId="5" numFmtId="4">
    <nc r="C392">
      <v>37</v>
    </nc>
  </rcc>
  <rcc rId="4849" sId="5" numFmtId="4">
    <nc r="D392">
      <v>9</v>
    </nc>
  </rcc>
  <rcc rId="4850" sId="5" numFmtId="4">
    <nc r="E392">
      <v>10</v>
    </nc>
  </rcc>
  <rcc rId="4851" sId="5" numFmtId="4">
    <nc r="F392">
      <v>5</v>
    </nc>
  </rcc>
  <rcc rId="4852" sId="5" numFmtId="4">
    <nc r="G392">
      <v>6</v>
    </nc>
  </rcc>
  <rcc rId="4853" sId="5" numFmtId="4">
    <nc r="B393">
      <v>11</v>
    </nc>
  </rcc>
  <rcc rId="4854" sId="5" numFmtId="4">
    <nc r="C393">
      <v>49</v>
    </nc>
  </rcc>
  <rcc rId="4855" sId="5" numFmtId="4">
    <nc r="D393">
      <v>9</v>
    </nc>
  </rcc>
  <rcc rId="4856" sId="5" numFmtId="4">
    <nc r="E393">
      <v>8</v>
    </nc>
  </rcc>
  <rcc rId="4857" sId="5" numFmtId="4">
    <nc r="F393">
      <v>0</v>
    </nc>
  </rcc>
  <rcc rId="4858" sId="5" numFmtId="4">
    <nc r="G393">
      <v>0</v>
    </nc>
  </rcc>
  <rcc rId="4859" sId="5" numFmtId="4">
    <nc r="B394">
      <v>11</v>
    </nc>
  </rcc>
  <rcc rId="4860" sId="5" numFmtId="4">
    <nc r="C394">
      <v>49</v>
    </nc>
  </rcc>
  <rcc rId="4861" sId="5" numFmtId="4">
    <nc r="D394">
      <v>10</v>
    </nc>
  </rcc>
  <rcc rId="4862" sId="5" numFmtId="4">
    <nc r="E394">
      <v>3</v>
    </nc>
  </rcc>
  <rcc rId="4863" sId="5" numFmtId="4">
    <nc r="F394">
      <v>0</v>
    </nc>
  </rcc>
  <rcc rId="4864" sId="5" numFmtId="4">
    <nc r="G394">
      <v>0</v>
    </nc>
  </rcc>
  <rcc rId="4865" sId="5" numFmtId="4">
    <nc r="B395">
      <v>11</v>
    </nc>
  </rcc>
  <rcc rId="4866" sId="5" numFmtId="4">
    <nc r="C395">
      <v>59</v>
    </nc>
  </rcc>
  <rcc rId="4867" sId="5" numFmtId="4">
    <nc r="D395">
      <v>9</v>
    </nc>
  </rcc>
  <rcc rId="4868" sId="5" numFmtId="4">
    <nc r="E395">
      <v>9</v>
    </nc>
  </rcc>
  <rcc rId="4869" sId="5" numFmtId="4">
    <nc r="F395">
      <v>8</v>
    </nc>
  </rcc>
  <rcc rId="4870" sId="5" numFmtId="4">
    <nc r="G395">
      <v>3</v>
    </nc>
  </rcc>
  <rcc rId="4871" sId="5" numFmtId="4">
    <nc r="B396">
      <v>11</v>
    </nc>
  </rcc>
  <rcc rId="4872" sId="5" numFmtId="4">
    <nc r="C396">
      <v>59</v>
    </nc>
  </rcc>
  <rcc rId="4873" sId="5" numFmtId="4">
    <nc r="D396">
      <v>10</v>
    </nc>
  </rcc>
  <rcc rId="4874" sId="5" numFmtId="4">
    <nc r="E396">
      <v>7</v>
    </nc>
  </rcc>
  <rcc rId="4875" sId="5" numFmtId="4">
    <nc r="F396">
      <v>14</v>
    </nc>
  </rcc>
  <rcc rId="4876" sId="5" numFmtId="4">
    <nc r="G396">
      <v>12</v>
    </nc>
  </rcc>
  <rcc rId="4877" sId="2" numFmtId="4">
    <nc r="B188">
      <v>9</v>
    </nc>
  </rcc>
  <rcc rId="4878" sId="2" numFmtId="4">
    <nc r="C188">
      <v>14</v>
    </nc>
  </rcc>
  <rcc rId="4879" sId="2" numFmtId="4">
    <nc r="D188">
      <v>8</v>
    </nc>
  </rcc>
  <rcc rId="4880" sId="2" numFmtId="4">
    <nc r="E188">
      <v>5</v>
    </nc>
  </rcc>
  <rcc rId="4881" sId="2" numFmtId="4">
    <nc r="F188">
      <v>12</v>
    </nc>
  </rcc>
  <rcc rId="4882" sId="2" numFmtId="4">
    <nc r="G188">
      <v>0</v>
    </nc>
  </rcc>
  <rcc rId="4883" sId="2" numFmtId="4">
    <nc r="B189">
      <v>9</v>
    </nc>
  </rcc>
  <rcc rId="4884" sId="2" numFmtId="4">
    <nc r="D189">
      <v>9</v>
    </nc>
  </rcc>
  <rcc rId="4885" sId="2" numFmtId="4">
    <nc r="C189">
      <v>14</v>
    </nc>
  </rcc>
  <rcc rId="4886" sId="2" numFmtId="4">
    <nc r="E189">
      <v>8</v>
    </nc>
  </rcc>
  <rcc rId="4887" sId="2" numFmtId="4">
    <nc r="F189">
      <v>9</v>
    </nc>
  </rcc>
  <rcc rId="4888" sId="2" numFmtId="4">
    <nc r="G189">
      <v>0</v>
    </nc>
  </rcc>
  <rcc rId="4889" sId="2" numFmtId="4">
    <nc r="B190">
      <v>9</v>
    </nc>
  </rcc>
  <rcc rId="4890" sId="2" numFmtId="4">
    <nc r="C190">
      <v>7</v>
    </nc>
  </rcc>
  <rcc rId="4891" sId="2" numFmtId="4">
    <nc r="D190">
      <v>10</v>
    </nc>
  </rcc>
  <rcc rId="4892" sId="2" numFmtId="4">
    <nc r="E190">
      <v>180</v>
    </nc>
  </rcc>
  <rcc rId="4893" sId="2" numFmtId="4">
    <nc r="F190">
      <v>145</v>
    </nc>
  </rcc>
  <rcc rId="4894" sId="2" numFmtId="4">
    <nc r="G190">
      <v>0</v>
    </nc>
  </rcc>
</revisions>
</file>

<file path=xl/revisions/revisionLog82.xml><?xml version="1.0" encoding="utf-8"?>
<revisions xmlns="http://schemas.openxmlformats.org/spreadsheetml/2006/main" xmlns:r="http://schemas.openxmlformats.org/officeDocument/2006/relationships">
  <rcc rId="4895" sId="8" numFmtId="4">
    <nc r="B180">
      <v>16</v>
    </nc>
  </rcc>
  <rcc rId="4896" sId="8" numFmtId="4">
    <nc r="C180">
      <v>72</v>
    </nc>
  </rcc>
  <rcc rId="4897" sId="8" numFmtId="4">
    <nc r="D180">
      <v>12</v>
    </nc>
  </rcc>
  <rcc rId="4898" sId="8" numFmtId="4">
    <nc r="E180">
      <v>1</v>
    </nc>
  </rcc>
  <rcc rId="4899" sId="8" numFmtId="4">
    <nc r="F180">
      <v>15</v>
    </nc>
  </rcc>
  <rcc rId="4900" sId="8" numFmtId="4">
    <nc r="G180">
      <v>1</v>
    </nc>
  </rcc>
  <rcc rId="4901" sId="8" numFmtId="4">
    <nc r="H180">
      <v>0</v>
    </nc>
  </rcc>
  <rcc rId="4902" sId="8" numFmtId="4">
    <nc r="B181">
      <v>16</v>
    </nc>
  </rcc>
  <rcc rId="4903" sId="8" numFmtId="4">
    <nc r="C181">
      <v>72</v>
    </nc>
  </rcc>
  <rcc rId="4904" sId="8" numFmtId="4">
    <nc r="D181">
      <v>13</v>
    </nc>
  </rcc>
  <rcc rId="4905" sId="8" numFmtId="4">
    <nc r="E181">
      <v>4</v>
    </nc>
  </rcc>
  <rcc rId="4906" sId="8" numFmtId="4">
    <nc r="F181">
      <v>9</v>
    </nc>
  </rcc>
  <rcc rId="4907" sId="8" numFmtId="4">
    <nc r="G181">
      <v>1</v>
    </nc>
  </rcc>
  <rcc rId="4908" sId="8" numFmtId="4">
    <nc r="H181">
      <v>0</v>
    </nc>
  </rcc>
  <rcc rId="4909" sId="8" numFmtId="4">
    <nc r="B182">
      <v>16</v>
    </nc>
  </rcc>
  <rcc rId="4910" sId="8" numFmtId="4">
    <nc r="C182">
      <v>72</v>
    </nc>
  </rcc>
  <rcc rId="4911" sId="8" numFmtId="4">
    <nc r="D182">
      <v>14</v>
    </nc>
  </rcc>
  <rcc rId="4912" sId="8" numFmtId="4">
    <nc r="E182">
      <v>7</v>
    </nc>
  </rcc>
  <rcc rId="4913" sId="8" numFmtId="4">
    <nc r="F182">
      <v>8</v>
    </nc>
  </rcc>
  <rcc rId="4914" sId="8" numFmtId="4">
    <nc r="G182">
      <v>4</v>
    </nc>
  </rcc>
  <rcc rId="4915" sId="8" numFmtId="4">
    <nc r="H182">
      <v>0</v>
    </nc>
  </rcc>
  <rcc rId="4916" sId="8" numFmtId="4">
    <nc r="B183">
      <v>16</v>
    </nc>
  </rcc>
  <rcc rId="4917" sId="8" numFmtId="4">
    <nc r="C183">
      <v>82</v>
    </nc>
  </rcc>
  <rcc rId="4918" sId="8" numFmtId="4">
    <nc r="D183">
      <v>13</v>
    </nc>
  </rcc>
  <rcc rId="4919" sId="8" numFmtId="4">
    <nc r="E183">
      <v>3</v>
    </nc>
  </rcc>
  <rcc rId="4920" sId="8" numFmtId="4">
    <nc r="F183">
      <v>4</v>
    </nc>
  </rcc>
  <rcc rId="4921" sId="8" numFmtId="4">
    <nc r="G183">
      <v>3</v>
    </nc>
  </rcc>
  <rcc rId="4922" sId="8" numFmtId="4">
    <nc r="H183">
      <v>0</v>
    </nc>
  </rcc>
  <rcc rId="4923" sId="8" numFmtId="4">
    <nc r="B184">
      <v>16</v>
    </nc>
  </rcc>
  <rcc rId="4924" sId="8" numFmtId="4">
    <nc r="C184">
      <v>82</v>
    </nc>
  </rcc>
  <rcc rId="4925" sId="8" numFmtId="4">
    <nc r="D184">
      <v>12</v>
    </nc>
  </rcc>
  <rcc rId="4926" sId="8" numFmtId="4">
    <nc r="E184">
      <v>4</v>
    </nc>
  </rcc>
  <rcc rId="4927" sId="8" numFmtId="4">
    <nc r="F184">
      <v>3</v>
    </nc>
  </rcc>
  <rcc rId="4928" sId="8" numFmtId="4">
    <nc r="G184">
      <v>4</v>
    </nc>
  </rcc>
  <rcc rId="4929" sId="8" numFmtId="4">
    <nc r="H184">
      <v>0</v>
    </nc>
  </rcc>
</revisions>
</file>

<file path=xl/revisions/revisionLog83.xml><?xml version="1.0" encoding="utf-8"?>
<revisions xmlns="http://schemas.openxmlformats.org/spreadsheetml/2006/main" xmlns:r="http://schemas.openxmlformats.org/officeDocument/2006/relationships">
  <rcc rId="4930" sId="8" numFmtId="4">
    <nc r="B185">
      <v>16</v>
    </nc>
  </rcc>
  <rcc rId="4931" sId="8" numFmtId="4">
    <nc r="C185">
      <v>74</v>
    </nc>
  </rcc>
  <rcc rId="4932" sId="8" numFmtId="4">
    <nc r="D185">
      <v>12</v>
    </nc>
  </rcc>
  <rcc rId="4933" sId="8" numFmtId="4">
    <nc r="E185">
      <v>7</v>
    </nc>
  </rcc>
  <rcc rId="4934" sId="8" numFmtId="4">
    <nc r="F185">
      <v>1</v>
    </nc>
  </rcc>
  <rcc rId="4935" sId="8" numFmtId="4">
    <nc r="G185">
      <v>0</v>
    </nc>
  </rcc>
  <rcc rId="4936" sId="8" numFmtId="4">
    <nc r="H185">
      <v>1</v>
    </nc>
  </rcc>
  <rcc rId="4937" sId="8" numFmtId="4">
    <nc r="B186">
      <v>16</v>
    </nc>
  </rcc>
  <rcc rId="4938" sId="8" numFmtId="4">
    <nc r="C186">
      <v>74</v>
    </nc>
  </rcc>
  <rcc rId="4939" sId="8" numFmtId="4">
    <nc r="D186">
      <v>13</v>
    </nc>
  </rcc>
  <rcc rId="4940" sId="8" numFmtId="4">
    <nc r="E186">
      <v>5</v>
    </nc>
  </rcc>
  <rcc rId="4941" sId="8" numFmtId="4">
    <nc r="F186">
      <v>3</v>
    </nc>
  </rcc>
  <rcc rId="4942" sId="8" numFmtId="4">
    <nc r="G186">
      <v>0</v>
    </nc>
  </rcc>
  <rcc rId="4943" sId="8" numFmtId="4">
    <nc r="H186">
      <v>1</v>
    </nc>
  </rcc>
  <rcc rId="4944" sId="11" numFmtId="4">
    <nc r="B46">
      <v>20</v>
    </nc>
  </rcc>
  <rcc rId="4945" sId="11" numFmtId="4">
    <nc r="C46">
      <v>87</v>
    </nc>
  </rcc>
  <rcc rId="4946" sId="11" numFmtId="4">
    <nc r="D46">
      <v>4</v>
    </nc>
  </rcc>
  <rcc rId="4947" sId="11" numFmtId="4">
    <nc r="E46">
      <v>7</v>
    </nc>
  </rcc>
  <rcc rId="4948" sId="11" numFmtId="4">
    <nc r="F46">
      <v>6</v>
    </nc>
  </rcc>
  <rcc rId="4949" sId="11" numFmtId="4">
    <nc r="G46">
      <v>1</v>
    </nc>
  </rcc>
  <rcc rId="4950" sId="11" numFmtId="4">
    <nc r="H46">
      <v>1</v>
    </nc>
  </rcc>
  <rcc rId="4951" sId="11" numFmtId="4">
    <nc r="B47">
      <v>20</v>
    </nc>
  </rcc>
  <rcc rId="4952" sId="11" numFmtId="4">
    <nc r="C47">
      <v>87</v>
    </nc>
  </rcc>
  <rcc rId="4953" sId="11" numFmtId="4">
    <nc r="D47">
      <v>5</v>
    </nc>
  </rcc>
  <rcc rId="4954" sId="11" numFmtId="4">
    <nc r="E47">
      <v>7</v>
    </nc>
  </rcc>
  <rcc rId="4955" sId="11" numFmtId="4">
    <nc r="F47">
      <v>10</v>
    </nc>
  </rcc>
  <rcc rId="4956" sId="11" numFmtId="4">
    <nc r="G47">
      <v>0</v>
    </nc>
  </rcc>
  <rcc rId="4957" sId="11" numFmtId="4">
    <nc r="H47">
      <v>1</v>
    </nc>
  </rcc>
  <rcc rId="4958" sId="11" numFmtId="4">
    <nc r="B48">
      <v>20</v>
    </nc>
  </rcc>
  <rcc rId="4959" sId="11" numFmtId="4">
    <nc r="C48">
      <v>87</v>
    </nc>
  </rcc>
  <rcc rId="4960" sId="11" numFmtId="4">
    <nc r="D48">
      <v>6</v>
    </nc>
  </rcc>
  <rcc rId="4961" sId="11" numFmtId="4">
    <nc r="E48">
      <v>6</v>
    </nc>
  </rcc>
  <rcc rId="4962" sId="11" numFmtId="4">
    <nc r="F48">
      <v>8</v>
    </nc>
  </rcc>
  <rcc rId="4963" sId="11" numFmtId="4">
    <nc r="G48">
      <v>0</v>
    </nc>
  </rcc>
  <rcc rId="4964" sId="11" numFmtId="4">
    <nc r="H48">
      <v>1</v>
    </nc>
  </rcc>
  <rcc rId="4965" sId="11" numFmtId="4">
    <nc r="B49">
      <v>20</v>
    </nc>
  </rcc>
  <rcc rId="4966" sId="11" numFmtId="4">
    <nc r="C49">
      <v>87</v>
    </nc>
  </rcc>
  <rcc rId="4967" sId="11" numFmtId="4">
    <nc r="D49">
      <v>7</v>
    </nc>
  </rcc>
  <rcc rId="4968" sId="11" numFmtId="4">
    <nc r="E49">
      <v>3</v>
    </nc>
  </rcc>
  <rcc rId="4969" sId="11" numFmtId="4">
    <nc r="F49">
      <v>4</v>
    </nc>
  </rcc>
  <rcc rId="4970" sId="11" numFmtId="4">
    <nc r="G49">
      <v>2</v>
    </nc>
  </rcc>
  <rcc rId="4971" sId="11" numFmtId="4">
    <nc r="H49">
      <v>0</v>
    </nc>
  </rcc>
  <rcc rId="4972" sId="11" numFmtId="4">
    <nc r="B50">
      <v>20</v>
    </nc>
  </rcc>
  <rcc rId="4973" sId="11" numFmtId="4">
    <nc r="C50">
      <v>92</v>
    </nc>
  </rcc>
  <rcc rId="4974" sId="11" numFmtId="4">
    <nc r="D50">
      <v>5</v>
    </nc>
  </rcc>
  <rcc rId="4975" sId="11" numFmtId="4">
    <nc r="E50">
      <v>0</v>
    </nc>
  </rcc>
  <rcc rId="4976" sId="11" numFmtId="4">
    <nc r="F50">
      <v>0</v>
    </nc>
  </rcc>
  <rcc rId="4977" sId="11" numFmtId="4">
    <nc r="G50">
      <v>7</v>
    </nc>
  </rcc>
  <rcc rId="4978" sId="11" numFmtId="4">
    <nc r="H50">
      <v>0</v>
    </nc>
  </rcc>
  <rcc rId="4979" sId="11" numFmtId="4">
    <nc r="B51">
      <v>20</v>
    </nc>
  </rcc>
  <rcc rId="4980" sId="11" numFmtId="4">
    <nc r="C51">
      <v>92</v>
    </nc>
  </rcc>
  <rcc rId="4981" sId="11" numFmtId="4">
    <nc r="D51">
      <v>4</v>
    </nc>
  </rcc>
  <rcc rId="4982" sId="11" numFmtId="4">
    <nc r="E51">
      <v>3</v>
    </nc>
  </rcc>
  <rcc rId="4983" sId="11" numFmtId="4">
    <nc r="F51">
      <v>2</v>
    </nc>
  </rcc>
  <rcc rId="4984" sId="11" numFmtId="4">
    <nc r="G51">
      <v>2</v>
    </nc>
  </rcc>
  <rcc rId="4985" sId="11" numFmtId="4">
    <nc r="H51">
      <v>0</v>
    </nc>
  </rcc>
</revisions>
</file>

<file path=xl/revisions/revisionLog84.xml><?xml version="1.0" encoding="utf-8"?>
<revisions xmlns="http://schemas.openxmlformats.org/spreadsheetml/2006/main" xmlns:r="http://schemas.openxmlformats.org/officeDocument/2006/relationships">
  <rcc rId="4986" sId="2" numFmtId="4">
    <nc r="B191">
      <v>9</v>
    </nc>
  </rcc>
  <rcc rId="4987" sId="2" numFmtId="4">
    <nc r="C191">
      <v>10</v>
    </nc>
  </rcc>
  <rcc rId="4988" sId="2" numFmtId="4">
    <nc r="D191">
      <v>5</v>
    </nc>
  </rcc>
  <rcc rId="4989" sId="2" numFmtId="4">
    <nc r="E191">
      <v>35</v>
    </nc>
  </rcc>
  <rcc rId="4990" sId="2" numFmtId="4">
    <nc r="F191">
      <v>29</v>
    </nc>
  </rcc>
  <rcc rId="4991" sId="2" numFmtId="4">
    <nc r="G191">
      <v>0</v>
    </nc>
  </rcc>
  <rcc rId="4992" sId="2" numFmtId="4">
    <nc r="B192">
      <v>9</v>
    </nc>
  </rcc>
  <rcc rId="4993" sId="2" numFmtId="4">
    <nc r="C192">
      <v>10</v>
    </nc>
  </rcc>
  <rcc rId="4994" sId="2" numFmtId="4">
    <nc r="D192">
      <v>4</v>
    </nc>
  </rcc>
  <rcc rId="4995" sId="2" numFmtId="4">
    <nc r="E192">
      <v>20</v>
    </nc>
  </rcc>
  <rcc rId="4996" sId="2" numFmtId="4">
    <nc r="F192">
      <v>60</v>
    </nc>
  </rcc>
  <rcc rId="4997" sId="2" numFmtId="4">
    <nc r="G192">
      <v>0</v>
    </nc>
  </rcc>
  <rcc rId="4998" sId="2" numFmtId="4">
    <nc r="B193">
      <v>9</v>
    </nc>
  </rcc>
  <rcc rId="4999" sId="2" numFmtId="4">
    <nc r="C193">
      <v>10</v>
    </nc>
  </rcc>
  <rcc rId="5000" sId="2" numFmtId="4">
    <nc r="D193">
      <v>3</v>
    </nc>
  </rcc>
  <rcc rId="5001" sId="2" numFmtId="4">
    <nc r="E193">
      <v>20</v>
    </nc>
  </rcc>
  <rcc rId="5002" sId="2" numFmtId="4">
    <nc r="F193">
      <v>60</v>
    </nc>
  </rcc>
</revisions>
</file>

<file path=xl/revisions/revisionLog85.xml><?xml version="1.0" encoding="utf-8"?>
<revisions xmlns="http://schemas.openxmlformats.org/spreadsheetml/2006/main" xmlns:r="http://schemas.openxmlformats.org/officeDocument/2006/relationships">
  <rcc rId="5003" sId="8" numFmtId="4">
    <nc r="B187">
      <v>16</v>
    </nc>
  </rcc>
  <rcc rId="5004" sId="8" numFmtId="4">
    <nc r="C187">
      <v>65</v>
    </nc>
  </rcc>
  <rcc rId="5005" sId="8" numFmtId="4">
    <nc r="D187">
      <v>12</v>
    </nc>
  </rcc>
  <rcc rId="5006" sId="8" numFmtId="4">
    <nc r="E187">
      <v>7</v>
    </nc>
  </rcc>
  <rcc rId="5007" sId="8" numFmtId="4">
    <nc r="F187">
      <v>0</v>
    </nc>
  </rcc>
  <rcc rId="5008" sId="8" numFmtId="4">
    <nc r="G187">
      <v>4</v>
    </nc>
  </rcc>
  <rcc rId="5009" sId="8" numFmtId="4">
    <nc r="H187">
      <v>1</v>
    </nc>
  </rcc>
  <rcc rId="5010" sId="8" numFmtId="4">
    <nc r="B188">
      <v>16</v>
    </nc>
  </rcc>
  <rcc rId="5011" sId="8" numFmtId="4">
    <nc r="C188">
      <v>65</v>
    </nc>
  </rcc>
  <rcc rId="5012" sId="8" numFmtId="4">
    <nc r="D188">
      <v>13</v>
    </nc>
  </rcc>
  <rcc rId="5013" sId="8" numFmtId="4">
    <nc r="E188">
      <v>0</v>
    </nc>
  </rcc>
  <rcc rId="5014" sId="8" numFmtId="4">
    <nc r="F188">
      <v>1</v>
    </nc>
  </rcc>
  <rcc rId="5015" sId="8" numFmtId="4">
    <nc r="G188">
      <v>1</v>
    </nc>
  </rcc>
  <rcc rId="5016" sId="8" numFmtId="4">
    <nc r="H188">
      <v>0</v>
    </nc>
  </rcc>
  <rcc rId="5017" sId="11" numFmtId="4">
    <nc r="B52">
      <v>20</v>
    </nc>
  </rcc>
  <rcc rId="5018" sId="11" numFmtId="4">
    <nc r="C52">
      <v>85</v>
    </nc>
  </rcc>
  <rcc rId="5019" sId="11" numFmtId="4">
    <nc r="D52">
      <v>3</v>
    </nc>
  </rcc>
  <rcc rId="5020" sId="11" numFmtId="4">
    <nc r="E52">
      <v>7</v>
    </nc>
  </rcc>
  <rcc rId="5021" sId="11" numFmtId="4">
    <nc r="F52">
      <v>3</v>
    </nc>
  </rcc>
  <rcc rId="5022" sId="11" numFmtId="4">
    <nc r="G52">
      <v>7</v>
    </nc>
  </rcc>
  <rcc rId="5023" sId="11" numFmtId="4">
    <nc r="H52">
      <v>0</v>
    </nc>
  </rcc>
</revisions>
</file>

<file path=xl/revisions/revisionLog86.xml><?xml version="1.0" encoding="utf-8"?>
<revisions xmlns="http://schemas.openxmlformats.org/spreadsheetml/2006/main" xmlns:r="http://schemas.openxmlformats.org/officeDocument/2006/relationships">
  <rcc rId="5024" sId="2" numFmtId="4">
    <nc r="G193">
      <v>0</v>
    </nc>
  </rcc>
  <rcc rId="5025" sId="2" numFmtId="4">
    <nc r="B194">
      <v>9</v>
    </nc>
  </rcc>
  <rcc rId="5026" sId="2" numFmtId="4">
    <nc r="C194">
      <v>10</v>
    </nc>
  </rcc>
  <rcc rId="5027" sId="2" numFmtId="4">
    <nc r="D194">
      <v>2</v>
    </nc>
  </rcc>
  <rcc rId="5028" sId="2" numFmtId="4">
    <nc r="E194">
      <v>20</v>
    </nc>
  </rcc>
  <rcc rId="5029" sId="2" numFmtId="4">
    <nc r="F194">
      <v>60</v>
    </nc>
  </rcc>
  <rcc rId="5030" sId="2" numFmtId="4">
    <nc r="G194">
      <v>0</v>
    </nc>
  </rcc>
  <rcc rId="5031" sId="2" numFmtId="4">
    <nc r="B195">
      <v>9</v>
    </nc>
  </rcc>
  <rcc rId="5032" sId="2" numFmtId="4">
    <nc r="C195">
      <v>10</v>
    </nc>
  </rcc>
  <rcc rId="5033" sId="2" numFmtId="4">
    <nc r="D195">
      <v>1</v>
    </nc>
  </rcc>
  <rcc rId="5034" sId="2" numFmtId="4">
    <nc r="E195">
      <v>20</v>
    </nc>
  </rcc>
  <rcc rId="5035" sId="2" numFmtId="4">
    <nc r="F195">
      <v>60</v>
    </nc>
  </rcc>
  <rcc rId="5036" sId="2" numFmtId="4">
    <nc r="G195">
      <v>0</v>
    </nc>
  </rcc>
  <rcc rId="5037" sId="2" numFmtId="4">
    <nc r="B196">
      <v>9</v>
    </nc>
  </rcc>
  <rcc rId="5038" sId="2" numFmtId="4">
    <nc r="C196">
      <v>20</v>
    </nc>
  </rcc>
  <rcc rId="5039" sId="2" numFmtId="4">
    <nc r="D196">
      <v>12</v>
    </nc>
  </rcc>
  <rcc rId="5040" sId="2" numFmtId="4">
    <nc r="E196">
      <v>9</v>
    </nc>
  </rcc>
  <rcc rId="5041" sId="2" numFmtId="4">
    <nc r="F196">
      <v>11</v>
    </nc>
  </rcc>
  <rcc rId="5042" sId="2" numFmtId="4">
    <nc r="G196">
      <v>2</v>
    </nc>
  </rcc>
  <rcc rId="5043" sId="2" numFmtId="4">
    <nc r="B197">
      <v>9</v>
    </nc>
  </rcc>
  <rcc rId="5044" sId="2" numFmtId="4">
    <nc r="C197">
      <v>20</v>
    </nc>
  </rcc>
  <rcc rId="5045" sId="2" numFmtId="4">
    <nc r="D197">
      <v>13</v>
    </nc>
  </rcc>
  <rcc rId="5046" sId="2" numFmtId="4">
    <nc r="E197">
      <v>6</v>
    </nc>
  </rcc>
  <rcc rId="5047" sId="2" numFmtId="4">
    <nc r="F197">
      <v>10</v>
    </nc>
  </rcc>
  <rcc rId="5048" sId="2" numFmtId="4">
    <nc r="G197">
      <v>1</v>
    </nc>
  </rcc>
</revisions>
</file>

<file path=xl/revisions/revisionLog87.xml><?xml version="1.0" encoding="utf-8"?>
<revisions xmlns="http://schemas.openxmlformats.org/spreadsheetml/2006/main" xmlns:r="http://schemas.openxmlformats.org/officeDocument/2006/relationships">
  <rcc rId="5049" sId="11" numFmtId="4">
    <nc r="B53">
      <v>20</v>
    </nc>
  </rcc>
  <rcc rId="5050" sId="11" numFmtId="4">
    <nc r="C53">
      <v>86</v>
    </nc>
  </rcc>
  <rcc rId="5051" sId="11" numFmtId="4">
    <nc r="D53">
      <v>3</v>
    </nc>
  </rcc>
  <rcc rId="5052" sId="11" numFmtId="4">
    <nc r="E53">
      <v>10</v>
    </nc>
  </rcc>
  <rcc rId="5053" sId="11" numFmtId="4">
    <nc r="F53">
      <v>4</v>
    </nc>
  </rcc>
  <rcc rId="5054" sId="11" numFmtId="4">
    <nc r="G53">
      <v>1</v>
    </nc>
  </rcc>
  <rcc rId="5055" sId="11" numFmtId="4">
    <nc r="H53">
      <v>1</v>
    </nc>
  </rcc>
  <rcc rId="5056" sId="11" numFmtId="4">
    <nc r="B54">
      <v>20</v>
    </nc>
  </rcc>
  <rcc rId="5057" sId="11" numFmtId="4">
    <nc r="C54">
      <v>86</v>
    </nc>
  </rcc>
  <rcc rId="5058" sId="11" numFmtId="4">
    <nc r="D54">
      <v>4</v>
    </nc>
  </rcc>
  <rcc rId="5059" sId="11" numFmtId="4">
    <nc r="E54">
      <v>11</v>
    </nc>
  </rcc>
  <rcc rId="5060" sId="11" numFmtId="4">
    <nc r="F54">
      <v>6</v>
    </nc>
  </rcc>
  <rcc rId="5061" sId="11" numFmtId="4">
    <nc r="G54">
      <v>2</v>
    </nc>
  </rcc>
  <rcc rId="5062" sId="11" numFmtId="4">
    <nc r="H54">
      <v>0</v>
    </nc>
  </rcc>
  <rcc rId="5063" sId="11" numFmtId="4">
    <nc r="B55">
      <v>20</v>
    </nc>
  </rcc>
  <rcc rId="5064" sId="11" numFmtId="4">
    <nc r="C55">
      <v>86</v>
    </nc>
  </rcc>
  <rcc rId="5065" sId="11" numFmtId="4">
    <nc r="D55">
      <v>5</v>
    </nc>
  </rcc>
  <rcc rId="5066" sId="11" numFmtId="4">
    <nc r="E55">
      <v>6</v>
    </nc>
  </rcc>
  <rcc rId="5067" sId="11" numFmtId="4">
    <nc r="F55">
      <v>4</v>
    </nc>
  </rcc>
  <rcc rId="5068" sId="11" numFmtId="4">
    <nc r="G55">
      <v>4</v>
    </nc>
  </rcc>
  <rcc rId="5069" sId="11" numFmtId="4">
    <nc r="H55">
      <v>2</v>
    </nc>
  </rcc>
</revisions>
</file>

<file path=xl/revisions/revisionLog88.xml><?xml version="1.0" encoding="utf-8"?>
<revisions xmlns="http://schemas.openxmlformats.org/spreadsheetml/2006/main" xmlns:r="http://schemas.openxmlformats.org/officeDocument/2006/relationships">
  <rcc rId="5070" sId="2" numFmtId="4">
    <nc r="B198">
      <v>9</v>
    </nc>
  </rcc>
  <rcc rId="5071" sId="2" numFmtId="4">
    <nc r="C198">
      <v>6</v>
    </nc>
  </rcc>
  <rcc rId="5072" sId="2" numFmtId="4">
    <nc r="D198">
      <v>12</v>
    </nc>
  </rcc>
  <rcc rId="5073" sId="2" numFmtId="4">
    <nc r="E198">
      <v>19</v>
    </nc>
  </rcc>
  <rcc rId="5074" sId="2" numFmtId="4">
    <nc r="F198">
      <v>22</v>
    </nc>
  </rcc>
  <rcc rId="5075" sId="2" numFmtId="4">
    <nc r="G198">
      <v>0</v>
    </nc>
  </rcc>
  <rcc rId="5076" sId="2" numFmtId="4">
    <nc r="B199">
      <v>9</v>
    </nc>
  </rcc>
  <rcc rId="5077" sId="2" numFmtId="4">
    <nc r="C199">
      <v>6</v>
    </nc>
  </rcc>
  <rcc rId="5078" sId="2" numFmtId="4">
    <nc r="D199">
      <v>13</v>
    </nc>
  </rcc>
  <rcc rId="5079" sId="2" numFmtId="4">
    <nc r="E199">
      <v>19</v>
    </nc>
  </rcc>
  <rcc rId="5080" sId="2" numFmtId="4">
    <nc r="F199">
      <v>18</v>
    </nc>
  </rcc>
  <rcc rId="5081" sId="2" numFmtId="4">
    <nc r="G199">
      <v>0</v>
    </nc>
  </rcc>
  <rcc rId="5082" sId="2" numFmtId="4">
    <nc r="B200">
      <v>9</v>
    </nc>
  </rcc>
  <rcc rId="5083" sId="2" numFmtId="4">
    <nc r="C200">
      <v>19</v>
    </nc>
  </rcc>
  <rcc rId="5084" sId="2" numFmtId="4">
    <nc r="D200">
      <v>12</v>
    </nc>
  </rcc>
  <rcc rId="5085" sId="2" numFmtId="4">
    <nc r="E200">
      <v>5</v>
    </nc>
  </rcc>
  <rcc rId="5086" sId="2" numFmtId="4">
    <nc r="F200">
      <v>15</v>
    </nc>
  </rcc>
  <rcc rId="5087" sId="2" numFmtId="4">
    <nc r="G200">
      <v>0</v>
    </nc>
  </rcc>
  <rcc rId="5088" sId="2" numFmtId="4">
    <nc r="B201">
      <v>9</v>
    </nc>
  </rcc>
  <rcc rId="5089" sId="2" numFmtId="4">
    <nc r="C201">
      <v>19</v>
    </nc>
  </rcc>
  <rcc rId="5090" sId="2" numFmtId="4">
    <nc r="D201">
      <v>13</v>
    </nc>
  </rcc>
  <rcc rId="5091" sId="2" numFmtId="4">
    <nc r="E201">
      <v>8</v>
    </nc>
  </rcc>
  <rcc rId="5092" sId="2" numFmtId="4">
    <nc r="F201">
      <v>15</v>
    </nc>
  </rcc>
  <rcc rId="5093" sId="2" numFmtId="4">
    <nc r="G201">
      <v>2</v>
    </nc>
  </rcc>
  <rcc rId="5094" sId="5" numFmtId="4">
    <nc r="B397">
      <v>11</v>
    </nc>
  </rcc>
  <rcc rId="5095" sId="5" numFmtId="4">
    <nc r="C397">
      <v>53</v>
    </nc>
  </rcc>
  <rcc rId="5096" sId="5" numFmtId="4">
    <nc r="D397">
      <v>14</v>
    </nc>
  </rcc>
  <rcc rId="5097" sId="5" numFmtId="4">
    <nc r="E397">
      <v>27</v>
    </nc>
  </rcc>
  <rcc rId="5098" sId="5" numFmtId="4">
    <nc r="F397">
      <v>0</v>
    </nc>
  </rcc>
  <rcc rId="5099" sId="5" numFmtId="4">
    <nc r="G397">
      <v>2</v>
    </nc>
  </rcc>
  <rcc rId="5100" sId="5" numFmtId="4">
    <nc r="B398">
      <v>11</v>
    </nc>
  </rcc>
  <rcc rId="5101" sId="5" numFmtId="4">
    <nc r="C398">
      <v>53</v>
    </nc>
  </rcc>
  <rcc rId="5102" sId="5" numFmtId="4">
    <nc r="D398">
      <v>13</v>
    </nc>
  </rcc>
  <rcc rId="5103" sId="5" numFmtId="4">
    <nc r="E398">
      <v>25</v>
    </nc>
  </rcc>
  <rcc rId="5104" sId="5" numFmtId="4">
    <nc r="F398">
      <v>2</v>
    </nc>
  </rcc>
  <rcc rId="5105" sId="5" numFmtId="4">
    <nc r="G398">
      <v>8</v>
    </nc>
  </rcc>
  <rcc rId="5106" sId="5" numFmtId="4">
    <nc r="B399">
      <v>11</v>
    </nc>
  </rcc>
  <rcc rId="5107" sId="5" numFmtId="4">
    <nc r="C399">
      <v>53</v>
    </nc>
  </rcc>
  <rcc rId="5108" sId="5" numFmtId="4">
    <nc r="D399">
      <v>12</v>
    </nc>
  </rcc>
  <rcc rId="5109" sId="5" numFmtId="4">
    <nc r="E399">
      <v>32</v>
    </nc>
  </rcc>
  <rcc rId="5110" sId="5" numFmtId="4">
    <nc r="F399">
      <v>0</v>
    </nc>
  </rcc>
  <rcc rId="5111" sId="5" numFmtId="4">
    <nc r="G399">
      <v>1</v>
    </nc>
  </rcc>
  <rcc rId="5112" sId="5" numFmtId="4">
    <nc r="B400">
      <v>11</v>
    </nc>
  </rcc>
  <rcc rId="5113" sId="5" numFmtId="4">
    <nc r="C400">
      <v>53</v>
    </nc>
  </rcc>
  <rcc rId="5114" sId="5" numFmtId="4">
    <nc r="D400">
      <v>11</v>
    </nc>
  </rcc>
  <rcc rId="5115" sId="5" numFmtId="4">
    <nc r="E400">
      <v>27</v>
    </nc>
  </rcc>
  <rcc rId="5116" sId="5" numFmtId="4">
    <nc r="F400">
      <v>0</v>
    </nc>
  </rcc>
  <rcc rId="5117" sId="5" numFmtId="4">
    <nc r="G400">
      <v>3</v>
    </nc>
  </rcc>
  <rcc rId="5118" sId="5" numFmtId="4">
    <nc r="B401">
      <v>11</v>
    </nc>
  </rcc>
  <rcc rId="5119" sId="5" numFmtId="4">
    <nc r="C401">
      <v>53</v>
    </nc>
  </rcc>
  <rcc rId="5120" sId="5" numFmtId="4">
    <nc r="D401">
      <v>10</v>
    </nc>
  </rcc>
  <rcc rId="5121" sId="5" numFmtId="4">
    <nc r="E401">
      <v>25</v>
    </nc>
  </rcc>
  <rcc rId="5122" sId="5" numFmtId="4">
    <nc r="F401">
      <v>1</v>
    </nc>
  </rcc>
  <rcc rId="5123" sId="5" numFmtId="4">
    <nc r="G401">
      <v>1</v>
    </nc>
  </rcc>
  <rcc rId="5124" sId="5" numFmtId="4">
    <nc r="B402">
      <v>11</v>
    </nc>
  </rcc>
  <rcc rId="5125" sId="5" numFmtId="4">
    <nc r="C402">
      <v>53</v>
    </nc>
  </rcc>
  <rcc rId="5126" sId="5" numFmtId="4">
    <nc r="D402">
      <v>9</v>
    </nc>
  </rcc>
  <rcc rId="5127" sId="5" numFmtId="4">
    <nc r="E402">
      <v>26</v>
    </nc>
  </rcc>
  <rcc rId="5128" sId="5" numFmtId="4">
    <nc r="F402">
      <v>1</v>
    </nc>
  </rcc>
  <rcc rId="5129" sId="5" numFmtId="4">
    <nc r="G402">
      <v>0</v>
    </nc>
  </rcc>
</revisions>
</file>

<file path=xl/revisions/revisionLog89.xml><?xml version="1.0" encoding="utf-8"?>
<revisions xmlns="http://schemas.openxmlformats.org/spreadsheetml/2006/main" xmlns:r="http://schemas.openxmlformats.org/officeDocument/2006/relationships">
  <rcc rId="5130" sId="8" numFmtId="4">
    <nc r="B189">
      <v>16</v>
    </nc>
  </rcc>
  <rcc rId="5131" sId="8" numFmtId="4">
    <nc r="C189">
      <v>71</v>
    </nc>
  </rcc>
  <rcc rId="5132" sId="8" numFmtId="4">
    <nc r="D189">
      <v>9</v>
    </nc>
  </rcc>
  <rcc rId="5133" sId="8" numFmtId="4">
    <nc r="E189">
      <v>19</v>
    </nc>
  </rcc>
  <rcc rId="5134" sId="8" numFmtId="4">
    <nc r="F189">
      <v>18</v>
    </nc>
  </rcc>
  <rcc rId="5135" sId="8" numFmtId="4">
    <nc r="G189">
      <v>9</v>
    </nc>
  </rcc>
  <rcc rId="5136" sId="8" numFmtId="4">
    <nc r="H189">
      <v>0</v>
    </nc>
  </rcc>
  <rcc rId="5137" sId="8" numFmtId="4">
    <nc r="B190">
      <v>16</v>
    </nc>
  </rcc>
  <rcc rId="5138" sId="8" numFmtId="4">
    <nc r="C190">
      <v>71</v>
    </nc>
  </rcc>
  <rcc rId="5139" sId="8" numFmtId="4">
    <nc r="D190">
      <v>10</v>
    </nc>
  </rcc>
  <rcc rId="5140" sId="8" numFmtId="4">
    <nc r="E190">
      <v>4</v>
    </nc>
  </rcc>
  <rcc rId="5141" sId="8" numFmtId="4">
    <nc r="F190">
      <v>19</v>
    </nc>
  </rcc>
  <rcc rId="5142" sId="8" numFmtId="4">
    <nc r="G190">
      <v>4</v>
    </nc>
  </rcc>
  <rcc rId="5143" sId="8" numFmtId="4">
    <nc r="H190">
      <v>0</v>
    </nc>
  </rcc>
  <rcc rId="5144" sId="8" numFmtId="4">
    <nc r="B191">
      <v>16</v>
    </nc>
  </rcc>
  <rcc rId="5145" sId="8" numFmtId="4">
    <nc r="C191">
      <v>71</v>
    </nc>
  </rcc>
  <rcc rId="5146" sId="8" numFmtId="4">
    <nc r="D191">
      <v>11</v>
    </nc>
  </rcc>
  <rcc rId="5147" sId="8" numFmtId="4">
    <nc r="E191">
      <v>10</v>
    </nc>
  </rcc>
  <rcc rId="5148" sId="8" numFmtId="4">
    <nc r="F191">
      <v>11</v>
    </nc>
  </rcc>
  <rcc rId="5149" sId="8" numFmtId="4">
    <nc r="G191">
      <v>1</v>
    </nc>
  </rcc>
  <rcc rId="5150" sId="8" numFmtId="4">
    <nc r="H191">
      <v>0</v>
    </nc>
  </rcc>
  <rcc rId="5151" sId="8" numFmtId="4">
    <nc r="B192">
      <v>16</v>
    </nc>
  </rcc>
  <rcc rId="5152" sId="8" numFmtId="4">
    <nc r="C192">
      <v>71</v>
    </nc>
  </rcc>
  <rcc rId="5153" sId="8" numFmtId="4">
    <nc r="D192">
      <v>12</v>
    </nc>
  </rcc>
  <rcc rId="5154" sId="8" numFmtId="4">
    <nc r="E192">
      <v>3</v>
    </nc>
  </rcc>
  <rcc rId="5155" sId="8" numFmtId="4">
    <nc r="F192">
      <v>10</v>
    </nc>
  </rcc>
  <rcc rId="5156" sId="8" numFmtId="4">
    <nc r="G192">
      <v>1</v>
    </nc>
  </rcc>
  <rcc rId="5157" sId="8" numFmtId="4">
    <nc r="H192">
      <v>1</v>
    </nc>
  </rcc>
  <rcc rId="5158" sId="8" numFmtId="4">
    <nc r="B193">
      <v>16</v>
    </nc>
  </rcc>
  <rcc rId="5159" sId="8" numFmtId="4">
    <nc r="C193">
      <v>71</v>
    </nc>
  </rcc>
  <rcc rId="5160" sId="8" numFmtId="4">
    <nc r="D193">
      <v>13</v>
    </nc>
  </rcc>
</revisions>
</file>

<file path=xl/revisions/revisionLog90.xml><?xml version="1.0" encoding="utf-8"?>
<revisions xmlns="http://schemas.openxmlformats.org/spreadsheetml/2006/main" xmlns:r="http://schemas.openxmlformats.org/officeDocument/2006/relationships">
  <rcc rId="5161" sId="5" numFmtId="4">
    <nc r="B403">
      <v>11</v>
    </nc>
  </rcc>
  <rcc rId="5162" sId="5" numFmtId="4">
    <nc r="C403">
      <v>25</v>
    </nc>
  </rcc>
  <rcc rId="5163" sId="5" numFmtId="4">
    <nc r="D403">
      <v>13</v>
    </nc>
  </rcc>
  <rcc rId="5164" sId="5" numFmtId="4">
    <nc r="E403">
      <v>4</v>
    </nc>
  </rcc>
  <rcc rId="5165" sId="5" numFmtId="4">
    <nc r="F403">
      <v>6</v>
    </nc>
  </rcc>
  <rcc rId="5166" sId="5" numFmtId="4">
    <nc r="G403">
      <v>4</v>
    </nc>
  </rcc>
  <rcc rId="5167" sId="5" numFmtId="4">
    <nc r="B404">
      <v>11</v>
    </nc>
  </rcc>
  <rcc rId="5168" sId="5" numFmtId="4">
    <nc r="C404">
      <v>25</v>
    </nc>
  </rcc>
  <rcc rId="5169" sId="5" numFmtId="4">
    <nc r="D404">
      <v>12</v>
    </nc>
  </rcc>
  <rcc rId="5170" sId="5" numFmtId="4">
    <nc r="E404">
      <v>6</v>
    </nc>
  </rcc>
  <rcc rId="5171" sId="5" numFmtId="4">
    <nc r="F404">
      <v>9</v>
    </nc>
  </rcc>
  <rcc rId="5172" sId="5" numFmtId="4">
    <nc r="G404">
      <v>7</v>
    </nc>
  </rcc>
  <rcc rId="5173" sId="5" numFmtId="4">
    <nc r="B405">
      <v>11</v>
    </nc>
  </rcc>
  <rcc rId="5174" sId="5" numFmtId="4">
    <nc r="C405">
      <v>25</v>
    </nc>
  </rcc>
  <rcc rId="5175" sId="5" numFmtId="4">
    <nc r="D405">
      <v>11</v>
    </nc>
  </rcc>
  <rcc rId="5176" sId="5" numFmtId="4">
    <nc r="E405">
      <v>9</v>
    </nc>
  </rcc>
  <rcc rId="5177" sId="5" numFmtId="4">
    <nc r="F405">
      <v>6</v>
    </nc>
  </rcc>
  <rcc rId="5178" sId="5" numFmtId="4">
    <nc r="G405">
      <v>3</v>
    </nc>
  </rcc>
  <rcc rId="5179" sId="5" numFmtId="4">
    <nc r="B406">
      <v>11</v>
    </nc>
  </rcc>
  <rcc rId="5180" sId="5" numFmtId="4">
    <nc r="C406">
      <v>25</v>
    </nc>
  </rcc>
  <rcc rId="5181" sId="5" numFmtId="4">
    <nc r="D406">
      <v>10</v>
    </nc>
  </rcc>
  <rcc rId="5182" sId="5" numFmtId="4">
    <nc r="E406">
      <v>4</v>
    </nc>
  </rcc>
  <rcc rId="5183" sId="5" numFmtId="4">
    <nc r="F406">
      <v>15</v>
    </nc>
  </rcc>
  <rcc rId="5184" sId="5" numFmtId="4">
    <nc r="G406">
      <v>5</v>
    </nc>
  </rcc>
  <rcc rId="5185" sId="5" numFmtId="4">
    <nc r="B407">
      <v>11</v>
    </nc>
  </rcc>
  <rcc rId="5186" sId="5" numFmtId="4">
    <nc r="C407">
      <v>25</v>
    </nc>
  </rcc>
  <rcc rId="5187" sId="5" numFmtId="4">
    <nc r="D407">
      <v>9</v>
    </nc>
  </rcc>
  <rcc rId="5188" sId="5" numFmtId="4">
    <nc r="E407">
      <v>6</v>
    </nc>
  </rcc>
  <rcc rId="5189" sId="5" numFmtId="4">
    <nc r="F407">
      <v>11</v>
    </nc>
  </rcc>
  <rcc rId="5190" sId="5" numFmtId="4">
    <nc r="G407">
      <v>9</v>
    </nc>
  </rcc>
  <rcc rId="5191" sId="5" numFmtId="4">
    <nc r="B408">
      <v>11</v>
    </nc>
  </rcc>
  <rcc rId="5192" sId="5" numFmtId="4">
    <nc r="C408">
      <v>25</v>
    </nc>
  </rcc>
  <rcc rId="5193" sId="5" numFmtId="4">
    <nc r="D408">
      <v>8</v>
    </nc>
  </rcc>
  <rcc rId="5194" sId="5" numFmtId="4">
    <nc r="E408">
      <v>8</v>
    </nc>
  </rcc>
  <rcc rId="5195" sId="5" numFmtId="4">
    <nc r="F408">
      <v>5</v>
    </nc>
  </rcc>
  <rcc rId="5196" sId="5" numFmtId="4">
    <nc r="G408">
      <v>2</v>
    </nc>
  </rcc>
  <rcc rId="5197" sId="5" numFmtId="4">
    <nc r="B409">
      <v>11</v>
    </nc>
  </rcc>
  <rcc rId="5198" sId="5" numFmtId="4">
    <nc r="C409">
      <v>30</v>
    </nc>
  </rcc>
  <rcc rId="5199" sId="5" numFmtId="4">
    <nc r="D409">
      <v>13</v>
    </nc>
  </rcc>
  <rcc rId="5200" sId="5" numFmtId="4">
    <nc r="E409">
      <v>15</v>
    </nc>
  </rcc>
  <rcc rId="5201" sId="5" numFmtId="4">
    <nc r="F409">
      <v>9</v>
    </nc>
  </rcc>
  <rcc rId="5202" sId="5" numFmtId="4">
    <nc r="G409">
      <v>4</v>
    </nc>
  </rcc>
  <rcc rId="5203" sId="5" numFmtId="4">
    <nc r="B410">
      <v>11</v>
    </nc>
  </rcc>
  <rcc rId="5204" sId="5" numFmtId="4">
    <nc r="C410">
      <v>30</v>
    </nc>
  </rcc>
  <rcc rId="5205" sId="5" numFmtId="4">
    <nc r="D410">
      <v>12</v>
    </nc>
  </rcc>
  <rcc rId="5206" sId="5" numFmtId="4">
    <nc r="E410">
      <v>11</v>
    </nc>
  </rcc>
  <rcc rId="5207" sId="5" numFmtId="4">
    <nc r="F410">
      <v>7</v>
    </nc>
  </rcc>
  <rcc rId="5208" sId="5" numFmtId="4">
    <nc r="G410">
      <v>2</v>
    </nc>
  </rcc>
  <rcc rId="5209" sId="5" numFmtId="4">
    <nc r="B411">
      <v>11</v>
    </nc>
  </rcc>
  <rcc rId="5210" sId="5" numFmtId="4">
    <nc r="C411">
      <v>30</v>
    </nc>
  </rcc>
  <rcc rId="5211" sId="5" numFmtId="4">
    <nc r="D411">
      <v>11</v>
    </nc>
  </rcc>
  <rcc rId="5212" sId="5" numFmtId="4">
    <nc r="E411">
      <v>9</v>
    </nc>
  </rcc>
  <rcc rId="5213" sId="5" numFmtId="4">
    <nc r="F411">
      <v>6</v>
    </nc>
  </rcc>
  <rcc rId="5214" sId="5" numFmtId="4">
    <nc r="G411">
      <v>3</v>
    </nc>
  </rcc>
  <rcc rId="5215" sId="5" numFmtId="4">
    <nc r="B412">
      <v>11</v>
    </nc>
  </rcc>
  <rcc rId="5216" sId="5" numFmtId="4">
    <nc r="C412">
      <v>30</v>
    </nc>
  </rcc>
  <rcc rId="5217" sId="5" numFmtId="4">
    <nc r="D412">
      <v>10</v>
    </nc>
  </rcc>
  <rcc rId="5218" sId="5" numFmtId="4">
    <nc r="E412">
      <v>10</v>
    </nc>
  </rcc>
  <rcc rId="5219" sId="5" numFmtId="4">
    <nc r="F412">
      <v>5</v>
    </nc>
  </rcc>
  <rcc rId="5220" sId="5" numFmtId="4">
    <nc r="G412">
      <v>2</v>
    </nc>
  </rcc>
  <rcc rId="5221" sId="5" numFmtId="4">
    <nc r="B413">
      <v>11</v>
    </nc>
  </rcc>
  <rcc rId="5222" sId="5" numFmtId="4">
    <nc r="C413">
      <v>62</v>
    </nc>
  </rcc>
  <rcc rId="5223" sId="5" numFmtId="4">
    <nc r="D413">
      <v>13</v>
    </nc>
  </rcc>
  <rcc rId="5224" sId="5" numFmtId="4">
    <nc r="E413">
      <v>14</v>
    </nc>
  </rcc>
  <rcc rId="5225" sId="5" numFmtId="4">
    <nc r="F413">
      <v>4</v>
    </nc>
  </rcc>
  <rcc rId="5226" sId="5" numFmtId="4">
    <nc r="G413">
      <v>1</v>
    </nc>
  </rcc>
  <rcc rId="5227" sId="5" numFmtId="4">
    <nc r="B414">
      <v>11</v>
    </nc>
  </rcc>
  <rcc rId="5228" sId="5" numFmtId="4">
    <nc r="C414">
      <v>62</v>
    </nc>
  </rcc>
  <rcc rId="5229" sId="5" numFmtId="4">
    <nc r="D414">
      <v>12</v>
    </nc>
  </rcc>
  <rcc rId="5230" sId="5" numFmtId="4">
    <nc r="E414">
      <v>20</v>
    </nc>
  </rcc>
  <rcc rId="5231" sId="5" numFmtId="4">
    <nc r="F414">
      <v>4</v>
    </nc>
  </rcc>
  <rcc rId="5232" sId="5" numFmtId="4">
    <nc r="G414">
      <v>0</v>
    </nc>
  </rcc>
  <rcc rId="5233" sId="5" numFmtId="4">
    <nc r="B415">
      <v>11</v>
    </nc>
  </rcc>
  <rcc rId="5234" sId="5" numFmtId="4">
    <nc r="C415">
      <v>62</v>
    </nc>
  </rcc>
  <rcc rId="5235" sId="5" numFmtId="4">
    <nc r="D415">
      <v>11</v>
    </nc>
  </rcc>
  <rcc rId="5236" sId="5" numFmtId="4">
    <nc r="E415">
      <v>15</v>
    </nc>
  </rcc>
  <rcc rId="5237" sId="5" numFmtId="4">
    <nc r="F415">
      <v>3</v>
    </nc>
  </rcc>
  <rcc rId="5238" sId="5" numFmtId="4">
    <nc r="G415">
      <v>0</v>
    </nc>
  </rcc>
  <rcc rId="5239" sId="5" numFmtId="4">
    <nc r="B416">
      <v>11</v>
    </nc>
  </rcc>
  <rcc rId="5240" sId="5" numFmtId="4">
    <nc r="C416">
      <v>62</v>
    </nc>
  </rcc>
  <rcc rId="5241" sId="5" numFmtId="4">
    <nc r="D416">
      <v>10</v>
    </nc>
  </rcc>
  <rcc rId="5242" sId="5" numFmtId="4">
    <nc r="E416">
      <v>10</v>
    </nc>
  </rcc>
  <rcc rId="5243" sId="5" numFmtId="4">
    <nc r="F416">
      <v>10</v>
    </nc>
  </rcc>
  <rcc rId="5244" sId="5" numFmtId="4">
    <nc r="G416">
      <v>0</v>
    </nc>
  </rcc>
</revisions>
</file>

<file path=xl/revisions/revisionLog91.xml><?xml version="1.0" encoding="utf-8"?>
<revisions xmlns="http://schemas.openxmlformats.org/spreadsheetml/2006/main" xmlns:r="http://schemas.openxmlformats.org/officeDocument/2006/relationships">
  <rcc rId="5245" sId="8" numFmtId="4">
    <nc r="E193">
      <v>1</v>
    </nc>
  </rcc>
  <rcc rId="5246" sId="8" numFmtId="4">
    <nc r="F193">
      <v>5</v>
    </nc>
  </rcc>
  <rcc rId="5247" sId="8" numFmtId="4">
    <nc r="G193">
      <v>0</v>
    </nc>
  </rcc>
  <rcc rId="5248" sId="8" numFmtId="4">
    <nc r="H193">
      <v>0</v>
    </nc>
  </rcc>
</revisions>
</file>

<file path=xl/revisions/revisionLog92.xml><?xml version="1.0" encoding="utf-8"?>
<revisions xmlns="http://schemas.openxmlformats.org/spreadsheetml/2006/main" xmlns:r="http://schemas.openxmlformats.org/officeDocument/2006/relationships">
  <rcc rId="5249" sId="5" numFmtId="4">
    <nc r="B417">
      <v>11</v>
    </nc>
  </rcc>
  <rcc rId="5250" sId="5" numFmtId="4">
    <nc r="C417">
      <v>33</v>
    </nc>
  </rcc>
  <rcc rId="5251" sId="5" numFmtId="4">
    <nc r="D417">
      <v>5</v>
    </nc>
  </rcc>
  <rcc rId="5252" sId="5" numFmtId="4">
    <nc r="E417">
      <v>19</v>
    </nc>
  </rcc>
  <rcc rId="5253" sId="5" numFmtId="4">
    <nc r="F417">
      <v>2</v>
    </nc>
  </rcc>
  <rcc rId="5254" sId="5" numFmtId="4">
    <nc r="G417">
      <v>7</v>
    </nc>
  </rcc>
  <rcc rId="5255" sId="5" numFmtId="4">
    <nc r="B418">
      <v>11</v>
    </nc>
  </rcc>
  <rcc rId="5256" sId="5" numFmtId="4">
    <nc r="C418">
      <v>33</v>
    </nc>
  </rcc>
  <rcc rId="5257" sId="5" numFmtId="4">
    <nc r="D418">
      <v>6</v>
    </nc>
  </rcc>
  <rcc rId="5258" sId="5" numFmtId="4">
    <nc r="E418">
      <v>15</v>
    </nc>
  </rcc>
  <rcc rId="5259" sId="5" numFmtId="4">
    <nc r="F418">
      <v>0</v>
    </nc>
  </rcc>
  <rcc rId="5260" sId="5" numFmtId="4">
    <nc r="G418">
      <v>4</v>
    </nc>
  </rcc>
</revisions>
</file>

<file path=xl/revisions/revisionLog93.xml><?xml version="1.0" encoding="utf-8"?>
<revisions xmlns="http://schemas.openxmlformats.org/spreadsheetml/2006/main" xmlns:r="http://schemas.openxmlformats.org/officeDocument/2006/relationships">
  <rcc rId="5261" sId="5" numFmtId="4">
    <nc r="B419">
      <v>11</v>
    </nc>
  </rcc>
  <rcc rId="5262" sId="5" numFmtId="4">
    <nc r="C419">
      <v>28</v>
    </nc>
  </rcc>
  <rcc rId="5263" sId="5" numFmtId="4">
    <nc r="D419">
      <v>10</v>
    </nc>
  </rcc>
  <rcc rId="5264" sId="5" numFmtId="4">
    <nc r="E419">
      <v>6</v>
    </nc>
  </rcc>
  <rcc rId="5265" sId="5" numFmtId="4">
    <nc r="F419">
      <v>4</v>
    </nc>
  </rcc>
  <rcc rId="5266" sId="5" numFmtId="4">
    <nc r="G419">
      <v>1</v>
    </nc>
  </rcc>
  <rcc rId="5267" sId="5" numFmtId="4">
    <nc r="B420">
      <v>11</v>
    </nc>
  </rcc>
  <rcc rId="5268" sId="5" numFmtId="4">
    <nc r="C420">
      <v>28</v>
    </nc>
  </rcc>
  <rcc rId="5269" sId="5" numFmtId="4">
    <nc r="D420">
      <v>11</v>
    </nc>
  </rcc>
  <rcc rId="5270" sId="5" numFmtId="4">
    <nc r="E420">
      <v>7</v>
    </nc>
  </rcc>
  <rcc rId="5271" sId="5" numFmtId="4">
    <nc r="F420">
      <v>6</v>
    </nc>
  </rcc>
  <rcc rId="5272" sId="5" numFmtId="4">
    <nc r="G420">
      <v>4</v>
    </nc>
  </rcc>
  <rcc rId="5273" sId="5" numFmtId="4">
    <nc r="B421">
      <v>11</v>
    </nc>
  </rcc>
  <rcc rId="5274" sId="5" numFmtId="4">
    <nc r="C421">
      <v>28</v>
    </nc>
  </rcc>
  <rcc rId="5275" sId="5" numFmtId="4">
    <nc r="D421">
      <v>12</v>
    </nc>
  </rcc>
  <rcc rId="5276" sId="5" numFmtId="4">
    <nc r="E421">
      <v>7</v>
    </nc>
  </rcc>
  <rcc rId="5277" sId="5" numFmtId="4">
    <nc r="F421">
      <v>4</v>
    </nc>
  </rcc>
  <rcc rId="5278" sId="5" numFmtId="4">
    <nc r="G421">
      <v>3</v>
    </nc>
  </rcc>
  <rcc rId="5279" sId="5" numFmtId="4">
    <nc r="B422">
      <v>11</v>
    </nc>
  </rcc>
  <rcc rId="5280" sId="5" numFmtId="4">
    <nc r="C422">
      <v>28</v>
    </nc>
  </rcc>
  <rcc rId="5281" sId="5" numFmtId="4">
    <nc r="D422">
      <v>13</v>
    </nc>
  </rcc>
  <rcc rId="5282" sId="5" numFmtId="4">
    <nc r="E422">
      <v>9</v>
    </nc>
  </rcc>
  <rcc rId="5283" sId="5" numFmtId="4">
    <nc r="F422">
      <v>5</v>
    </nc>
  </rcc>
  <rcc rId="5284" sId="5" numFmtId="4">
    <nc r="G422">
      <v>0</v>
    </nc>
  </rcc>
  <rcc rId="5285" sId="5" numFmtId="4">
    <nc r="B423">
      <v>11</v>
    </nc>
  </rcc>
  <rcc rId="5286" sId="5" numFmtId="4">
    <nc r="C423">
      <v>56</v>
    </nc>
  </rcc>
  <rcc rId="5287" sId="5" numFmtId="4">
    <nc r="D423">
      <v>10</v>
    </nc>
  </rcc>
  <rcc rId="5288" sId="5" numFmtId="4">
    <nc r="E423">
      <v>15</v>
    </nc>
  </rcc>
  <rcc rId="5289" sId="5" numFmtId="4">
    <nc r="F423">
      <v>5</v>
    </nc>
  </rcc>
  <rcc rId="5290" sId="5" numFmtId="4">
    <nc r="G423">
      <v>4</v>
    </nc>
  </rcc>
  <rcc rId="5291" sId="5" numFmtId="4">
    <nc r="B424">
      <v>11</v>
    </nc>
  </rcc>
  <rcc rId="5292" sId="5" numFmtId="4">
    <nc r="C424">
      <v>56</v>
    </nc>
  </rcc>
  <rcc rId="5293" sId="5" numFmtId="4">
    <nc r="D424">
      <v>11</v>
    </nc>
  </rcc>
  <rcc rId="5294" sId="5" numFmtId="4">
    <nc r="E424">
      <v>6</v>
    </nc>
  </rcc>
  <rcc rId="5295" sId="5" numFmtId="4">
    <nc r="F424">
      <v>5</v>
    </nc>
  </rcc>
  <rcc rId="5296" sId="5" numFmtId="4">
    <nc r="G424">
      <v>1</v>
    </nc>
  </rcc>
  <rcc rId="5297" sId="5" numFmtId="4">
    <nc r="B425">
      <v>11</v>
    </nc>
  </rcc>
  <rcc rId="5298" sId="5" numFmtId="4">
    <nc r="C425">
      <v>56</v>
    </nc>
  </rcc>
  <rcc rId="5299" sId="5" numFmtId="4">
    <nc r="D425">
      <v>12</v>
    </nc>
  </rcc>
  <rcc rId="5300" sId="5" numFmtId="4">
    <nc r="E425">
      <v>10</v>
    </nc>
  </rcc>
  <rcc rId="5301" sId="5" numFmtId="4">
    <nc r="F425">
      <v>14</v>
    </nc>
  </rcc>
  <rcc rId="5302" sId="5" numFmtId="4">
    <nc r="G425">
      <v>0</v>
    </nc>
  </rcc>
  <rcc rId="5303" sId="5" numFmtId="4">
    <nc r="B426">
      <v>11</v>
    </nc>
  </rcc>
  <rcc rId="5304" sId="5" numFmtId="4">
    <nc r="C426">
      <v>56</v>
    </nc>
  </rcc>
  <rcc rId="5305" sId="5" numFmtId="4">
    <nc r="D426">
      <v>13</v>
    </nc>
  </rcc>
  <rcc rId="5306" sId="5" numFmtId="4">
    <nc r="E426">
      <v>4</v>
    </nc>
  </rcc>
  <rcc rId="5307" sId="5" numFmtId="4">
    <nc r="F426">
      <v>6</v>
    </nc>
  </rcc>
  <rcc rId="5308" sId="5" numFmtId="4">
    <nc r="G426">
      <v>0</v>
    </nc>
  </rcc>
</revisions>
</file>

<file path=xl/revisions/revisionLog94.xml><?xml version="1.0" encoding="utf-8"?>
<revisions xmlns="http://schemas.openxmlformats.org/spreadsheetml/2006/main" xmlns:r="http://schemas.openxmlformats.org/officeDocument/2006/relationships">
  <rcc rId="5309" sId="5" numFmtId="4">
    <nc r="B427">
      <v>11</v>
    </nc>
  </rcc>
  <rcc rId="5310" sId="5" numFmtId="4">
    <nc r="C427">
      <v>56</v>
    </nc>
  </rcc>
  <rcc rId="5311" sId="5" numFmtId="4">
    <nc r="D427">
      <v>14</v>
    </nc>
  </rcc>
  <rcc rId="5312" sId="5" numFmtId="4">
    <nc r="E427">
      <v>6</v>
    </nc>
  </rcc>
  <rcc rId="5313" sId="5" numFmtId="4">
    <nc r="F427">
      <v>5</v>
    </nc>
  </rcc>
  <rcc rId="5314" sId="5" numFmtId="4">
    <nc r="G427">
      <v>2</v>
    </nc>
  </rcc>
  <rcc rId="5315" sId="5" numFmtId="4">
    <nc r="B428">
      <v>11</v>
    </nc>
  </rcc>
  <rcc rId="5316" sId="5" numFmtId="4">
    <nc r="C428">
      <v>46</v>
    </nc>
  </rcc>
  <rcc rId="5317" sId="5" numFmtId="4">
    <nc r="D428">
      <v>8</v>
    </nc>
  </rcc>
  <rcc rId="5318" sId="5" numFmtId="4">
    <nc r="E428">
      <v>10</v>
    </nc>
  </rcc>
  <rcc rId="5319" sId="5" numFmtId="4">
    <nc r="F428">
      <v>8</v>
    </nc>
  </rcc>
  <rcc rId="5320" sId="5" numFmtId="4">
    <nc r="G428">
      <v>12</v>
    </nc>
  </rcc>
  <rcc rId="5321" sId="5" numFmtId="4">
    <nc r="B429">
      <v>11</v>
    </nc>
  </rcc>
  <rcc rId="5322" sId="5" numFmtId="4">
    <nc r="C429">
      <v>52</v>
    </nc>
  </rcc>
  <rcc rId="5323" sId="5" numFmtId="4">
    <nc r="D429">
      <v>12</v>
    </nc>
  </rcc>
  <rcc rId="5324" sId="5" numFmtId="4">
    <nc r="E429">
      <v>18</v>
    </nc>
  </rcc>
  <rcc rId="5325" sId="5" numFmtId="4">
    <nc r="F429">
      <v>2</v>
    </nc>
  </rcc>
  <rcc rId="5326" sId="5" numFmtId="4">
    <nc r="G429">
      <v>0</v>
    </nc>
  </rcc>
  <rcc rId="5327" sId="5" numFmtId="4">
    <nc r="B430">
      <v>11</v>
    </nc>
  </rcc>
  <rcc rId="5328" sId="5" numFmtId="4">
    <nc r="C430">
      <v>52</v>
    </nc>
  </rcc>
  <rcc rId="5329" sId="5" numFmtId="4">
    <nc r="D430">
      <v>13</v>
    </nc>
  </rcc>
  <rcc rId="5330" sId="5" numFmtId="4">
    <nc r="E430">
      <v>14</v>
    </nc>
  </rcc>
  <rcc rId="5331" sId="5" numFmtId="4">
    <nc r="F430">
      <v>0</v>
    </nc>
  </rcc>
  <rcc rId="5332" sId="5" numFmtId="4">
    <nc r="G430">
      <v>2</v>
    </nc>
  </rcc>
  <rcc rId="5333" sId="5" numFmtId="4">
    <nc r="B431">
      <v>11</v>
    </nc>
  </rcc>
  <rcc rId="5334" sId="5" numFmtId="4">
    <nc r="C431">
      <v>52</v>
    </nc>
  </rcc>
  <rcc rId="5335" sId="5" numFmtId="4">
    <nc r="D431">
      <v>11</v>
    </nc>
  </rcc>
  <rcc rId="5336" sId="5" numFmtId="4">
    <nc r="E431">
      <v>23</v>
    </nc>
  </rcc>
  <rcc rId="5337" sId="5" numFmtId="4">
    <nc r="F431">
      <v>1</v>
    </nc>
  </rcc>
  <rcc rId="5338" sId="5" numFmtId="4">
    <nc r="G431">
      <v>1</v>
    </nc>
  </rcc>
  <rcc rId="5339" sId="5" numFmtId="4">
    <nc r="B432">
      <v>11</v>
    </nc>
  </rcc>
  <rcc rId="5340" sId="5" numFmtId="4">
    <nc r="C432">
      <v>60</v>
    </nc>
  </rcc>
  <rcc rId="5341" sId="5" numFmtId="4">
    <nc r="D432">
      <v>11</v>
    </nc>
  </rcc>
  <rcc rId="5342" sId="5" numFmtId="4">
    <nc r="E432">
      <v>13</v>
    </nc>
  </rcc>
  <rcc rId="5343" sId="5" numFmtId="4">
    <nc r="F432">
      <v>18</v>
    </nc>
  </rcc>
  <rcc rId="5344" sId="5" numFmtId="4">
    <nc r="G432">
      <v>0</v>
    </nc>
  </rcc>
  <rcc rId="5345" sId="5" numFmtId="4">
    <nc r="B433">
      <v>11</v>
    </nc>
  </rcc>
  <rcc rId="5346" sId="5" numFmtId="4">
    <nc r="C433">
      <v>60</v>
    </nc>
  </rcc>
  <rcc rId="5347" sId="5" numFmtId="4">
    <nc r="D433">
      <v>12</v>
    </nc>
  </rcc>
  <rcc rId="5348" sId="5" numFmtId="4">
    <nc r="E433">
      <v>9</v>
    </nc>
  </rcc>
  <rcc rId="5349" sId="5" numFmtId="4">
    <nc r="F433">
      <v>11</v>
    </nc>
  </rcc>
  <rcc rId="5350" sId="5" numFmtId="4">
    <nc r="G433">
      <v>10</v>
    </nc>
  </rcc>
  <rcc rId="5351" sId="5" numFmtId="4">
    <nc r="B434">
      <v>11</v>
    </nc>
  </rcc>
  <rcc rId="5352" sId="5" numFmtId="4">
    <nc r="C434">
      <v>60</v>
    </nc>
  </rcc>
  <rcc rId="5353" sId="5" numFmtId="4">
    <nc r="D434">
      <v>13</v>
    </nc>
  </rcc>
  <rcc rId="5354" sId="5" numFmtId="4">
    <nc r="E434">
      <v>10</v>
    </nc>
  </rcc>
  <rcc rId="5355" sId="5" numFmtId="4">
    <nc r="F434">
      <v>8</v>
    </nc>
  </rcc>
  <rcc rId="5356" sId="5" numFmtId="4">
    <nc r="G434">
      <v>4</v>
    </nc>
  </rcc>
  <rcc rId="5357" sId="5" numFmtId="4">
    <nc r="B435">
      <v>11</v>
    </nc>
  </rcc>
  <rcc rId="5358" sId="5" numFmtId="4">
    <nc r="C435">
      <v>60</v>
    </nc>
  </rcc>
  <rcc rId="5359" sId="5" numFmtId="4">
    <nc r="D435">
      <v>14</v>
    </nc>
  </rcc>
  <rcc rId="5360" sId="5" numFmtId="4">
    <nc r="E435">
      <v>9</v>
    </nc>
  </rcc>
  <rcc rId="5361" sId="5" numFmtId="4">
    <nc r="F435">
      <v>15</v>
    </nc>
  </rcc>
  <rcc rId="5362" sId="5" numFmtId="4">
    <nc r="G435">
      <v>7</v>
    </nc>
  </rcc>
  <rcc rId="5363" sId="5" numFmtId="4">
    <nc r="B436">
      <v>11</v>
    </nc>
  </rcc>
  <rcc rId="5364" sId="5" numFmtId="4">
    <nc r="C436">
      <v>52</v>
    </nc>
  </rcc>
  <rcc rId="5365" sId="5" numFmtId="4">
    <nc r="D436">
      <v>10</v>
    </nc>
  </rcc>
  <rcc rId="5366" sId="5" numFmtId="4">
    <nc r="E436">
      <v>16</v>
    </nc>
  </rcc>
  <rcc rId="5367" sId="5" numFmtId="4">
    <nc r="F436">
      <v>0</v>
    </nc>
  </rcc>
  <rcc rId="5368" sId="5" numFmtId="4">
    <nc r="G436">
      <v>2</v>
    </nc>
  </rcc>
  <rcc rId="5369" sId="5" numFmtId="4">
    <nc r="B437">
      <v>11</v>
    </nc>
  </rcc>
  <rcc rId="5370" sId="5" numFmtId="4">
    <nc r="C437">
      <v>27</v>
    </nc>
  </rcc>
  <rcc rId="5371" sId="5" numFmtId="4">
    <nc r="D437">
      <v>14</v>
    </nc>
  </rcc>
  <rcc rId="5372" sId="5" numFmtId="4">
    <nc r="E437">
      <v>11</v>
    </nc>
  </rcc>
  <rcc rId="5373" sId="5" numFmtId="4">
    <nc r="F437">
      <v>1</v>
    </nc>
  </rcc>
  <rcc rId="5374" sId="5" numFmtId="4">
    <nc r="G437">
      <v>2</v>
    </nc>
  </rcc>
  <rcc rId="5375" sId="5" numFmtId="4">
    <nc r="B438">
      <v>11</v>
    </nc>
  </rcc>
  <rcc rId="5376" sId="5" numFmtId="4">
    <nc r="C438">
      <v>27</v>
    </nc>
  </rcc>
  <rcc rId="5377" sId="5" numFmtId="4">
    <nc r="D438">
      <v>13</v>
    </nc>
  </rcc>
  <rcc rId="5378" sId="5" numFmtId="4">
    <nc r="E438">
      <v>10</v>
    </nc>
  </rcc>
  <rcc rId="5379" sId="5" numFmtId="4">
    <nc r="F438">
      <v>0</v>
    </nc>
  </rcc>
  <rcc rId="5380" sId="5" numFmtId="4">
    <nc r="G438">
      <v>1</v>
    </nc>
  </rcc>
  <rcc rId="5381" sId="5" numFmtId="4">
    <nc r="B439">
      <v>11</v>
    </nc>
  </rcc>
  <rcc rId="5382" sId="5" numFmtId="4">
    <nc r="C439">
      <v>27</v>
    </nc>
  </rcc>
  <rcc rId="5383" sId="5" numFmtId="4">
    <nc r="D439">
      <v>12</v>
    </nc>
  </rcc>
  <rcc rId="5384" sId="5" numFmtId="4">
    <nc r="E439">
      <v>11</v>
    </nc>
  </rcc>
  <rcc rId="5385" sId="5" numFmtId="4">
    <nc r="F439">
      <v>2</v>
    </nc>
  </rcc>
  <rcc rId="5386" sId="5" numFmtId="4">
    <nc r="G439">
      <v>2</v>
    </nc>
  </rcc>
  <rcc rId="5387" sId="5" numFmtId="4">
    <nc r="B440">
      <v>11</v>
    </nc>
  </rcc>
  <rcc rId="5388" sId="5" numFmtId="4">
    <nc r="C440">
      <v>27</v>
    </nc>
  </rcc>
  <rcc rId="5389" sId="5" numFmtId="4">
    <nc r="D440">
      <v>10</v>
    </nc>
  </rcc>
  <rcc rId="5390" sId="5" numFmtId="4">
    <nc r="E440">
      <v>12</v>
    </nc>
  </rcc>
  <rcc rId="5391" sId="5" numFmtId="4">
    <nc r="F440">
      <v>0</v>
    </nc>
  </rcc>
  <rcc rId="5392" sId="5" numFmtId="4">
    <nc r="G440">
      <v>1</v>
    </nc>
  </rcc>
  <rcc rId="5393" sId="5" numFmtId="4">
    <nc r="B441">
      <v>11</v>
    </nc>
  </rcc>
  <rcc rId="5394" sId="5" numFmtId="4">
    <nc r="C441">
      <v>27</v>
    </nc>
  </rcc>
  <rcc rId="5395" sId="5" numFmtId="4">
    <nc r="D441">
      <v>11</v>
    </nc>
  </rcc>
  <rcc rId="5396" sId="5" numFmtId="4">
    <nc r="E441">
      <v>10</v>
    </nc>
  </rcc>
  <rcc rId="5397" sId="5" numFmtId="4">
    <nc r="F441">
      <v>1</v>
    </nc>
  </rcc>
  <rcc rId="5398" sId="5" numFmtId="4">
    <nc r="G441">
      <v>2</v>
    </nc>
  </rcc>
  <rcc rId="5399" sId="5" numFmtId="4">
    <nc r="B442">
      <v>11</v>
    </nc>
  </rcc>
  <rcc rId="5400" sId="5" numFmtId="4">
    <nc r="C442">
      <v>46</v>
    </nc>
  </rcc>
  <rcc rId="5401" sId="5" numFmtId="4">
    <nc r="D442">
      <v>10</v>
    </nc>
  </rcc>
  <rcc rId="5402" sId="5" numFmtId="4">
    <nc r="E442">
      <v>8</v>
    </nc>
  </rcc>
  <rcc rId="5403" sId="5" numFmtId="4">
    <nc r="F442">
      <v>5</v>
    </nc>
  </rcc>
  <rcc rId="5404" sId="5" numFmtId="4">
    <nc r="G442">
      <v>7</v>
    </nc>
  </rcc>
  <rcc rId="5405" sId="5" numFmtId="4">
    <nc r="B443">
      <v>11</v>
    </nc>
  </rcc>
  <rcc rId="5406" sId="5" numFmtId="4">
    <nc r="C443">
      <v>27</v>
    </nc>
  </rcc>
  <rcc rId="5407" sId="5" numFmtId="4">
    <nc r="D443">
      <v>9</v>
    </nc>
  </rcc>
  <rcc rId="5408" sId="5" numFmtId="4">
    <nc r="E443">
      <v>10</v>
    </nc>
  </rcc>
  <rcc rId="5409" sId="5" numFmtId="4">
    <nc r="F443">
      <v>0</v>
    </nc>
  </rcc>
  <rcc rId="5410" sId="5" numFmtId="4">
    <nc r="G443">
      <v>0</v>
    </nc>
  </rcc>
  <rcc rId="5411" sId="5" numFmtId="4">
    <nc r="B444">
      <v>11</v>
    </nc>
  </rcc>
  <rcc rId="5412" sId="5" numFmtId="4">
    <nc r="C444">
      <v>46</v>
    </nc>
  </rcc>
  <rcc rId="5413" sId="5" numFmtId="4">
    <nc r="D444">
      <v>11</v>
    </nc>
  </rcc>
  <rcc rId="5414" sId="5" numFmtId="4">
    <nc r="E444">
      <v>13</v>
    </nc>
  </rcc>
  <rcc rId="5415" sId="5" numFmtId="4">
    <nc r="F444">
      <v>3</v>
    </nc>
  </rcc>
  <rcc rId="5416" sId="5" numFmtId="4">
    <nc r="G444">
      <v>8</v>
    </nc>
  </rcc>
  <rcc rId="5417" sId="5" numFmtId="4">
    <nc r="B445">
      <v>11</v>
    </nc>
  </rcc>
  <rcc rId="5418" sId="5" numFmtId="4">
    <nc r="C445">
      <v>46</v>
    </nc>
  </rcc>
  <rcc rId="5419" sId="5" numFmtId="4">
    <nc r="D445">
      <v>9</v>
    </nc>
  </rcc>
  <rcc rId="5420" sId="5" numFmtId="4">
    <nc r="E445">
      <v>13</v>
    </nc>
  </rcc>
  <rcc rId="5421" sId="5" numFmtId="4">
    <nc r="F445">
      <v>4</v>
    </nc>
  </rcc>
  <rcc rId="5422" sId="5" numFmtId="4">
    <nc r="G445">
      <v>10</v>
    </nc>
  </rcc>
  <rcc rId="5423" sId="5" numFmtId="4">
    <nc r="B446">
      <v>11</v>
    </nc>
  </rcc>
  <rcc rId="5424" sId="5" numFmtId="4">
    <nc r="C446">
      <v>43</v>
    </nc>
  </rcc>
  <rcc rId="5425" sId="5" numFmtId="4">
    <nc r="D446">
      <v>10</v>
    </nc>
  </rcc>
  <rcc rId="5426" sId="5" numFmtId="4">
    <nc r="E446">
      <v>15</v>
    </nc>
  </rcc>
  <rcc rId="5427" sId="5" numFmtId="4">
    <nc r="F446">
      <v>2</v>
    </nc>
  </rcc>
  <rcc rId="5428" sId="5" numFmtId="4">
    <nc r="G446">
      <v>2</v>
    </nc>
  </rcc>
  <rcc rId="5429" sId="5" numFmtId="4">
    <nc r="B447">
      <v>11</v>
    </nc>
  </rcc>
  <rcc rId="5430" sId="5" numFmtId="4">
    <nc r="C447">
      <v>43</v>
    </nc>
  </rcc>
  <rcc rId="5431" sId="5" numFmtId="4">
    <nc r="D447">
      <v>12</v>
    </nc>
  </rcc>
  <rcc rId="5432" sId="5" numFmtId="4">
    <nc r="E447">
      <v>36</v>
    </nc>
  </rcc>
  <rcc rId="5433" sId="5" numFmtId="4">
    <nc r="F447">
      <v>7</v>
    </nc>
  </rcc>
  <rcc rId="5434" sId="5" numFmtId="4">
    <nc r="G447">
      <v>9</v>
    </nc>
  </rcc>
  <rcc rId="5435" sId="5" numFmtId="4">
    <nc r="B448">
      <v>11</v>
    </nc>
  </rcc>
  <rcc rId="5436" sId="5" numFmtId="4">
    <nc r="C448">
      <v>26</v>
    </nc>
  </rcc>
  <rcc rId="5437" sId="5" numFmtId="4">
    <nc r="D448">
      <v>13</v>
    </nc>
  </rcc>
  <rcc rId="5438" sId="5" numFmtId="4">
    <nc r="E448">
      <v>4</v>
    </nc>
  </rcc>
  <rcc rId="5439" sId="5" numFmtId="4">
    <nc r="F448">
      <v>15</v>
    </nc>
  </rcc>
  <rcc rId="5440" sId="5" numFmtId="4">
    <nc r="G448">
      <v>2</v>
    </nc>
  </rcc>
  <rcc rId="5441" sId="5" numFmtId="4">
    <nc r="B449">
      <v>11</v>
    </nc>
  </rcc>
  <rcc rId="5442" sId="5" numFmtId="4">
    <nc r="C449">
      <v>26</v>
    </nc>
  </rcc>
  <rcc rId="5443" sId="5" numFmtId="4">
    <nc r="D449">
      <v>14</v>
    </nc>
  </rcc>
  <rcc rId="5444" sId="5" numFmtId="4">
    <nc r="E449">
      <v>10</v>
    </nc>
  </rcc>
  <rcc rId="5445" sId="5" numFmtId="4">
    <nc r="F449">
      <v>13</v>
    </nc>
  </rcc>
  <rcc rId="5446" sId="5" numFmtId="4">
    <nc r="G449">
      <v>5</v>
    </nc>
  </rcc>
  <rcc rId="5447" sId="2" numFmtId="4">
    <nc r="B202">
      <v>9</v>
    </nc>
  </rcc>
  <rcc rId="5448" sId="2" numFmtId="4">
    <nc r="C202">
      <v>5</v>
    </nc>
  </rcc>
  <rcc rId="5449" sId="2" numFmtId="4">
    <nc r="D202">
      <v>10</v>
    </nc>
  </rcc>
  <rcc rId="5450" sId="2" numFmtId="4">
    <nc r="E202">
      <v>12</v>
    </nc>
  </rcc>
  <rcc rId="5451" sId="2" numFmtId="4">
    <nc r="F202">
      <v>15</v>
    </nc>
  </rcc>
  <rcc rId="5452" sId="2" numFmtId="4">
    <nc r="G202">
      <v>28</v>
    </nc>
  </rcc>
  <rcc rId="5453" sId="2" numFmtId="4">
    <nc r="B203">
      <v>9</v>
    </nc>
  </rcc>
  <rcc rId="5454" sId="2" numFmtId="4">
    <nc r="C203">
      <v>5</v>
    </nc>
  </rcc>
  <rcc rId="5455" sId="2" numFmtId="4">
    <nc r="D203">
      <v>11</v>
    </nc>
  </rcc>
  <rcc rId="5456" sId="2" numFmtId="4">
    <nc r="E203">
      <v>18</v>
    </nc>
  </rcc>
  <rcc rId="5457" sId="2" numFmtId="4">
    <nc r="F203">
      <v>14</v>
    </nc>
  </rcc>
  <rcc rId="5458" sId="2" numFmtId="4">
    <nc r="G203">
      <v>2</v>
    </nc>
  </rcc>
  <rcc rId="5459" sId="2" numFmtId="4">
    <nc r="B204">
      <v>9</v>
    </nc>
  </rcc>
  <rcc rId="5460" sId="2" numFmtId="4">
    <nc r="C204">
      <v>5</v>
    </nc>
  </rcc>
  <rcc rId="5461" sId="2" numFmtId="4">
    <nc r="D204">
      <v>12</v>
    </nc>
  </rcc>
  <rcc rId="5462" sId="2" numFmtId="4">
    <nc r="E204">
      <v>16</v>
    </nc>
  </rcc>
  <rcc rId="5463" sId="2" numFmtId="4">
    <nc r="F204">
      <v>19</v>
    </nc>
  </rcc>
  <rcc rId="5464" sId="2" numFmtId="4">
    <nc r="G204">
      <v>8</v>
    </nc>
  </rcc>
  <rcc rId="5465" sId="2" numFmtId="4">
    <nc r="B205">
      <v>9</v>
    </nc>
  </rcc>
  <rcc rId="5466" sId="2" numFmtId="4">
    <nc r="C205">
      <v>5</v>
    </nc>
  </rcc>
  <rcc rId="5467" sId="2" numFmtId="4">
    <nc r="D205">
      <v>13</v>
    </nc>
  </rcc>
  <rcc rId="5468" sId="2" numFmtId="4">
    <nc r="E205">
      <v>28</v>
    </nc>
  </rcc>
  <rcc rId="5469" sId="2" numFmtId="4">
    <nc r="F205">
      <v>33</v>
    </nc>
  </rcc>
  <rcc rId="5470" sId="2" numFmtId="4">
    <nc r="G205">
      <v>10</v>
    </nc>
  </rcc>
  <rcc rId="5471" sId="2" numFmtId="4">
    <nc r="B206">
      <v>9</v>
    </nc>
  </rcc>
  <rcc rId="5472" sId="2" numFmtId="4">
    <nc r="C206">
      <v>22</v>
    </nc>
  </rcc>
  <rcc rId="5473" sId="2" numFmtId="4">
    <nc r="D206">
      <v>7</v>
    </nc>
  </rcc>
  <rcc rId="5474" sId="2" numFmtId="4">
    <nc r="E206">
      <v>20</v>
    </nc>
  </rcc>
  <rcc rId="5475" sId="2" numFmtId="4">
    <nc r="F206">
      <v>43</v>
    </nc>
  </rcc>
  <rcc rId="5476" sId="2" numFmtId="4">
    <nc r="G206">
      <v>5</v>
    </nc>
  </rcc>
  <rcc rId="5477" sId="5" numFmtId="4">
    <nc r="B450">
      <v>11</v>
    </nc>
  </rcc>
  <rcc rId="5478" sId="5" numFmtId="4">
    <nc r="C450">
      <v>23</v>
    </nc>
  </rcc>
  <rcc rId="5479" sId="5" numFmtId="4">
    <nc r="D450">
      <v>12</v>
    </nc>
  </rcc>
  <rcc rId="5480" sId="5" numFmtId="4">
    <nc r="E450">
      <v>26</v>
    </nc>
  </rcc>
  <rcc rId="5481" sId="5" numFmtId="4">
    <nc r="F450">
      <v>8</v>
    </nc>
  </rcc>
  <rcc rId="5482" sId="5" numFmtId="4">
    <nc r="G450">
      <v>10</v>
    </nc>
  </rcc>
</revisions>
</file>

<file path=xl/revisions/revisionLog95.xml><?xml version="1.0" encoding="utf-8"?>
<revisions xmlns="http://schemas.openxmlformats.org/spreadsheetml/2006/main" xmlns:r="http://schemas.openxmlformats.org/officeDocument/2006/relationships">
  <rcc rId="5483" sId="5" numFmtId="4">
    <nc r="B451">
      <v>11</v>
    </nc>
  </rcc>
  <rcc rId="5484" sId="5" numFmtId="4">
    <nc r="C451">
      <v>23</v>
    </nc>
  </rcc>
  <rcc rId="5485" sId="5" numFmtId="4">
    <nc r="D451">
      <v>13</v>
    </nc>
  </rcc>
  <rcc rId="5486" sId="5" numFmtId="4">
    <nc r="E451">
      <v>19</v>
    </nc>
  </rcc>
  <rcc rId="5487" sId="5" numFmtId="4">
    <nc r="F451">
      <v>10</v>
    </nc>
  </rcc>
  <rcc rId="5488" sId="5" numFmtId="4">
    <nc r="G451">
      <v>11</v>
    </nc>
  </rcc>
  <rcc rId="5489" sId="5" numFmtId="4">
    <nc r="B452">
      <v>11</v>
    </nc>
  </rcc>
  <rcc rId="5490" sId="5" numFmtId="4">
    <nc r="C452">
      <v>23</v>
    </nc>
  </rcc>
  <rcc rId="5491" sId="5" numFmtId="4">
    <nc r="D452">
      <v>11</v>
    </nc>
  </rcc>
  <rcc rId="5492" sId="5" numFmtId="4">
    <nc r="E452">
      <v>18</v>
    </nc>
  </rcc>
  <rcc rId="5493" sId="5" numFmtId="4">
    <nc r="F452">
      <v>11</v>
    </nc>
  </rcc>
  <rcc rId="5494" sId="5" numFmtId="4">
    <nc r="G452">
      <v>5</v>
    </nc>
  </rcc>
  <rcc rId="5495" sId="5" numFmtId="4">
    <nc r="B453">
      <v>11</v>
    </nc>
  </rcc>
  <rcc rId="5496" sId="5" numFmtId="4">
    <nc r="C453">
      <v>23</v>
    </nc>
  </rcc>
  <rcc rId="5497" sId="5" numFmtId="4">
    <nc r="D453">
      <v>14</v>
    </nc>
  </rcc>
  <rcc rId="5498" sId="5" numFmtId="4">
    <nc r="E453">
      <v>17</v>
    </nc>
  </rcc>
  <rcc rId="5499" sId="5" numFmtId="4">
    <nc r="F453">
      <v>4</v>
    </nc>
  </rcc>
  <rcc rId="5500" sId="5" numFmtId="4">
    <nc r="G453">
      <v>0</v>
    </nc>
  </rcc>
  <rcc rId="5501" sId="5" numFmtId="4">
    <nc r="B454">
      <v>11</v>
    </nc>
  </rcc>
  <rcc rId="5502" sId="5" numFmtId="4">
    <nc r="C454">
      <v>23</v>
    </nc>
  </rcc>
  <rcc rId="5503" sId="5" numFmtId="4">
    <nc r="D454">
      <v>10</v>
    </nc>
  </rcc>
  <rcc rId="5504" sId="5" numFmtId="4">
    <nc r="E454">
      <v>16</v>
    </nc>
  </rcc>
  <rcc rId="5505" sId="5" numFmtId="4">
    <nc r="F454">
      <v>4</v>
    </nc>
  </rcc>
  <rcc rId="5506" sId="5" numFmtId="4">
    <nc r="G454">
      <v>8</v>
    </nc>
  </rcc>
  <rcc rId="5507" sId="5" numFmtId="4">
    <nc r="B455">
      <v>11</v>
    </nc>
  </rcc>
  <rcc rId="5508" sId="5" numFmtId="4">
    <nc r="C455">
      <v>23</v>
    </nc>
  </rcc>
  <rcc rId="5509" sId="5" numFmtId="4">
    <nc r="D455">
      <v>9</v>
    </nc>
  </rcc>
  <rcc rId="5510" sId="5" numFmtId="4">
    <nc r="E455">
      <v>25</v>
    </nc>
  </rcc>
  <rcc rId="5511" sId="5" numFmtId="4">
    <nc r="F455">
      <v>1</v>
    </nc>
  </rcc>
  <rcc rId="5512" sId="5" numFmtId="4">
    <nc r="G455">
      <v>4</v>
    </nc>
  </rcc>
  <rcc rId="5513" sId="5" numFmtId="4">
    <nc r="B456">
      <v>11</v>
    </nc>
  </rcc>
  <rcc rId="5514" sId="5" numFmtId="4">
    <nc r="C456">
      <v>59</v>
    </nc>
  </rcc>
  <rcc rId="5515" sId="5" numFmtId="4">
    <nc r="D456">
      <v>11</v>
    </nc>
  </rcc>
  <rcc rId="5516" sId="5" numFmtId="4">
    <nc r="E456">
      <v>9</v>
    </nc>
  </rcc>
  <rcc rId="5517" sId="5" numFmtId="4">
    <nc r="F456">
      <v>9</v>
    </nc>
  </rcc>
  <rcc rId="5518" sId="5" numFmtId="4">
    <nc r="G456">
      <v>4</v>
    </nc>
  </rcc>
  <rcc rId="5519" sId="5" numFmtId="4">
    <nc r="B457">
      <v>11</v>
    </nc>
  </rcc>
  <rcc rId="5520" sId="5" numFmtId="4">
    <nc r="C457">
      <v>59</v>
    </nc>
  </rcc>
  <rcc rId="5521" sId="5" numFmtId="4">
    <nc r="D457">
      <v>12</v>
    </nc>
  </rcc>
  <rcc rId="5522" sId="5" numFmtId="4">
    <nc r="E457">
      <v>5</v>
    </nc>
  </rcc>
  <rcc rId="5523" sId="5" numFmtId="4">
    <nc r="F457">
      <v>11</v>
    </nc>
  </rcc>
  <rcc rId="5524" sId="5" numFmtId="4">
    <nc r="G457">
      <v>3</v>
    </nc>
  </rcc>
  <rcc rId="5525" sId="5" numFmtId="4">
    <nc r="B458">
      <v>11</v>
    </nc>
  </rcc>
  <rcc rId="5526" sId="5" numFmtId="4">
    <nc r="C458">
      <v>44</v>
    </nc>
  </rcc>
  <rcc rId="5527" sId="5" numFmtId="4">
    <nc r="D458">
      <v>14</v>
    </nc>
  </rcc>
  <rcc rId="5528" sId="5" numFmtId="4">
    <nc r="E458">
      <v>1</v>
    </nc>
  </rcc>
  <rcc rId="5529" sId="5" numFmtId="4">
    <nc r="F458">
      <v>22</v>
    </nc>
  </rcc>
  <rcc rId="5530" sId="5" numFmtId="4">
    <nc r="G458">
      <v>2</v>
    </nc>
  </rcc>
  <rcc rId="5531" sId="5" numFmtId="4">
    <nc r="B459">
      <v>11</v>
    </nc>
  </rcc>
  <rcc rId="5532" sId="5" numFmtId="4">
    <nc r="C459">
      <v>44</v>
    </nc>
  </rcc>
  <rcc rId="5533" sId="5" numFmtId="4">
    <nc r="D459">
      <v>15</v>
    </nc>
  </rcc>
  <rcc rId="5534" sId="5" numFmtId="4">
    <nc r="E459">
      <v>3</v>
    </nc>
  </rcc>
  <rcc rId="5535" sId="5" numFmtId="4">
    <nc r="F459">
      <v>16</v>
    </nc>
  </rcc>
  <rcc rId="5536" sId="5" numFmtId="4">
    <nc r="G459">
      <v>1</v>
    </nc>
  </rcc>
  <rcc rId="5537" sId="5" numFmtId="4">
    <nc r="B460">
      <v>11</v>
    </nc>
  </rcc>
  <rcc rId="5538" sId="5" numFmtId="4">
    <nc r="C460">
      <v>44</v>
    </nc>
  </rcc>
  <rcc rId="5539" sId="5" numFmtId="4">
    <nc r="D460">
      <v>16</v>
    </nc>
  </rcc>
  <rcc rId="5540" sId="5" numFmtId="4">
    <nc r="E460">
      <v>3</v>
    </nc>
  </rcc>
  <rcc rId="5541" sId="5" numFmtId="4">
    <nc r="F460">
      <v>17</v>
    </nc>
  </rcc>
  <rcc rId="5542" sId="5" numFmtId="4">
    <nc r="G460">
      <v>4</v>
    </nc>
  </rcc>
  <rcc rId="5543" sId="5" numFmtId="4">
    <nc r="B461">
      <v>11</v>
    </nc>
  </rcc>
  <rcc rId="5544" sId="5" numFmtId="4">
    <nc r="C461">
      <v>36</v>
    </nc>
  </rcc>
  <rcc rId="5545" sId="5" numFmtId="4">
    <nc r="D461">
      <v>13</v>
    </nc>
  </rcc>
  <rcc rId="5546" sId="5" numFmtId="4">
    <nc r="E461">
      <v>10</v>
    </nc>
  </rcc>
  <rcc rId="5547" sId="5" numFmtId="4">
    <nc r="F461">
      <v>2</v>
    </nc>
  </rcc>
  <rcc rId="5548" sId="5" numFmtId="4">
    <nc r="G461">
      <v>0</v>
    </nc>
  </rcc>
  <rcc rId="5549" sId="5" numFmtId="4">
    <nc r="B462">
      <v>11</v>
    </nc>
  </rcc>
  <rcc rId="5550" sId="5" numFmtId="4">
    <nc r="C462">
      <v>48</v>
    </nc>
  </rcc>
  <rcc rId="5551" sId="5" numFmtId="4">
    <nc r="D462">
      <v>9</v>
    </nc>
  </rcc>
  <rcc rId="5552" sId="5" numFmtId="4">
    <nc r="E462">
      <v>25</v>
    </nc>
  </rcc>
  <rcc rId="5553" sId="5" numFmtId="4">
    <nc r="F462">
      <v>10</v>
    </nc>
  </rcc>
  <rcc rId="5554" sId="5" numFmtId="4">
    <nc r="G462">
      <v>31</v>
    </nc>
  </rcc>
  <rcc rId="5555" sId="5" numFmtId="4">
    <nc r="B463">
      <v>11</v>
    </nc>
  </rcc>
  <rcc rId="5556" sId="5" numFmtId="4">
    <nc r="C463">
      <v>48</v>
    </nc>
  </rcc>
  <rcc rId="5557" sId="5" numFmtId="4">
    <nc r="D463">
      <v>11</v>
    </nc>
  </rcc>
  <rcc rId="5558" sId="5" numFmtId="4">
    <nc r="E463">
      <v>18</v>
    </nc>
  </rcc>
  <rcc rId="5559" sId="5" numFmtId="4">
    <nc r="F463">
      <v>12</v>
    </nc>
  </rcc>
  <rcc rId="5560" sId="5" numFmtId="4">
    <nc r="G463">
      <v>29</v>
    </nc>
  </rcc>
  <rcc rId="5561" sId="5" numFmtId="4">
    <nc r="B464">
      <v>11</v>
    </nc>
  </rcc>
  <rcc rId="5562" sId="5" numFmtId="4">
    <nc r="C464">
      <v>54</v>
    </nc>
  </rcc>
  <rcc rId="5563" sId="5" numFmtId="4">
    <nc r="D464">
      <v>10</v>
    </nc>
  </rcc>
  <rcc rId="5564" sId="5" numFmtId="4">
    <nc r="E464">
      <v>15</v>
    </nc>
  </rcc>
  <rcc rId="5565" sId="5" numFmtId="4">
    <nc r="F464">
      <v>2</v>
    </nc>
  </rcc>
  <rcc rId="5566" sId="5" numFmtId="4">
    <nc r="G464">
      <v>1</v>
    </nc>
  </rcc>
  <rcc rId="5567" sId="5" numFmtId="4">
    <nc r="B465">
      <v>11</v>
    </nc>
  </rcc>
  <rcc rId="5568" sId="5" numFmtId="4">
    <nc r="C465">
      <v>59</v>
    </nc>
  </rcc>
  <rcc rId="5569" sId="5" numFmtId="4">
    <nc r="D465">
      <v>12</v>
    </nc>
  </rcc>
  <rcc rId="5570" sId="5" numFmtId="4">
    <nc r="E465">
      <v>11</v>
    </nc>
  </rcc>
  <rcc rId="5571" sId="5" numFmtId="4">
    <nc r="F465">
      <v>1</v>
    </nc>
  </rcc>
  <rcc rId="5572" sId="5" numFmtId="4">
    <nc r="G465">
      <v>3</v>
    </nc>
  </rcc>
  <rcc rId="5573" sId="5" numFmtId="4">
    <nc r="B466">
      <v>11</v>
    </nc>
  </rcc>
  <rcc rId="5574" sId="5" numFmtId="4">
    <nc r="C466">
      <v>40</v>
    </nc>
  </rcc>
  <rcc rId="5575" sId="5" numFmtId="4">
    <nc r="D466">
      <v>14</v>
    </nc>
  </rcc>
  <rcc rId="5576" sId="5" numFmtId="4">
    <nc r="E466">
      <v>2</v>
    </nc>
  </rcc>
  <rcc rId="5577" sId="5" numFmtId="4">
    <nc r="F466">
      <v>3</v>
    </nc>
  </rcc>
  <rcc rId="5578" sId="5" numFmtId="4">
    <nc r="G466">
      <v>1</v>
    </nc>
  </rcc>
  <rcc rId="5579" sId="5" numFmtId="4">
    <nc r="B467">
      <v>11</v>
    </nc>
  </rcc>
  <rcc rId="5580" sId="5" numFmtId="4">
    <nc r="C467">
      <v>40</v>
    </nc>
  </rcc>
  <rcc rId="5581" sId="5" numFmtId="4">
    <nc r="D467">
      <v>12</v>
    </nc>
  </rcc>
  <rcc rId="5582" sId="5" numFmtId="4">
    <nc r="E467">
      <v>4</v>
    </nc>
  </rcc>
  <rcc rId="5583" sId="5" numFmtId="4">
    <nc r="F467">
      <v>9</v>
    </nc>
  </rcc>
  <rcc rId="5584" sId="5" numFmtId="4">
    <nc r="G467">
      <v>4</v>
    </nc>
  </rcc>
  <rcc rId="5585" sId="5" numFmtId="4">
    <nc r="B468">
      <v>11</v>
    </nc>
  </rcc>
  <rcc rId="5586" sId="5" numFmtId="4">
    <nc r="C468">
      <v>40</v>
    </nc>
  </rcc>
  <rcc rId="5587" sId="5" numFmtId="4">
    <nc r="D468">
      <v>13</v>
    </nc>
  </rcc>
  <rcc rId="5588" sId="5" numFmtId="4">
    <nc r="E468">
      <v>7</v>
    </nc>
  </rcc>
  <rcc rId="5589" sId="5" numFmtId="4">
    <nc r="F468">
      <v>5</v>
    </nc>
  </rcc>
  <rcc rId="5590" sId="5" numFmtId="4">
    <nc r="G468">
      <v>3</v>
    </nc>
  </rcc>
  <rcc rId="5591" sId="5" numFmtId="4">
    <nc r="B469">
      <v>11</v>
    </nc>
  </rcc>
  <rcc rId="5592" sId="5" numFmtId="4">
    <nc r="C469">
      <v>45</v>
    </nc>
  </rcc>
  <rcc rId="5593" sId="5" numFmtId="4">
    <nc r="D469">
      <v>14</v>
    </nc>
  </rcc>
  <rcc rId="5594" sId="5" numFmtId="4">
    <nc r="E469">
      <v>5</v>
    </nc>
  </rcc>
  <rcc rId="5595" sId="5" numFmtId="4">
    <nc r="F469">
      <v>22</v>
    </nc>
  </rcc>
  <rcc rId="5596" sId="5" numFmtId="4">
    <nc r="G469">
      <v>6</v>
    </nc>
  </rcc>
</revisions>
</file>

<file path=xl/revisions/revisionLog96.xml><?xml version="1.0" encoding="utf-8"?>
<revisions xmlns="http://schemas.openxmlformats.org/spreadsheetml/2006/main" xmlns:r="http://schemas.openxmlformats.org/officeDocument/2006/relationships">
  <rcc rId="5597" sId="5" numFmtId="4">
    <nc r="B470">
      <v>11</v>
    </nc>
  </rcc>
  <rcc rId="5598" sId="5" numFmtId="4">
    <nc r="C470">
      <v>54</v>
    </nc>
  </rcc>
  <rcc rId="5599" sId="5" numFmtId="4">
    <nc r="D470">
      <v>13</v>
    </nc>
  </rcc>
  <rcc rId="5600" sId="5" numFmtId="4">
    <nc r="E470">
      <v>11</v>
    </nc>
  </rcc>
  <rcc rId="5601" sId="5" numFmtId="4">
    <nc r="F470">
      <v>1</v>
    </nc>
  </rcc>
  <rcc rId="5602" sId="5" numFmtId="4">
    <nc r="G470">
      <v>0</v>
    </nc>
  </rcc>
  <rcc rId="5603" sId="5" numFmtId="4">
    <nc r="B471">
      <v>11</v>
    </nc>
  </rcc>
  <rcc rId="5604" sId="5" numFmtId="4">
    <nc r="C471">
      <v>54</v>
    </nc>
  </rcc>
  <rcc rId="5605" sId="5" numFmtId="4">
    <nc r="D471">
      <v>14</v>
    </nc>
  </rcc>
  <rcc rId="5606" sId="5" numFmtId="4">
    <nc r="E471">
      <v>14</v>
    </nc>
  </rcc>
  <rcc rId="5607" sId="5" numFmtId="4">
    <nc r="F471">
      <v>2</v>
    </nc>
  </rcc>
  <rcc rId="5608" sId="5" numFmtId="4">
    <nc r="G471">
      <v>0</v>
    </nc>
  </rcc>
  <rcc rId="5609" sId="5" numFmtId="4">
    <nc r="B472">
      <v>11</v>
    </nc>
  </rcc>
  <rcc rId="5610" sId="5" numFmtId="4">
    <nc r="C472">
      <v>54</v>
    </nc>
  </rcc>
  <rcc rId="5611" sId="5" numFmtId="4">
    <nc r="D472">
      <v>11</v>
    </nc>
  </rcc>
  <rcc rId="5612" sId="5" numFmtId="4">
    <nc r="E472">
      <v>6</v>
    </nc>
  </rcc>
  <rcc rId="5613" sId="5" numFmtId="4">
    <nc r="F472">
      <v>0</v>
    </nc>
  </rcc>
  <rcc rId="5614" sId="5" numFmtId="4">
    <nc r="G472">
      <v>0</v>
    </nc>
  </rcc>
  <rcc rId="5615" sId="5" numFmtId="4">
    <nc r="B473">
      <v>11</v>
    </nc>
  </rcc>
  <rcc rId="5616" sId="5" numFmtId="4">
    <nc r="C473">
      <v>36</v>
    </nc>
  </rcc>
  <rcc rId="5617" sId="5" numFmtId="4">
    <nc r="D473">
      <v>11</v>
    </nc>
  </rcc>
  <rcc rId="5618" sId="5" numFmtId="4">
    <nc r="E473">
      <v>17</v>
    </nc>
  </rcc>
  <rcc rId="5619" sId="5" numFmtId="4">
    <nc r="F473">
      <v>5</v>
    </nc>
  </rcc>
  <rcc rId="5620" sId="5" numFmtId="4">
    <nc r="G473">
      <v>3</v>
    </nc>
  </rcc>
  <rcc rId="5621" sId="5" numFmtId="4">
    <nc r="B474">
      <v>11</v>
    </nc>
  </rcc>
  <rcc rId="5622" sId="5" numFmtId="4">
    <nc r="C474">
      <v>54</v>
    </nc>
  </rcc>
  <rcc rId="5623" sId="5" numFmtId="4">
    <nc r="D474">
      <v>9</v>
    </nc>
  </rcc>
  <rcc rId="5624" sId="5" numFmtId="4">
    <nc r="E474">
      <v>15</v>
    </nc>
  </rcc>
  <rcc rId="5625" sId="5" numFmtId="4">
    <nc r="F474">
      <v>2</v>
    </nc>
  </rcc>
  <rcc rId="5626" sId="5" numFmtId="4">
    <nc r="G474">
      <v>0</v>
    </nc>
  </rcc>
  <rcc rId="5627" sId="5" numFmtId="4">
    <nc r="B475">
      <v>11</v>
    </nc>
  </rcc>
  <rcc rId="5628" sId="5" numFmtId="4">
    <nc r="C475">
      <v>36</v>
    </nc>
  </rcc>
  <rcc rId="5629" sId="5" numFmtId="4">
    <nc r="D475">
      <v>12</v>
    </nc>
  </rcc>
  <rcc rId="5630" sId="5" numFmtId="4">
    <nc r="E475">
      <v>15</v>
    </nc>
  </rcc>
  <rcc rId="5631" sId="5" numFmtId="4">
    <nc r="F475">
      <v>4</v>
    </nc>
  </rcc>
  <rcc rId="5632" sId="5" numFmtId="4">
    <nc r="G475">
      <v>0</v>
    </nc>
  </rcc>
  <rcc rId="5633" sId="5" numFmtId="4">
    <nc r="B476">
      <v>11</v>
    </nc>
  </rcc>
  <rcc rId="5634" sId="5" numFmtId="4">
    <nc r="C476">
      <v>48</v>
    </nc>
  </rcc>
  <rcc rId="5635" sId="5" numFmtId="4">
    <nc r="D476">
      <v>10</v>
    </nc>
  </rcc>
  <rcc rId="5636" sId="5" numFmtId="4">
    <nc r="E476">
      <v>23</v>
    </nc>
  </rcc>
  <rcc rId="5637" sId="5" numFmtId="4">
    <nc r="F476">
      <v>8</v>
    </nc>
  </rcc>
  <rcc rId="5638" sId="5" numFmtId="4">
    <nc r="G476">
      <v>35</v>
    </nc>
  </rcc>
  <rcc rId="5639" sId="5" numFmtId="4">
    <nc r="B477">
      <v>11</v>
    </nc>
  </rcc>
  <rcc rId="5640" sId="5" numFmtId="4">
    <nc r="C477">
      <v>36</v>
    </nc>
  </rcc>
  <rcc rId="5641" sId="5" numFmtId="4">
    <nc r="D477">
      <v>10</v>
    </nc>
  </rcc>
  <rcc rId="5642" sId="5" numFmtId="4">
    <nc r="E477">
      <v>20</v>
    </nc>
  </rcc>
  <rcc rId="5643" sId="5" numFmtId="4">
    <nc r="F477">
      <v>3</v>
    </nc>
  </rcc>
  <rcc rId="5644" sId="5" numFmtId="4">
    <nc r="G477">
      <v>2</v>
    </nc>
  </rcc>
  <rcc rId="5645" sId="5" numFmtId="4">
    <nc r="B478">
      <v>11</v>
    </nc>
  </rcc>
  <rcc rId="5646" sId="5" numFmtId="4">
    <nc r="C478">
      <v>48</v>
    </nc>
  </rcc>
  <rcc rId="5647" sId="5" numFmtId="4">
    <nc r="D478">
      <v>8</v>
    </nc>
  </rcc>
  <rcc rId="5648" sId="5" numFmtId="4">
    <nc r="E478">
      <v>17</v>
    </nc>
  </rcc>
  <rcc rId="5649" sId="5" numFmtId="4">
    <nc r="F478">
      <v>9</v>
    </nc>
  </rcc>
  <rcc rId="5650" sId="5" numFmtId="4">
    <nc r="G478">
      <v>18</v>
    </nc>
  </rcc>
  <rcc rId="5651" sId="5" numFmtId="4">
    <nc r="B479">
      <v>11</v>
    </nc>
  </rcc>
  <rcc rId="5652" sId="5" numFmtId="4">
    <nc r="C479">
      <v>42</v>
    </nc>
  </rcc>
  <rcc rId="5653" sId="5" numFmtId="4">
    <nc r="D479">
      <v>7</v>
    </nc>
  </rcc>
  <rcc rId="5654" sId="5" numFmtId="4">
    <nc r="E479">
      <v>14</v>
    </nc>
  </rcc>
  <rcc rId="5655" sId="5" numFmtId="4">
    <nc r="F479">
      <v>8</v>
    </nc>
  </rcc>
  <rcc rId="5656" sId="5" numFmtId="4">
    <nc r="G479">
      <v>5</v>
    </nc>
  </rcc>
  <rcc rId="5657" sId="5" numFmtId="4">
    <nc r="B480">
      <v>11</v>
    </nc>
  </rcc>
  <rcc rId="5658" sId="5" numFmtId="4">
    <nc r="C480">
      <v>42</v>
    </nc>
  </rcc>
  <rcc rId="5659" sId="5" numFmtId="4">
    <nc r="D480">
      <v>8</v>
    </nc>
  </rcc>
  <rcc rId="5660" sId="5" numFmtId="4">
    <nc r="E480">
      <v>18</v>
    </nc>
  </rcc>
  <rcc rId="5661" sId="5" numFmtId="4">
    <nc r="F480">
      <v>6</v>
    </nc>
  </rcc>
  <rcc rId="5662" sId="5" numFmtId="4">
    <nc r="G480">
      <v>4</v>
    </nc>
  </rcc>
  <rcc rId="5663" sId="5" numFmtId="4">
    <nc r="B481">
      <v>11</v>
    </nc>
  </rcc>
  <rcc rId="5664" sId="5" numFmtId="4">
    <nc r="C481">
      <v>49</v>
    </nc>
  </rcc>
  <rcc rId="5665" sId="5" numFmtId="4">
    <nc r="D481">
      <v>12</v>
    </nc>
  </rcc>
  <rcc rId="5666" sId="5" numFmtId="4">
    <nc r="E481">
      <v>2</v>
    </nc>
  </rcc>
  <rcc rId="5667" sId="5" numFmtId="4">
    <nc r="F481">
      <v>0</v>
    </nc>
  </rcc>
  <rcc rId="5668" sId="5" numFmtId="4">
    <nc r="G481">
      <v>0</v>
    </nc>
  </rcc>
  <rcc rId="5669" sId="5" numFmtId="4">
    <nc r="B482">
      <v>11</v>
    </nc>
  </rcc>
  <rcc rId="5670" sId="5" numFmtId="4">
    <nc r="C482">
      <v>49</v>
    </nc>
  </rcc>
  <rcc rId="5671" sId="5" numFmtId="4">
    <nc r="D482">
      <v>11</v>
    </nc>
  </rcc>
  <rcc rId="5672" sId="5" numFmtId="4">
    <nc r="E482">
      <v>2</v>
    </nc>
  </rcc>
  <rcc rId="5673" sId="5" numFmtId="4">
    <nc r="F482">
      <v>0</v>
    </nc>
  </rcc>
  <rcc rId="5674" sId="5" numFmtId="4">
    <nc r="G482">
      <v>0</v>
    </nc>
  </rcc>
  <rcc rId="5675" sId="5" numFmtId="4">
    <nc r="B483">
      <v>11</v>
    </nc>
  </rcc>
  <rcc rId="5676" sId="5" numFmtId="4">
    <nc r="C483">
      <v>64</v>
    </nc>
  </rcc>
  <rcc rId="5677" sId="5" numFmtId="4">
    <nc r="D483">
      <v>9</v>
    </nc>
  </rcc>
  <rcc rId="5678" sId="5" numFmtId="4">
    <nc r="E483">
      <v>7</v>
    </nc>
  </rcc>
  <rcc rId="5679" sId="5" numFmtId="4">
    <nc r="F483">
      <v>5</v>
    </nc>
  </rcc>
  <rcc rId="5680" sId="5" numFmtId="4">
    <nc r="G483">
      <v>0</v>
    </nc>
  </rcc>
  <rcc rId="5681" sId="5" numFmtId="4">
    <nc r="B484">
      <v>11</v>
    </nc>
  </rcc>
  <rcc rId="5682" sId="5" numFmtId="4">
    <nc r="C484">
      <v>42</v>
    </nc>
  </rcc>
  <rcc rId="5683" sId="5" numFmtId="4">
    <nc r="D484">
      <v>9</v>
    </nc>
  </rcc>
  <rcc rId="5684" sId="5" numFmtId="4">
    <nc r="E484">
      <v>16</v>
    </nc>
  </rcc>
  <rcc rId="5685" sId="5" numFmtId="4">
    <nc r="F484">
      <v>3</v>
    </nc>
  </rcc>
  <rcc rId="5686" sId="5" numFmtId="4">
    <nc r="G484">
      <v>2</v>
    </nc>
  </rcc>
  <rcc rId="5687" sId="5" numFmtId="4">
    <nc r="B485">
      <v>11</v>
    </nc>
  </rcc>
  <rcc rId="5688" sId="5" numFmtId="4">
    <nc r="C485">
      <v>42</v>
    </nc>
  </rcc>
  <rcc rId="5689" sId="5" numFmtId="4">
    <nc r="D485">
      <v>10</v>
    </nc>
  </rcc>
  <rcc rId="5690" sId="5" numFmtId="4">
    <nc r="E485">
      <v>17</v>
    </nc>
  </rcc>
  <rcc rId="5691" sId="5" numFmtId="4">
    <nc r="F485">
      <v>5</v>
    </nc>
  </rcc>
  <rcc rId="5692" sId="5" numFmtId="4">
    <nc r="G485">
      <v>3</v>
    </nc>
  </rcc>
  <rcc rId="5693" sId="5" numFmtId="4">
    <nc r="B486">
      <v>11</v>
    </nc>
  </rcc>
  <rcc rId="5694" sId="5" numFmtId="4">
    <nc r="C486">
      <v>42</v>
    </nc>
  </rcc>
  <rcc rId="5695" sId="5" numFmtId="4">
    <nc r="D486">
      <v>11</v>
    </nc>
  </rcc>
  <rcc rId="5696" sId="5" numFmtId="4">
    <nc r="E486">
      <v>11</v>
    </nc>
  </rcc>
  <rcc rId="5697" sId="5" numFmtId="4">
    <nc r="F486">
      <v>4</v>
    </nc>
  </rcc>
  <rcc rId="5698" sId="5" numFmtId="4">
    <nc r="G486">
      <v>2</v>
    </nc>
  </rcc>
  <rcc rId="5699" sId="5" numFmtId="4">
    <nc r="B487">
      <v>11</v>
    </nc>
  </rcc>
  <rcc rId="5700" sId="5" numFmtId="4">
    <nc r="C487">
      <v>64</v>
    </nc>
  </rcc>
  <rcc rId="5701" sId="5" numFmtId="4">
    <nc r="D487">
      <v>13</v>
    </nc>
  </rcc>
  <rcc rId="5702" sId="5" numFmtId="4">
    <nc r="E487">
      <v>9</v>
    </nc>
  </rcc>
  <rcc rId="5703" sId="5" numFmtId="4">
    <nc r="F487">
      <v>3</v>
    </nc>
  </rcc>
  <rcc rId="5704" sId="5" numFmtId="4">
    <nc r="G487">
      <v>0</v>
    </nc>
  </rcc>
  <rcc rId="5705" sId="5" numFmtId="4">
    <nc r="B488">
      <v>11</v>
    </nc>
  </rcc>
  <rcc rId="5706" sId="5" numFmtId="4">
    <nc r="C488">
      <v>64</v>
    </nc>
  </rcc>
  <rcc rId="5707" sId="5" numFmtId="4">
    <nc r="D488">
      <v>12</v>
    </nc>
  </rcc>
  <rcc rId="5708" sId="5" numFmtId="4">
    <nc r="E488">
      <v>8</v>
    </nc>
  </rcc>
  <rcc rId="5709" sId="5" numFmtId="4">
    <nc r="F488">
      <v>8</v>
    </nc>
  </rcc>
  <rcc rId="5710" sId="5" numFmtId="4">
    <nc r="G488">
      <v>0</v>
    </nc>
  </rcc>
  <rcc rId="5711" sId="5" numFmtId="4">
    <nc r="B489">
      <v>11</v>
    </nc>
  </rcc>
  <rcc rId="5712" sId="5" numFmtId="4">
    <nc r="C489">
      <v>64</v>
    </nc>
  </rcc>
  <rcc rId="5713" sId="5" numFmtId="4">
    <nc r="D489">
      <v>11</v>
    </nc>
  </rcc>
  <rcc rId="5714" sId="5" numFmtId="4">
    <nc r="E489">
      <v>5</v>
    </nc>
  </rcc>
  <rcc rId="5715" sId="5" numFmtId="4">
    <nc r="F489">
      <v>4</v>
    </nc>
  </rcc>
  <rcc rId="5716" sId="5" numFmtId="4">
    <nc r="G489">
      <v>0</v>
    </nc>
  </rcc>
  <rcc rId="5717" sId="5" numFmtId="4">
    <nc r="B490">
      <v>11</v>
    </nc>
  </rcc>
  <rcc rId="5718" sId="5" numFmtId="4">
    <nc r="C490">
      <v>64</v>
    </nc>
  </rcc>
  <rcc rId="5719" sId="5" numFmtId="4">
    <nc r="D490">
      <v>10</v>
    </nc>
  </rcc>
  <rcc rId="5720" sId="5" numFmtId="4">
    <nc r="E490">
      <v>9</v>
    </nc>
  </rcc>
  <rcc rId="5721" sId="5" numFmtId="4">
    <nc r="F490">
      <v>0</v>
    </nc>
  </rcc>
  <rcc rId="5722" sId="5" numFmtId="4">
    <nc r="G490">
      <v>0</v>
    </nc>
  </rcc>
  <rcc rId="5723" sId="5" numFmtId="4">
    <nc r="B491">
      <v>11</v>
    </nc>
  </rcc>
  <rcc rId="5724" sId="5" numFmtId="4">
    <nc r="C491">
      <v>64</v>
    </nc>
  </rcc>
  <rcc rId="5725" sId="5" numFmtId="4">
    <nc r="D491">
      <v>8</v>
    </nc>
  </rcc>
  <rcc rId="5726" sId="5" numFmtId="4">
    <nc r="E491">
      <v>12</v>
    </nc>
  </rcc>
  <rcc rId="5727" sId="5" numFmtId="4">
    <nc r="F491">
      <v>0</v>
    </nc>
  </rcc>
  <rcc rId="5728" sId="5" numFmtId="4">
    <nc r="G491">
      <v>0</v>
    </nc>
  </rcc>
  <rcc rId="5729" sId="2" numFmtId="4">
    <nc r="B207">
      <v>9</v>
    </nc>
  </rcc>
  <rcc rId="5730" sId="2" numFmtId="4">
    <nc r="C207">
      <v>13</v>
    </nc>
  </rcc>
  <rcc rId="5731" sId="2" numFmtId="4">
    <nc r="D207">
      <v>14</v>
    </nc>
  </rcc>
  <rcc rId="5732" sId="2" numFmtId="4">
    <nc r="E207">
      <v>8</v>
    </nc>
  </rcc>
  <rcc rId="5733" sId="2" numFmtId="4">
    <nc r="F207">
      <v>10</v>
    </nc>
  </rcc>
  <rcc rId="5734" sId="2" numFmtId="4">
    <nc r="G207">
      <v>0</v>
    </nc>
  </rcc>
  <rcc rId="5735" sId="2" numFmtId="4">
    <nc r="B208">
      <v>9</v>
    </nc>
  </rcc>
  <rcc rId="5736" sId="2" numFmtId="4">
    <nc r="C208">
      <v>13</v>
    </nc>
  </rcc>
  <rcc rId="5737" sId="2" numFmtId="4">
    <nc r="D208">
      <v>15</v>
    </nc>
  </rcc>
  <rcc rId="5738" sId="2" numFmtId="4">
    <nc r="E208">
      <v>10</v>
    </nc>
  </rcc>
  <rcc rId="5739" sId="2" numFmtId="4">
    <nc r="F208">
      <v>8</v>
    </nc>
  </rcc>
  <rcc rId="5740" sId="2" numFmtId="4">
    <nc r="G208">
      <v>0</v>
    </nc>
  </rcc>
  <rcc rId="5741" sId="2" numFmtId="4">
    <nc r="B209">
      <v>9</v>
    </nc>
  </rcc>
  <rcc rId="5742" sId="2" numFmtId="4">
    <nc r="C209">
      <v>13</v>
    </nc>
  </rcc>
  <rcc rId="5743" sId="2" numFmtId="4">
    <nc r="D209">
      <v>16</v>
    </nc>
  </rcc>
  <rcc rId="5744" sId="2" numFmtId="4">
    <nc r="E209">
      <v>12</v>
    </nc>
  </rcc>
  <rcc rId="5745" sId="2" numFmtId="4">
    <nc r="F209">
      <v>10</v>
    </nc>
  </rcc>
  <rcc rId="5746" sId="2" numFmtId="4">
    <nc r="G209">
      <v>0</v>
    </nc>
  </rcc>
  <rcc rId="5747" sId="2" numFmtId="4">
    <nc r="B210">
      <v>9</v>
    </nc>
  </rcc>
  <rcc rId="5748" sId="2" numFmtId="4">
    <nc r="C210">
      <v>8</v>
    </nc>
  </rcc>
  <rcc rId="5749" sId="2" numFmtId="4">
    <nc r="D210">
      <v>11</v>
    </nc>
  </rcc>
  <rcc rId="5750" sId="2" numFmtId="4">
    <nc r="E210">
      <v>64</v>
    </nc>
  </rcc>
  <rcc rId="5751" sId="2" numFmtId="4">
    <nc r="F210">
      <v>44</v>
    </nc>
  </rcc>
  <rcc rId="5752" sId="2" numFmtId="4">
    <nc r="G210">
      <v>0</v>
    </nc>
  </rcc>
  <rcc rId="5753" sId="2" numFmtId="4">
    <nc r="B211">
      <v>9</v>
    </nc>
  </rcc>
  <rcc rId="5754" sId="2" numFmtId="4">
    <nc r="C211">
      <v>8</v>
    </nc>
  </rcc>
  <rcc rId="5755" sId="2" numFmtId="4">
    <nc r="D211">
      <v>10</v>
    </nc>
  </rcc>
  <rcc rId="5756" sId="2" numFmtId="4">
    <nc r="E211">
      <v>42</v>
    </nc>
  </rcc>
  <rcc rId="5757" sId="2" numFmtId="4">
    <nc r="F211">
      <v>36</v>
    </nc>
  </rcc>
  <rcc rId="5758" sId="2" numFmtId="4">
    <nc r="G211">
      <v>0</v>
    </nc>
  </rcc>
  <rcc rId="5759" sId="2" numFmtId="4">
    <nc r="B212">
      <v>9</v>
    </nc>
  </rcc>
  <rcc rId="5760" sId="2" numFmtId="4">
    <nc r="C212">
      <v>8</v>
    </nc>
  </rcc>
  <rcc rId="5761" sId="2" numFmtId="4">
    <nc r="D212">
      <v>9</v>
    </nc>
  </rcc>
  <rcc rId="5762" sId="2" numFmtId="4">
    <nc r="E212">
      <v>28</v>
    </nc>
  </rcc>
  <rcc rId="5763" sId="2" numFmtId="4">
    <nc r="F212">
      <v>35</v>
    </nc>
  </rcc>
  <rcc rId="5764" sId="2" numFmtId="4">
    <nc r="G212">
      <v>0</v>
    </nc>
  </rcc>
</revisions>
</file>

<file path=xl/revisions/revisionLog97.xml><?xml version="1.0" encoding="utf-8"?>
<revisions xmlns="http://schemas.openxmlformats.org/spreadsheetml/2006/main" xmlns:r="http://schemas.openxmlformats.org/officeDocument/2006/relationships">
  <rcc rId="5765" sId="2" numFmtId="4">
    <nc r="B213">
      <v>9</v>
    </nc>
  </rcc>
  <rcc rId="5766" sId="2" numFmtId="4">
    <nc r="C213">
      <v>2</v>
    </nc>
  </rcc>
  <rcc rId="5767" sId="2" numFmtId="4">
    <nc r="D213">
      <v>11</v>
    </nc>
  </rcc>
  <rcc rId="5768" sId="2" numFmtId="4">
    <nc r="E213">
      <v>210</v>
    </nc>
  </rcc>
  <rcc rId="5769" sId="2" numFmtId="4">
    <nc r="F213">
      <v>198</v>
    </nc>
  </rcc>
  <rcc rId="5770" sId="2" numFmtId="4">
    <nc r="G213">
      <v>0</v>
    </nc>
  </rcc>
  <rcc rId="5771" sId="2" numFmtId="4">
    <nc r="B214">
      <v>9</v>
    </nc>
  </rcc>
  <rcc rId="5772" sId="2" numFmtId="4">
    <nc r="C214">
      <v>2</v>
    </nc>
  </rcc>
  <rcc rId="5773" sId="2" numFmtId="4">
    <nc r="D214">
      <v>12</v>
    </nc>
  </rcc>
  <rcc rId="5774" sId="2" numFmtId="4">
    <nc r="E214">
      <v>230</v>
    </nc>
  </rcc>
  <rcc rId="5775" sId="2" numFmtId="4">
    <nc r="F214">
      <v>245</v>
    </nc>
  </rcc>
  <rcc rId="5776" sId="2" numFmtId="4">
    <nc r="G214">
      <v>0</v>
    </nc>
  </rcc>
  <rcc rId="5777" sId="2" numFmtId="4">
    <nc r="B215">
      <v>9</v>
    </nc>
  </rcc>
  <rcc rId="5778" sId="2" numFmtId="4">
    <nc r="C215">
      <v>12</v>
    </nc>
  </rcc>
  <rcc rId="5779" sId="2" numFmtId="4">
    <nc r="D215">
      <v>4</v>
    </nc>
  </rcc>
  <rcc rId="5780" sId="2" numFmtId="4">
    <nc r="E215">
      <v>76</v>
    </nc>
  </rcc>
  <rcc rId="5781" sId="2" numFmtId="4">
    <nc r="F215">
      <v>28</v>
    </nc>
  </rcc>
  <rcc rId="5782" sId="2" numFmtId="4">
    <nc r="G215">
      <v>0</v>
    </nc>
  </rcc>
  <rcc rId="5783" sId="2" numFmtId="4">
    <nc r="B216">
      <v>9</v>
    </nc>
  </rcc>
  <rcc rId="5784" sId="2" numFmtId="4">
    <nc r="C216">
      <v>12</v>
    </nc>
  </rcc>
  <rcc rId="5785" sId="2" numFmtId="4">
    <nc r="D216">
      <v>5</v>
    </nc>
  </rcc>
  <rcc rId="5786" sId="2" numFmtId="4">
    <nc r="E216">
      <v>32</v>
    </nc>
  </rcc>
  <rcc rId="5787" sId="2" numFmtId="4">
    <nc r="F216">
      <v>21</v>
    </nc>
  </rcc>
  <rcc rId="5788" sId="2" numFmtId="4">
    <nc r="G216">
      <v>0</v>
    </nc>
  </rcc>
  <rcc rId="5789" sId="2" numFmtId="4">
    <nc r="B217">
      <v>9</v>
    </nc>
  </rcc>
  <rcc rId="5790" sId="2" numFmtId="4">
    <nc r="C217">
      <v>12</v>
    </nc>
  </rcc>
  <rcc rId="5791" sId="2" numFmtId="4">
    <nc r="D217">
      <v>6</v>
    </nc>
  </rcc>
  <rcc rId="5792" sId="2" numFmtId="4">
    <nc r="E217">
      <v>17</v>
    </nc>
  </rcc>
  <rcc rId="5793" sId="2" numFmtId="4">
    <nc r="F217">
      <v>7</v>
    </nc>
  </rcc>
  <rcc rId="5794" sId="2" numFmtId="4">
    <nc r="G217">
      <v>0</v>
    </nc>
  </rcc>
  <rcc rId="5795" sId="2" numFmtId="4">
    <nc r="B218">
      <v>9</v>
    </nc>
  </rcc>
  <rcc rId="5796" sId="2" numFmtId="4">
    <nc r="C218">
      <v>12</v>
    </nc>
  </rcc>
  <rcc rId="5797" sId="2" numFmtId="4">
    <nc r="D218">
      <v>7</v>
    </nc>
  </rcc>
  <rcc rId="5798" sId="2" numFmtId="4">
    <nc r="E218">
      <v>24</v>
    </nc>
  </rcc>
  <rcc rId="5799" sId="2" numFmtId="4">
    <nc r="F218">
      <v>13</v>
    </nc>
  </rcc>
  <rcc rId="5800" sId="2" numFmtId="4">
    <nc r="G218">
      <v>0</v>
    </nc>
  </rcc>
  <rcc rId="5801" sId="2" numFmtId="4">
    <nc r="B219">
      <v>9</v>
    </nc>
  </rcc>
  <rcc rId="5802" sId="2" numFmtId="4">
    <nc r="C219">
      <v>12</v>
    </nc>
  </rcc>
  <rcc rId="5803" sId="2" numFmtId="4">
    <nc r="D219">
      <v>8</v>
    </nc>
  </rcc>
  <rcc rId="5804" sId="2" numFmtId="4">
    <nc r="E219">
      <v>36</v>
    </nc>
  </rcc>
  <rcc rId="5805" sId="2" numFmtId="4">
    <nc r="F219">
      <v>23</v>
    </nc>
  </rcc>
  <rcc rId="5806" sId="2" numFmtId="4">
    <nc r="G219">
      <v>0</v>
    </nc>
  </rcc>
  <rcc rId="5807" sId="2" numFmtId="4">
    <nc r="B220">
      <v>9</v>
    </nc>
  </rcc>
  <rcc rId="5808" sId="2" numFmtId="4">
    <nc r="C220">
      <v>12</v>
    </nc>
  </rcc>
  <rcc rId="5809" sId="2" numFmtId="4">
    <nc r="D220">
      <v>9</v>
    </nc>
  </rcc>
  <rcc rId="5810" sId="2" numFmtId="4">
    <nc r="E220">
      <v>82</v>
    </nc>
  </rcc>
  <rcc rId="5811" sId="2" numFmtId="4">
    <nc r="F220">
      <v>26</v>
    </nc>
  </rcc>
  <rcc rId="5812" sId="2" numFmtId="4">
    <nc r="G220">
      <v>0</v>
    </nc>
  </rcc>
  <rcc rId="5813" sId="2" numFmtId="4">
    <nc r="B221">
      <v>9</v>
    </nc>
  </rcc>
  <rcc rId="5814" sId="2" numFmtId="4">
    <nc r="C221">
      <v>12</v>
    </nc>
  </rcc>
  <rcc rId="5815" sId="2" numFmtId="4">
    <nc r="D221">
      <v>10</v>
    </nc>
  </rcc>
  <rcc rId="5816" sId="2" numFmtId="4">
    <nc r="E221">
      <v>30</v>
    </nc>
  </rcc>
  <rcc rId="5817" sId="2" numFmtId="4">
    <nc r="F221">
      <v>9</v>
    </nc>
  </rcc>
  <rcc rId="5818" sId="2" numFmtId="4">
    <nc r="G221">
      <v>0</v>
    </nc>
  </rcc>
  <rcc rId="5819" sId="2" numFmtId="4">
    <nc r="B222">
      <v>9</v>
    </nc>
  </rcc>
  <rcc rId="5820" sId="2" numFmtId="4">
    <nc r="C222">
      <v>9</v>
    </nc>
  </rcc>
  <rcc rId="5821" sId="2" numFmtId="4">
    <nc r="D222">
      <v>11</v>
    </nc>
  </rcc>
  <rcc rId="5822" sId="2" numFmtId="4">
    <nc r="F222">
      <v>4</v>
    </nc>
  </rcc>
  <rcc rId="5823" sId="2" numFmtId="4">
    <nc r="E222">
      <v>7</v>
    </nc>
  </rcc>
  <rcc rId="5824" sId="2" numFmtId="4">
    <nc r="G222">
      <v>0</v>
    </nc>
  </rcc>
  <rcc rId="5825" sId="2" numFmtId="4">
    <nc r="B223">
      <v>9</v>
    </nc>
  </rcc>
  <rcc rId="5826" sId="2" numFmtId="4">
    <nc r="C223">
      <v>9</v>
    </nc>
  </rcc>
  <rcc rId="5827" sId="2" numFmtId="4">
    <nc r="D223">
      <v>12</v>
    </nc>
  </rcc>
  <rcc rId="5828" sId="2" numFmtId="4">
    <nc r="E223">
      <v>14</v>
    </nc>
  </rcc>
  <rcc rId="5829" sId="2" numFmtId="4">
    <nc r="F223">
      <v>2</v>
    </nc>
  </rcc>
  <rcc rId="5830" sId="2" numFmtId="4">
    <nc r="G223">
      <v>0</v>
    </nc>
  </rcc>
  <rcc rId="5831" sId="2" numFmtId="4">
    <nc r="B224">
      <v>9</v>
    </nc>
  </rcc>
  <rcc rId="5832" sId="2" numFmtId="4">
    <nc r="C224">
      <v>9</v>
    </nc>
  </rcc>
  <rcc rId="5833" sId="2" numFmtId="4">
    <nc r="D224">
      <v>13</v>
    </nc>
  </rcc>
  <rcc rId="5834" sId="2" numFmtId="4">
    <nc r="E224">
      <v>10</v>
    </nc>
  </rcc>
  <rcc rId="5835" sId="2" numFmtId="4">
    <nc r="F224">
      <v>5</v>
    </nc>
  </rcc>
  <rcc rId="5836" sId="2" numFmtId="4">
    <nc r="G224">
      <v>0</v>
    </nc>
  </rcc>
  <rcc rId="5837" sId="2" numFmtId="4">
    <nc r="B225">
      <v>9</v>
    </nc>
  </rcc>
  <rcc rId="5838" sId="2" numFmtId="4">
    <nc r="C225">
      <v>9</v>
    </nc>
  </rcc>
  <rcc rId="5839" sId="2" numFmtId="4">
    <nc r="D225">
      <v>14</v>
    </nc>
  </rcc>
  <rcc rId="5840" sId="2" numFmtId="4">
    <nc r="E225">
      <v>2</v>
    </nc>
  </rcc>
  <rcc rId="5841" sId="2" numFmtId="4">
    <nc r="F225">
      <v>0</v>
    </nc>
  </rcc>
  <rcc rId="5842" sId="2" numFmtId="4">
    <nc r="G225">
      <v>0</v>
    </nc>
  </rcc>
  <rcc rId="5843" sId="5" numFmtId="4">
    <nc r="B492">
      <v>11</v>
    </nc>
  </rcc>
  <rcc rId="5844" sId="5" numFmtId="4">
    <nc r="C492">
      <v>63</v>
    </nc>
  </rcc>
  <rcc rId="5845" sId="5" numFmtId="4">
    <nc r="D492">
      <v>11</v>
    </nc>
  </rcc>
  <rcc rId="5846" sId="5" numFmtId="4">
    <nc r="E492">
      <v>8</v>
    </nc>
  </rcc>
  <rcc rId="5847" sId="5" numFmtId="4">
    <nc r="F492">
      <v>0</v>
    </nc>
  </rcc>
  <rcc rId="5848" sId="5" numFmtId="4">
    <nc r="G492">
      <v>4</v>
    </nc>
  </rcc>
  <rcc rId="5849" sId="5" numFmtId="4">
    <nc r="B493">
      <v>11</v>
    </nc>
  </rcc>
  <rcc rId="5850" sId="5" numFmtId="4">
    <nc r="C493">
      <v>63</v>
    </nc>
  </rcc>
  <rcc rId="5851" sId="5" numFmtId="4">
    <nc r="D493">
      <v>12</v>
    </nc>
  </rcc>
  <rcc rId="5852" sId="5" numFmtId="4">
    <nc r="E493">
      <v>12</v>
    </nc>
  </rcc>
  <rcc rId="5853" sId="5" numFmtId="4">
    <nc r="F493">
      <v>4</v>
    </nc>
  </rcc>
  <rcc rId="5854" sId="5" numFmtId="4">
    <nc r="G493">
      <v>0</v>
    </nc>
  </rcc>
  <rcc rId="5855" sId="5" numFmtId="4">
    <nc r="B494">
      <v>11</v>
    </nc>
  </rcc>
  <rcc rId="5856" sId="5" numFmtId="4">
    <nc r="C494">
      <v>63</v>
    </nc>
  </rcc>
  <rcc rId="5857" sId="5" numFmtId="4">
    <nc r="D494">
      <v>13</v>
    </nc>
  </rcc>
  <rcc rId="5858" sId="5" numFmtId="4">
    <nc r="E494">
      <v>6</v>
    </nc>
  </rcc>
  <rcc rId="5859" sId="5" numFmtId="4">
    <nc r="F494">
      <v>3</v>
    </nc>
  </rcc>
  <rcc rId="5860" sId="5" numFmtId="4">
    <nc r="G494">
      <v>0</v>
    </nc>
  </rcc>
  <rcc rId="5861" sId="5" numFmtId="4">
    <nc r="B495">
      <v>11</v>
    </nc>
  </rcc>
  <rcc rId="5862" sId="5" numFmtId="4">
    <nc r="C495">
      <v>63</v>
    </nc>
  </rcc>
  <rcc rId="5863" sId="5" numFmtId="4">
    <nc r="D495">
      <v>14</v>
    </nc>
  </rcc>
  <rcc rId="5864" sId="5" numFmtId="4">
    <nc r="E495">
      <v>7</v>
    </nc>
  </rcc>
  <rcc rId="5865" sId="5" numFmtId="4">
    <nc r="F495">
      <v>6</v>
    </nc>
  </rcc>
  <rcc rId="5866" sId="5" numFmtId="4">
    <nc r="G495">
      <v>0</v>
    </nc>
  </rcc>
  <rcc rId="5867" sId="5" numFmtId="4">
    <nc r="B496">
      <v>11</v>
    </nc>
  </rcc>
  <rcc rId="5868" sId="5" numFmtId="4">
    <nc r="C496">
      <v>47</v>
    </nc>
  </rcc>
  <rcc rId="5869" sId="5" numFmtId="4">
    <nc r="D496">
      <v>10</v>
    </nc>
  </rcc>
  <rcc rId="5870" sId="5" numFmtId="4">
    <nc r="E496">
      <v>14</v>
    </nc>
  </rcc>
  <rcc rId="5871" sId="5" numFmtId="4">
    <nc r="F496">
      <v>4</v>
    </nc>
  </rcc>
  <rcc rId="5872" sId="5" numFmtId="4">
    <nc r="G496">
      <v>2</v>
    </nc>
  </rcc>
  <rcc rId="5873" sId="5" numFmtId="4">
    <nc r="B497">
      <v>11</v>
    </nc>
  </rcc>
  <rcc rId="5874" sId="5" numFmtId="4">
    <nc r="C497">
      <v>47</v>
    </nc>
  </rcc>
  <rcc rId="5875" sId="5" numFmtId="4">
    <nc r="D497">
      <v>11</v>
    </nc>
  </rcc>
  <rcc rId="5876" sId="5" numFmtId="4">
    <nc r="E497">
      <v>12</v>
    </nc>
  </rcc>
  <rcc rId="5877" sId="5" numFmtId="4">
    <nc r="F497">
      <v>2</v>
    </nc>
  </rcc>
  <rcc rId="5878" sId="5" numFmtId="4">
    <nc r="G497">
      <v>5</v>
    </nc>
  </rcc>
  <rcc rId="5879" sId="5" numFmtId="4">
    <nc r="B498">
      <v>11</v>
    </nc>
  </rcc>
  <rcc rId="5880" sId="5" numFmtId="4">
    <nc r="C498">
      <v>47</v>
    </nc>
  </rcc>
  <rcc rId="5881" sId="5" numFmtId="4">
    <nc r="D498">
      <v>12</v>
    </nc>
  </rcc>
  <rcc rId="5882" sId="5" numFmtId="4">
    <nc r="E498">
      <v>7</v>
    </nc>
  </rcc>
  <rcc rId="5883" sId="5" numFmtId="4">
    <nc r="F498">
      <v>0</v>
    </nc>
  </rcc>
  <rcc rId="5884" sId="5" numFmtId="4">
    <nc r="G498">
      <v>1</v>
    </nc>
  </rcc>
  <rcc rId="5885" sId="5" numFmtId="4">
    <nc r="B499">
      <v>11</v>
    </nc>
  </rcc>
  <rcc rId="5886" sId="5" numFmtId="4">
    <nc r="C499">
      <v>47</v>
    </nc>
  </rcc>
  <rcc rId="5887" sId="5" numFmtId="4">
    <nc r="D499">
      <v>13</v>
    </nc>
  </rcc>
  <rcc rId="5888" sId="5" numFmtId="4">
    <nc r="E499">
      <v>10</v>
    </nc>
  </rcc>
  <rcc rId="5889" sId="5" numFmtId="4">
    <nc r="F499">
      <v>1</v>
    </nc>
  </rcc>
  <rcc rId="5890" sId="5" numFmtId="4">
    <nc r="G499">
      <v>3</v>
    </nc>
  </rcc>
</revisions>
</file>

<file path=xl/revisions/revisionLog98.xml><?xml version="1.0" encoding="utf-8"?>
<revisions xmlns="http://schemas.openxmlformats.org/spreadsheetml/2006/main" xmlns:r="http://schemas.openxmlformats.org/officeDocument/2006/relationships">
  <rcc rId="5891" sId="8" numFmtId="4">
    <nc r="B194">
      <v>16</v>
    </nc>
  </rcc>
  <rcc rId="5892" sId="8" numFmtId="4">
    <nc r="C194">
      <v>73</v>
    </nc>
  </rcc>
  <rcc rId="5893" sId="8" numFmtId="4">
    <nc r="D194">
      <v>7</v>
    </nc>
  </rcc>
  <rcc rId="5894" sId="8" numFmtId="4">
    <nc r="E194">
      <v>3</v>
    </nc>
  </rcc>
  <rcc rId="5895" sId="8" numFmtId="4">
    <nc r="F194">
      <v>7</v>
    </nc>
  </rcc>
  <rcc rId="5896" sId="8" numFmtId="4">
    <nc r="G194">
      <v>4</v>
    </nc>
  </rcc>
  <rcc rId="5897" sId="8" numFmtId="4">
    <nc r="H194">
      <v>0</v>
    </nc>
  </rcc>
  <rcc rId="5898" sId="8" numFmtId="4">
    <nc r="B195">
      <v>16</v>
    </nc>
  </rcc>
  <rcc rId="5899" sId="8" numFmtId="4">
    <nc r="C195">
      <v>73</v>
    </nc>
  </rcc>
  <rcc rId="5900" sId="8" numFmtId="4">
    <nc r="D195">
      <v>8</v>
    </nc>
  </rcc>
  <rcc rId="5901" sId="8" numFmtId="4">
    <nc r="E195">
      <v>6</v>
    </nc>
  </rcc>
  <rcc rId="5902" sId="8" numFmtId="4">
    <nc r="F195">
      <v>7</v>
    </nc>
  </rcc>
  <rcc rId="5903" sId="8" numFmtId="4">
    <nc r="G195">
      <v>1</v>
    </nc>
  </rcc>
  <rcc rId="5904" sId="8" numFmtId="4">
    <nc r="H195">
      <v>0</v>
    </nc>
  </rcc>
  <rcc rId="5905" sId="8" numFmtId="4">
    <nc r="B196">
      <v>16</v>
    </nc>
  </rcc>
  <rcc rId="5906" sId="8" numFmtId="4">
    <nc r="C196">
      <v>73</v>
    </nc>
  </rcc>
  <rcc rId="5907" sId="8" numFmtId="4">
    <nc r="D196">
      <v>9</v>
    </nc>
  </rcc>
  <rcc rId="5908" sId="8" numFmtId="4">
    <nc r="E196">
      <v>3</v>
    </nc>
  </rcc>
  <rcc rId="5909" sId="8" numFmtId="4">
    <nc r="F196">
      <v>8</v>
    </nc>
  </rcc>
  <rcc rId="5910" sId="8" numFmtId="4">
    <nc r="G196">
      <v>1</v>
    </nc>
  </rcc>
  <rcc rId="5911" sId="8" numFmtId="4">
    <nc r="H196">
      <v>0</v>
    </nc>
  </rcc>
  <rcc rId="5912" sId="8" numFmtId="4">
    <nc r="B197">
      <v>16</v>
    </nc>
  </rcc>
  <rcc rId="5913" sId="8" numFmtId="4">
    <nc r="D197">
      <v>10</v>
    </nc>
  </rcc>
  <rcc rId="5914" sId="8" numFmtId="4">
    <nc r="E197">
      <v>3</v>
    </nc>
  </rcc>
  <rcc rId="5915" sId="8" numFmtId="4">
    <nc r="F197">
      <v>5</v>
    </nc>
  </rcc>
  <rcc rId="5916" sId="8" numFmtId="4">
    <nc r="G197">
      <v>4</v>
    </nc>
  </rcc>
  <rcc rId="5917" sId="8" numFmtId="4">
    <nc r="H197">
      <v>0</v>
    </nc>
  </rcc>
  <rcc rId="5918" sId="8" numFmtId="4">
    <nc r="B198">
      <v>16</v>
    </nc>
  </rcc>
  <rcc rId="5919" sId="8" numFmtId="4">
    <nc r="C198">
      <v>73</v>
    </nc>
  </rcc>
  <rcc rId="5920" sId="8" numFmtId="4">
    <nc r="C197">
      <v>73</v>
    </nc>
  </rcc>
  <rcc rId="5921" sId="8" numFmtId="4">
    <nc r="D198">
      <v>11</v>
    </nc>
  </rcc>
  <rcc rId="5922" sId="8" numFmtId="4">
    <nc r="E198">
      <v>4</v>
    </nc>
  </rcc>
  <rcc rId="5923" sId="8" numFmtId="4">
    <nc r="F198">
      <v>6</v>
    </nc>
  </rcc>
  <rcc rId="5924" sId="8" numFmtId="4">
    <nc r="G198">
      <v>5</v>
    </nc>
  </rcc>
  <rcc rId="5925" sId="8" numFmtId="4">
    <nc r="H198">
      <v>0</v>
    </nc>
  </rcc>
  <rcc rId="5926" sId="8" numFmtId="4">
    <nc r="B199">
      <v>16</v>
    </nc>
  </rcc>
  <rcc rId="5927" sId="8" numFmtId="4">
    <nc r="C199">
      <v>73</v>
    </nc>
  </rcc>
  <rcc rId="5928" sId="8" numFmtId="4">
    <nc r="D199">
      <v>12</v>
    </nc>
  </rcc>
  <rcc rId="5929" sId="8" numFmtId="4">
    <nc r="E199">
      <v>4</v>
    </nc>
  </rcc>
  <rcc rId="5930" sId="8" numFmtId="4">
    <nc r="F199">
      <v>1</v>
    </nc>
  </rcc>
  <rcc rId="5931" sId="8" numFmtId="4">
    <nc r="G199">
      <v>0</v>
    </nc>
  </rcc>
  <rcc rId="5932" sId="8" numFmtId="4">
    <nc r="H199">
      <v>0</v>
    </nc>
  </rcc>
</revisions>
</file>

<file path=xl/revisions/revisionLog99.xml><?xml version="1.0" encoding="utf-8"?>
<revisions xmlns="http://schemas.openxmlformats.org/spreadsheetml/2006/main" xmlns:r="http://schemas.openxmlformats.org/officeDocument/2006/relationships">
  <rcc rId="5933" sId="5" numFmtId="4">
    <nc r="B500">
      <v>11</v>
    </nc>
  </rcc>
  <rcc rId="5934" sId="5" numFmtId="4">
    <nc r="C500">
      <v>29</v>
    </nc>
  </rcc>
  <rcc rId="5935" sId="5" numFmtId="4">
    <nc r="D500">
      <v>15</v>
    </nc>
  </rcc>
  <rcc rId="5936" sId="5" numFmtId="4">
    <nc r="E500">
      <v>24</v>
    </nc>
  </rcc>
  <rcc rId="5937" sId="5" numFmtId="4">
    <nc r="F500">
      <v>6</v>
    </nc>
  </rcc>
  <rcc rId="5938" sId="5" numFmtId="4">
    <nc r="G500">
      <v>0</v>
    </nc>
  </rcc>
  <rcc rId="5939" sId="5" numFmtId="4">
    <nc r="B501">
      <v>11</v>
    </nc>
  </rcc>
  <rcc rId="5940" sId="5" numFmtId="4">
    <nc r="C501">
      <v>29</v>
    </nc>
  </rcc>
  <rcc rId="5941" sId="5" numFmtId="4">
    <nc r="D501">
      <v>14</v>
    </nc>
  </rcc>
  <rcc rId="5942" sId="5" numFmtId="4">
    <nc r="E501">
      <v>27</v>
    </nc>
  </rcc>
  <rcc rId="5943" sId="5" numFmtId="4">
    <nc r="F501">
      <v>0</v>
    </nc>
  </rcc>
  <rcc rId="5944" sId="5" numFmtId="4">
    <nc r="G501">
      <v>0</v>
    </nc>
  </rcc>
  <rcc rId="5945" sId="5" numFmtId="4">
    <nc r="B502">
      <v>11</v>
    </nc>
  </rcc>
  <rcc rId="5946" sId="5" numFmtId="4">
    <nc r="C502">
      <v>29</v>
    </nc>
  </rcc>
  <rcc rId="5947" sId="5" numFmtId="4">
    <nc r="D502">
      <v>10</v>
    </nc>
  </rcc>
  <rcc rId="5948" sId="5" numFmtId="4">
    <nc r="E502">
      <v>25</v>
    </nc>
  </rcc>
  <rcc rId="5949" sId="5" numFmtId="4">
    <nc r="F502">
      <v>0</v>
    </nc>
  </rcc>
  <rcc rId="5950" sId="5" numFmtId="4">
    <nc r="G502">
      <v>4</v>
    </nc>
  </rcc>
  <rcc rId="5951" sId="5" numFmtId="4">
    <nc r="B503">
      <v>11</v>
    </nc>
  </rcc>
  <rcc rId="5952" sId="5" numFmtId="4">
    <nc r="C503">
      <v>29</v>
    </nc>
  </rcc>
  <rcc rId="5953" sId="5" numFmtId="4">
    <nc r="D503">
      <v>13</v>
    </nc>
  </rcc>
  <rcc rId="5954" sId="5" numFmtId="4">
    <nc r="E503">
      <v>25</v>
    </nc>
  </rcc>
  <rcc rId="5955" sId="5" numFmtId="4">
    <nc r="F503">
      <v>4</v>
    </nc>
  </rcc>
  <rcc rId="5956" sId="5" numFmtId="4">
    <nc r="G503">
      <v>0</v>
    </nc>
  </rcc>
  <rcc rId="5957" sId="5" numFmtId="4">
    <nc r="B504">
      <v>11</v>
    </nc>
  </rcc>
  <rcc rId="5958" sId="5" numFmtId="4">
    <nc r="C504">
      <v>29</v>
    </nc>
  </rcc>
  <rcc rId="5959" sId="5" numFmtId="4">
    <nc r="D504">
      <v>12</v>
    </nc>
  </rcc>
  <rcc rId="5960" sId="5" numFmtId="4">
    <nc r="E504">
      <v>24</v>
    </nc>
  </rcc>
  <rcc rId="5961" sId="5" numFmtId="4">
    <nc r="F504">
      <v>4</v>
    </nc>
  </rcc>
  <rcc rId="5962" sId="5" numFmtId="4">
    <nc r="G504">
      <v>0</v>
    </nc>
  </rcc>
  <rcc rId="5963" sId="5" numFmtId="4">
    <nc r="B505">
      <v>11</v>
    </nc>
  </rcc>
  <rcc rId="5964" sId="5" numFmtId="4">
    <nc r="C505">
      <v>29</v>
    </nc>
  </rcc>
  <rcc rId="5965" sId="5" numFmtId="4">
    <nc r="D505">
      <v>11</v>
    </nc>
  </rcc>
  <rcc rId="5966" sId="5" numFmtId="4">
    <nc r="E505">
      <v>24</v>
    </nc>
  </rcc>
  <rcc rId="5967" sId="5" numFmtId="4">
    <nc r="F505">
      <v>3</v>
    </nc>
  </rcc>
  <rcc rId="5968" sId="5" numFmtId="4">
    <nc r="G505">
      <v>1</v>
    </nc>
  </rcc>
  <rcc rId="5969" sId="2" numFmtId="4">
    <nc r="B226">
      <v>9</v>
    </nc>
  </rcc>
  <rcc rId="5970" sId="2" numFmtId="4">
    <nc r="C226">
      <v>16</v>
    </nc>
  </rcc>
  <rcc rId="5971" sId="2" numFmtId="4">
    <nc r="D226">
      <v>15</v>
    </nc>
  </rcc>
  <rcc rId="5972" sId="2" numFmtId="4">
    <nc r="E226">
      <v>8</v>
    </nc>
  </rcc>
  <rcc rId="5973" sId="2" numFmtId="4">
    <nc r="F226">
      <v>12</v>
    </nc>
  </rcc>
  <rcc rId="5974" sId="2" numFmtId="4">
    <nc r="G226">
      <v>0</v>
    </nc>
  </rcc>
  <rcc rId="5975" sId="2" numFmtId="4">
    <nc r="B227">
      <v>9</v>
    </nc>
  </rcc>
  <rcc rId="5976" sId="2" numFmtId="4">
    <nc r="C227">
      <v>16</v>
    </nc>
  </rcc>
  <rcc rId="5977" sId="2" numFmtId="4">
    <nc r="D227">
      <v>14</v>
    </nc>
  </rcc>
  <rcc rId="5978" sId="2" numFmtId="4">
    <nc r="E227">
      <v>11</v>
    </nc>
  </rcc>
  <rcc rId="5979" sId="2" numFmtId="4">
    <nc r="F227">
      <v>13</v>
    </nc>
  </rcc>
  <rcc rId="5980" sId="2" numFmtId="4">
    <nc r="G227">
      <v>0</v>
    </nc>
  </rcc>
  <rcc rId="5981" sId="2" numFmtId="4">
    <nc r="B228">
      <v>9</v>
    </nc>
  </rcc>
  <rcc rId="5982" sId="2" numFmtId="4">
    <nc r="C228">
      <v>16</v>
    </nc>
  </rcc>
  <rcc rId="5983" sId="2" numFmtId="4">
    <nc r="D228">
      <v>13</v>
    </nc>
  </rcc>
  <rcc rId="5984" sId="2" numFmtId="4">
    <nc r="E228">
      <v>10</v>
    </nc>
  </rcc>
  <rcc rId="5985" sId="2" numFmtId="4">
    <nc r="F228">
      <v>11</v>
    </nc>
  </rcc>
  <rcc rId="5986" sId="2" numFmtId="4">
    <nc r="G228">
      <v>0</v>
    </nc>
  </rcc>
  <rcc rId="5987" sId="2" numFmtId="4">
    <nc r="B229">
      <v>9</v>
    </nc>
  </rcc>
  <rcc rId="5988" sId="2" numFmtId="4">
    <nc r="C229">
      <v>16</v>
    </nc>
  </rcc>
  <rcc rId="5989" sId="2" numFmtId="4">
    <nc r="D229">
      <v>12</v>
    </nc>
  </rcc>
  <rcc rId="5990" sId="2" numFmtId="4">
    <nc r="E229">
      <v>12</v>
    </nc>
  </rcc>
  <rcc rId="5991" sId="2" numFmtId="4">
    <nc r="F229">
      <v>13</v>
    </nc>
  </rcc>
  <rcc rId="5992" sId="2" numFmtId="4">
    <nc r="G229">
      <v>0</v>
    </nc>
  </rcc>
  <rcc rId="5993" sId="2" numFmtId="4">
    <nc r="B230">
      <v>9</v>
    </nc>
  </rcc>
  <rcc rId="5994" sId="2" numFmtId="4">
    <nc r="C230">
      <v>16</v>
    </nc>
  </rcc>
  <rcc rId="5995" sId="2" numFmtId="4">
    <nc r="D230">
      <v>11</v>
    </nc>
  </rcc>
  <rcc rId="5996" sId="2" numFmtId="4">
    <nc r="E230">
      <v>10</v>
    </nc>
  </rcc>
  <rcc rId="5997" sId="2" numFmtId="4">
    <nc r="F230">
      <v>16</v>
    </nc>
  </rcc>
  <rcc rId="5998" sId="2" numFmtId="4">
    <nc r="G230">
      <v>0</v>
    </nc>
  </rcc>
  <rcc rId="5999" sId="2" numFmtId="4">
    <nc r="B231">
      <v>9</v>
    </nc>
  </rcc>
  <rcc rId="6000" sId="2" numFmtId="4">
    <nc r="C231">
      <v>16</v>
    </nc>
  </rcc>
  <rcc rId="6001" sId="2" numFmtId="4">
    <nc r="D231">
      <v>10</v>
    </nc>
  </rcc>
  <rcc rId="6002" sId="2" numFmtId="4">
    <nc r="E231">
      <v>7</v>
    </nc>
  </rcc>
  <rcc rId="6003" sId="2" numFmtId="4">
    <nc r="F231">
      <v>13</v>
    </nc>
  </rcc>
  <rcc rId="6004" sId="2" numFmtId="4">
    <nc r="G231">
      <v>0</v>
    </nc>
  </rcc>
  <rcc rId="6005" sId="2" numFmtId="4">
    <nc r="B232">
      <v>9</v>
    </nc>
  </rcc>
  <rcc rId="6006" sId="2" numFmtId="4">
    <nc r="C232">
      <v>16</v>
    </nc>
  </rcc>
  <rcc rId="6007" sId="2" numFmtId="4">
    <nc r="D232">
      <v>9</v>
    </nc>
  </rcc>
  <rcc rId="6008" sId="2" numFmtId="4">
    <nc r="E232">
      <v>10</v>
    </nc>
  </rcc>
  <rcc rId="6009" sId="2" numFmtId="4">
    <nc r="F232">
      <v>12</v>
    </nc>
  </rcc>
  <rcc rId="6010" sId="2" numFmtId="4">
    <nc r="G232">
      <v>0</v>
    </nc>
  </rcc>
  <rcc rId="6011" sId="2" numFmtId="4">
    <nc r="B233">
      <v>9</v>
    </nc>
  </rcc>
  <rcc rId="6012" sId="2" numFmtId="4">
    <nc r="C233">
      <v>3</v>
    </nc>
  </rcc>
  <rcc rId="6013" sId="2" numFmtId="4">
    <nc r="D233">
      <v>8</v>
    </nc>
  </rcc>
  <rcc rId="6014" sId="2" numFmtId="4">
    <nc r="E233">
      <v>26</v>
    </nc>
  </rcc>
  <rcc rId="6015" sId="2" numFmtId="4">
    <nc r="F233">
      <v>32</v>
    </nc>
  </rcc>
  <rcc rId="6016" sId="2" numFmtId="4">
    <nc r="G233">
      <v>0</v>
    </nc>
  </rcc>
  <rcc rId="6017" sId="2" numFmtId="4">
    <nc r="B234">
      <v>9</v>
    </nc>
  </rcc>
  <rcc rId="6018" sId="2" numFmtId="4">
    <nc r="C234">
      <v>3</v>
    </nc>
  </rcc>
  <rcc rId="6019" sId="2" numFmtId="4">
    <nc r="D234">
      <v>7</v>
    </nc>
  </rcc>
  <rcc rId="6020" sId="2" numFmtId="4">
    <nc r="E234">
      <v>40</v>
    </nc>
  </rcc>
  <rcc rId="6021" sId="2" numFmtId="4">
    <nc r="F234">
      <v>29</v>
    </nc>
  </rcc>
  <rcc rId="6022" sId="2" numFmtId="4">
    <nc r="G234">
      <v>0</v>
    </nc>
  </rcc>
  <rcc rId="6023" sId="2" numFmtId="4">
    <nc r="B235">
      <v>9</v>
    </nc>
  </rcc>
  <rcc rId="6024" sId="2" numFmtId="4">
    <nc r="C235">
      <v>3</v>
    </nc>
  </rcc>
  <rcc rId="6025" sId="2" numFmtId="4">
    <nc r="D235">
      <v>9</v>
    </nc>
  </rcc>
  <rcc rId="6026" sId="2" numFmtId="4">
    <nc r="E235">
      <v>45</v>
    </nc>
  </rcc>
  <rcc rId="6027" sId="2" numFmtId="4">
    <nc r="F235">
      <v>38</v>
    </nc>
  </rcc>
  <rcc rId="6028" sId="2" numFmtId="4">
    <nc r="G235">
      <v>2</v>
    </nc>
  </rcc>
</revisions>
</file>

<file path=xl/revisions/revisionLog100.xml><?xml version="1.0" encoding="utf-8"?>
<revisions xmlns="http://schemas.openxmlformats.org/spreadsheetml/2006/main" xmlns:r="http://schemas.openxmlformats.org/officeDocument/2006/relationships">
  <rcc rId="6029" sId="8" numFmtId="4">
    <nc r="B200">
      <v>16</v>
    </nc>
  </rcc>
  <rcc rId="6030" sId="8" numFmtId="4">
    <nc r="C200">
      <v>76</v>
    </nc>
  </rcc>
  <rcc rId="6031" sId="8" numFmtId="4">
    <nc r="D200">
      <v>11</v>
    </nc>
  </rcc>
  <rcc rId="6032" sId="8" numFmtId="4">
    <nc r="E200">
      <v>8</v>
    </nc>
  </rcc>
  <rcc rId="6033" sId="8" numFmtId="4">
    <nc r="F200">
      <v>4</v>
    </nc>
  </rcc>
  <rcc rId="6034" sId="8" numFmtId="4">
    <nc r="G200">
      <v>5</v>
    </nc>
  </rcc>
  <rcc rId="6035" sId="8" numFmtId="4">
    <nc r="H200">
      <v>2</v>
    </nc>
  </rcc>
  <rcc rId="6036" sId="8" numFmtId="4">
    <nc r="B201">
      <v>16</v>
    </nc>
  </rcc>
  <rcc rId="6037" sId="8" numFmtId="4">
    <nc r="C201">
      <v>76</v>
    </nc>
  </rcc>
  <rcc rId="6038" sId="8" numFmtId="4">
    <nc r="D201">
      <v>12</v>
    </nc>
  </rcc>
  <rcc rId="6039" sId="8" numFmtId="4">
    <nc r="E201">
      <v>3</v>
    </nc>
  </rcc>
  <rcc rId="6040" sId="8" numFmtId="4">
    <nc r="F201">
      <v>3</v>
    </nc>
  </rcc>
  <rcc rId="6041" sId="8" numFmtId="4">
    <nc r="G201">
      <v>4</v>
    </nc>
  </rcc>
  <rcc rId="6042" sId="8" numFmtId="4">
    <nc r="H201">
      <v>1</v>
    </nc>
  </rcc>
</revisions>
</file>

<file path=xl/revisions/revisionLog101.xml><?xml version="1.0" encoding="utf-8"?>
<revisions xmlns="http://schemas.openxmlformats.org/spreadsheetml/2006/main" xmlns:r="http://schemas.openxmlformats.org/officeDocument/2006/relationships">
  <rcc rId="6043" sId="5" numFmtId="4">
    <nc r="B506">
      <v>11</v>
    </nc>
  </rcc>
  <rcc rId="6044" sId="5" numFmtId="4">
    <nc r="C506">
      <v>61</v>
    </nc>
  </rcc>
  <rcc rId="6045" sId="5" numFmtId="4">
    <nc r="D506">
      <v>9</v>
    </nc>
  </rcc>
  <rcc rId="6046" sId="5" numFmtId="4">
    <nc r="E506">
      <v>9</v>
    </nc>
  </rcc>
  <rcc rId="6047" sId="5" numFmtId="4">
    <nc r="F506">
      <v>7</v>
    </nc>
  </rcc>
  <rcc rId="6048" sId="5" numFmtId="4">
    <nc r="G506">
      <v>6</v>
    </nc>
  </rcc>
  <rcc rId="6049" sId="5" numFmtId="4">
    <nc r="B507">
      <v>11</v>
    </nc>
  </rcc>
  <rcc rId="6050" sId="5" numFmtId="4">
    <nc r="C507">
      <v>61</v>
    </nc>
  </rcc>
  <rcc rId="6051" sId="5" numFmtId="4">
    <nc r="D507">
      <v>7</v>
    </nc>
  </rcc>
  <rcc rId="6052" sId="5" numFmtId="4">
    <nc r="E507">
      <v>19</v>
    </nc>
  </rcc>
  <rcc rId="6053" sId="5" numFmtId="4">
    <nc r="F507">
      <v>3</v>
    </nc>
  </rcc>
  <rcc rId="6054" sId="5" numFmtId="4">
    <nc r="G507">
      <v>6</v>
    </nc>
  </rcc>
  <rcc rId="6055" sId="5" numFmtId="4">
    <nc r="B508">
      <v>11</v>
    </nc>
  </rcc>
  <rcc rId="6056" sId="5" numFmtId="4">
    <nc r="C508">
      <v>61</v>
    </nc>
  </rcc>
  <rcc rId="6057" sId="5" numFmtId="4">
    <nc r="D508">
      <v>8</v>
    </nc>
  </rcc>
  <rcc rId="6058" sId="5" numFmtId="4">
    <nc r="E508">
      <v>11</v>
    </nc>
  </rcc>
  <rcc rId="6059" sId="5" numFmtId="4">
    <nc r="F508">
      <v>6</v>
    </nc>
  </rcc>
  <rcc rId="6060" sId="5" numFmtId="4">
    <nc r="G508">
      <v>4</v>
    </nc>
  </rcc>
  <rcc rId="6061" sId="5" numFmtId="4">
    <nc r="B509">
      <v>11</v>
    </nc>
  </rcc>
  <rcc rId="6062" sId="5" numFmtId="4">
    <nc r="C509">
      <v>57</v>
    </nc>
  </rcc>
  <rcc rId="6063" sId="5" numFmtId="4">
    <nc r="D509">
      <v>15</v>
    </nc>
  </rcc>
  <rcc rId="6064" sId="5" numFmtId="4">
    <nc r="E509">
      <v>7</v>
    </nc>
  </rcc>
  <rcc rId="6065" sId="5" numFmtId="4">
    <nc r="F509">
      <v>4</v>
    </nc>
  </rcc>
  <rcc rId="6066" sId="5" numFmtId="4">
    <nc r="G509">
      <v>3</v>
    </nc>
  </rcc>
  <rcc rId="6067" sId="5" numFmtId="4">
    <nc r="B510">
      <v>11</v>
    </nc>
  </rcc>
  <rcc rId="6068" sId="5" numFmtId="4">
    <nc r="C510">
      <v>57</v>
    </nc>
  </rcc>
  <rcc rId="6069" sId="5" numFmtId="4">
    <nc r="D510">
      <v>14</v>
    </nc>
  </rcc>
  <rcc rId="6070" sId="5" numFmtId="4">
    <nc r="E510">
      <v>11</v>
    </nc>
  </rcc>
  <rcc rId="6071" sId="5" numFmtId="4">
    <nc r="F510">
      <v>2</v>
    </nc>
  </rcc>
  <rcc rId="6072" sId="5" numFmtId="4">
    <nc r="G510">
      <v>0</v>
    </nc>
  </rcc>
  <rcc rId="6073" sId="5" numFmtId="4">
    <nc r="B511">
      <v>11</v>
    </nc>
  </rcc>
  <rcc rId="6074" sId="5" numFmtId="4">
    <nc r="C511">
      <v>57</v>
    </nc>
  </rcc>
  <rcc rId="6075" sId="5" numFmtId="4">
    <nc r="D511">
      <v>12</v>
    </nc>
  </rcc>
  <rcc rId="6076" sId="5" numFmtId="4">
    <nc r="E511">
      <v>8</v>
    </nc>
  </rcc>
  <rcc rId="6077" sId="5" numFmtId="4">
    <nc r="F511">
      <v>4</v>
    </nc>
  </rcc>
  <rcc rId="6078" sId="5" numFmtId="4">
    <nc r="G511">
      <v>3</v>
    </nc>
  </rcc>
  <rcc rId="6079" sId="5" numFmtId="4">
    <nc r="B512">
      <v>11</v>
    </nc>
  </rcc>
  <rcc rId="6080" sId="5" numFmtId="4">
    <nc r="C512">
      <v>57</v>
    </nc>
  </rcc>
  <rcc rId="6081" sId="5" numFmtId="4">
    <nc r="D512">
      <v>13</v>
    </nc>
  </rcc>
  <rcc rId="6082" sId="5" numFmtId="4">
    <nc r="E512">
      <v>2</v>
    </nc>
  </rcc>
  <rcc rId="6083" sId="5" numFmtId="4">
    <nc r="F512">
      <v>0</v>
    </nc>
  </rcc>
  <rcc rId="6084" sId="5" numFmtId="4">
    <nc r="G512">
      <v>1</v>
    </nc>
  </rcc>
</revisions>
</file>

<file path=xl/revisions/revisionLog102.xml><?xml version="1.0" encoding="utf-8"?>
<revisions xmlns="http://schemas.openxmlformats.org/spreadsheetml/2006/main" xmlns:r="http://schemas.openxmlformats.org/officeDocument/2006/relationships">
  <rcc rId="6085" sId="11" numFmtId="4">
    <nc r="B56">
      <v>20</v>
    </nc>
  </rcc>
  <rcc rId="6086" sId="11" numFmtId="4">
    <nc r="C56">
      <v>96</v>
    </nc>
  </rcc>
  <rcc rId="6087" sId="11" numFmtId="4">
    <nc r="D56">
      <v>11</v>
    </nc>
  </rcc>
  <rcc rId="6088" sId="11" numFmtId="4">
    <nc r="E56">
      <v>0</v>
    </nc>
  </rcc>
  <rcc rId="6089" sId="11" numFmtId="4">
    <nc r="F56">
      <v>2</v>
    </nc>
  </rcc>
  <rcc rId="6090" sId="11" numFmtId="4">
    <nc r="G56">
      <v>0</v>
    </nc>
  </rcc>
  <rcc rId="6091" sId="11" numFmtId="4">
    <nc r="H56">
      <v>0</v>
    </nc>
  </rcc>
</revisions>
</file>

<file path=xl/revisions/revisionLog103.xml><?xml version="1.0" encoding="utf-8"?>
<revisions xmlns="http://schemas.openxmlformats.org/spreadsheetml/2006/main" xmlns:r="http://schemas.openxmlformats.org/officeDocument/2006/relationships">
  <rcc rId="6092" sId="5" numFmtId="4">
    <nc r="B513">
      <v>11</v>
    </nc>
  </rcc>
  <rcc rId="6093" sId="5" numFmtId="4">
    <nc r="C513">
      <v>58</v>
    </nc>
  </rcc>
  <rcc rId="6094" sId="5" numFmtId="4">
    <nc r="D513">
      <v>13</v>
    </nc>
  </rcc>
  <rcc rId="6095" sId="5" numFmtId="4">
    <nc r="E513">
      <v>5</v>
    </nc>
  </rcc>
  <rcc rId="6096" sId="5" numFmtId="4">
    <nc r="F513">
      <v>18</v>
    </nc>
  </rcc>
  <rcc rId="6097" sId="5" numFmtId="4">
    <nc r="G513">
      <v>3</v>
    </nc>
  </rcc>
  <rcc rId="6098" sId="5" numFmtId="4">
    <nc r="B514">
      <v>11</v>
    </nc>
  </rcc>
  <rcc rId="6099" sId="5" numFmtId="4">
    <nc r="C514">
      <v>58</v>
    </nc>
  </rcc>
  <rcc rId="6100" sId="5" numFmtId="4">
    <nc r="D514">
      <v>12</v>
    </nc>
  </rcc>
  <rcc rId="6101" sId="5" numFmtId="4">
    <nc r="E514">
      <v>1</v>
    </nc>
  </rcc>
  <rcc rId="6102" sId="5" numFmtId="4">
    <nc r="F514">
      <v>1</v>
    </nc>
  </rcc>
  <rcc rId="6103" sId="5" numFmtId="4">
    <nc r="G514">
      <v>0</v>
    </nc>
  </rcc>
  <rcc rId="6104" sId="5" numFmtId="4">
    <nc r="B515">
      <v>11</v>
    </nc>
  </rcc>
  <rcc rId="6105" sId="5" numFmtId="4">
    <nc r="C515">
      <v>58</v>
    </nc>
  </rcc>
  <rcc rId="6106" sId="5" numFmtId="4">
    <nc r="D515">
      <v>11</v>
    </nc>
  </rcc>
  <rcc rId="6107" sId="5" numFmtId="4">
    <nc r="E515">
      <v>21</v>
    </nc>
  </rcc>
  <rcc rId="6108" sId="5" numFmtId="4">
    <nc r="F515">
      <v>10</v>
    </nc>
  </rcc>
  <rcc rId="6109" sId="5" numFmtId="4">
    <nc r="G515">
      <v>1</v>
    </nc>
  </rcc>
  <rcc rId="6110" sId="5" numFmtId="4">
    <nc r="B516">
      <v>11</v>
    </nc>
  </rcc>
  <rcc rId="6111" sId="5" numFmtId="4">
    <nc r="C516">
      <v>58</v>
    </nc>
  </rcc>
  <rcc rId="6112" sId="5" numFmtId="4">
    <nc r="D516">
      <v>10</v>
    </nc>
  </rcc>
  <rcc rId="6113" sId="5" numFmtId="4">
    <nc r="E516">
      <v>14</v>
    </nc>
  </rcc>
  <rcc rId="6114" sId="5" numFmtId="4">
    <nc r="F516">
      <v>6</v>
    </nc>
  </rcc>
  <rcc rId="6115" sId="5" numFmtId="4">
    <nc r="G516">
      <v>3</v>
    </nc>
  </rcc>
  <rcc rId="6116" sId="5" numFmtId="4">
    <nc r="B517">
      <v>11</v>
    </nc>
  </rcc>
  <rcc rId="6117" sId="5" numFmtId="4">
    <nc r="C517">
      <v>55</v>
    </nc>
  </rcc>
  <rcc rId="6118" sId="5" numFmtId="4">
    <nc r="D517">
      <v>11</v>
    </nc>
  </rcc>
  <rcc rId="6119" sId="5" numFmtId="4">
    <nc r="E517">
      <v>6</v>
    </nc>
  </rcc>
  <rcc rId="6120" sId="5" numFmtId="4">
    <nc r="F517">
      <v>1</v>
    </nc>
  </rcc>
  <rcc rId="6121" sId="5" numFmtId="4">
    <nc r="G517">
      <v>0</v>
    </nc>
  </rcc>
  <rcc rId="6122" sId="5" numFmtId="4">
    <nc r="B518">
      <v>11</v>
    </nc>
  </rcc>
  <rcc rId="6123" sId="5" numFmtId="4">
    <nc r="C518">
      <v>55</v>
    </nc>
  </rcc>
  <rcc rId="6124" sId="5" numFmtId="4">
    <nc r="D518">
      <v>12</v>
    </nc>
  </rcc>
  <rcc rId="6125" sId="5" numFmtId="4">
    <nc r="E518">
      <v>14</v>
    </nc>
  </rcc>
  <rcc rId="6126" sId="5" numFmtId="4">
    <nc r="F518">
      <v>0</v>
    </nc>
  </rcc>
  <rcc rId="6127" sId="5" numFmtId="4">
    <nc r="G518">
      <v>0</v>
    </nc>
  </rcc>
  <rcc rId="6128" sId="5" numFmtId="4">
    <nc r="B519">
      <v>11</v>
    </nc>
  </rcc>
  <rcc rId="6129" sId="5" numFmtId="4">
    <nc r="C519">
      <v>55</v>
    </nc>
  </rcc>
  <rcc rId="6130" sId="5" numFmtId="4">
    <nc r="D519">
      <v>13</v>
    </nc>
  </rcc>
  <rcc rId="6131" sId="5" numFmtId="4">
    <nc r="E519">
      <v>13</v>
    </nc>
  </rcc>
  <rcc rId="6132" sId="5" numFmtId="4">
    <nc r="F519">
      <v>0</v>
    </nc>
  </rcc>
  <rcc rId="6133" sId="5" numFmtId="4">
    <nc r="G519">
      <v>0</v>
    </nc>
  </rcc>
  <rcc rId="6134" sId="5" numFmtId="4">
    <nc r="B520">
      <v>11</v>
    </nc>
  </rcc>
  <rcc rId="6135" sId="5" numFmtId="4">
    <nc r="C520">
      <v>55</v>
    </nc>
  </rcc>
  <rcc rId="6136" sId="5" numFmtId="4">
    <nc r="D520">
      <v>14</v>
    </nc>
  </rcc>
  <rcc rId="6137" sId="5" numFmtId="4">
    <nc r="E520">
      <v>9</v>
    </nc>
  </rcc>
  <rcc rId="6138" sId="5" numFmtId="4">
    <nc r="F520">
      <v>1</v>
    </nc>
  </rcc>
  <rcc rId="6139" sId="5" numFmtId="4">
    <nc r="G520">
      <v>0</v>
    </nc>
  </rcc>
  <rcc rId="6140" sId="5" numFmtId="4">
    <nc r="B521">
      <v>11</v>
    </nc>
  </rcc>
  <rcc rId="6141" sId="5" numFmtId="4">
    <nc r="C521">
      <v>55</v>
    </nc>
  </rcc>
  <rcc rId="6142" sId="5" numFmtId="4">
    <nc r="D521">
      <v>15</v>
    </nc>
  </rcc>
  <rcc rId="6143" sId="5" numFmtId="4">
    <nc r="E521">
      <v>6</v>
    </nc>
  </rcc>
  <rcc rId="6144" sId="5" numFmtId="4">
    <nc r="F521">
      <v>1</v>
    </nc>
  </rcc>
  <rcc rId="6145" sId="5" numFmtId="4">
    <nc r="G521">
      <v>1</v>
    </nc>
  </rcc>
</revisions>
</file>

<file path=xl/revisions/revisionLog104.xml><?xml version="1.0" encoding="utf-8"?>
<revisions xmlns="http://schemas.openxmlformats.org/spreadsheetml/2006/main" xmlns:r="http://schemas.openxmlformats.org/officeDocument/2006/relationships">
  <rcc rId="6146" sId="5" numFmtId="4">
    <nc r="B522">
      <v>11</v>
    </nc>
  </rcc>
  <rcc rId="6147" sId="5" numFmtId="4">
    <nc r="C522">
      <v>51</v>
    </nc>
  </rcc>
  <rcc rId="6148" sId="5" numFmtId="4">
    <nc r="D522">
      <v>11</v>
    </nc>
  </rcc>
  <rcc rId="6149" sId="5" numFmtId="4">
    <nc r="E522">
      <v>18</v>
    </nc>
  </rcc>
  <rcc rId="6150" sId="5" numFmtId="4">
    <nc r="F522">
      <v>1</v>
    </nc>
  </rcc>
  <rcc rId="6151" sId="5" numFmtId="4">
    <nc r="G522">
      <v>0</v>
    </nc>
  </rcc>
  <rcc rId="6152" sId="5" numFmtId="4">
    <nc r="B523">
      <v>11</v>
    </nc>
  </rcc>
  <rcc rId="6153" sId="5" numFmtId="4">
    <nc r="C523">
      <v>51</v>
    </nc>
  </rcc>
  <rcc rId="6154" sId="5" numFmtId="4">
    <nc r="D523">
      <v>12</v>
    </nc>
  </rcc>
  <rcc rId="6155" sId="5" numFmtId="4">
    <nc r="E523">
      <v>3</v>
    </nc>
  </rcc>
  <rcc rId="6156" sId="5" numFmtId="4">
    <nc r="F523">
      <v>0</v>
    </nc>
  </rcc>
  <rcc rId="6157" sId="5" numFmtId="4">
    <nc r="G523">
      <v>0</v>
    </nc>
  </rcc>
  <rcc rId="6158" sId="5" numFmtId="4">
    <nc r="B524">
      <v>11</v>
    </nc>
  </rcc>
  <rcc rId="6159" sId="5" numFmtId="4">
    <nc r="C524">
      <v>51</v>
    </nc>
  </rcc>
  <rcc rId="6160" sId="5" numFmtId="4">
    <nc r="D524">
      <v>13</v>
    </nc>
  </rcc>
  <rcc rId="6161" sId="5" numFmtId="4">
    <nc r="E524">
      <v>2</v>
    </nc>
  </rcc>
  <rcc rId="6162" sId="5" numFmtId="4">
    <nc r="F524">
      <v>0</v>
    </nc>
  </rcc>
  <rcc rId="6163" sId="5" numFmtId="4">
    <nc r="G524">
      <v>0</v>
    </nc>
  </rcc>
  <rcc rId="6164" sId="5" numFmtId="4">
    <nc r="B525">
      <v>11</v>
    </nc>
  </rcc>
  <rcc rId="6165" sId="5" numFmtId="4">
    <nc r="C525">
      <v>51</v>
    </nc>
  </rcc>
  <rcc rId="6166" sId="5" numFmtId="4">
    <nc r="D525">
      <v>14</v>
    </nc>
  </rcc>
  <rcc rId="6167" sId="5" numFmtId="4">
    <nc r="E525">
      <v>2</v>
    </nc>
  </rcc>
  <rcc rId="6168" sId="5" numFmtId="4">
    <nc r="F525">
      <v>0</v>
    </nc>
  </rcc>
  <rcc rId="6169" sId="5" numFmtId="4">
    <nc r="G525">
      <v>0</v>
    </nc>
  </rcc>
  <rcc rId="6170" sId="5" numFmtId="4">
    <nc r="B526">
      <v>11</v>
    </nc>
  </rcc>
  <rcc rId="6171" sId="5" numFmtId="4">
    <nc r="C526">
      <v>38</v>
    </nc>
  </rcc>
  <rcc rId="6172" sId="5" numFmtId="4">
    <nc r="D526">
      <v>13</v>
    </nc>
  </rcc>
  <rcc rId="6173" sId="5" numFmtId="4">
    <nc r="E526">
      <v>5</v>
    </nc>
  </rcc>
  <rcc rId="6174" sId="5" numFmtId="4">
    <nc r="F526">
      <v>1</v>
    </nc>
  </rcc>
  <rcc rId="6175" sId="5" numFmtId="4">
    <nc r="G526">
      <v>1</v>
    </nc>
  </rcc>
  <rcc rId="6176" sId="5" numFmtId="4">
    <nc r="B527">
      <v>11</v>
    </nc>
  </rcc>
  <rcc rId="6177" sId="5" numFmtId="4">
    <nc r="C527">
      <v>38</v>
    </nc>
  </rcc>
  <rcc rId="6178" sId="5" numFmtId="4">
    <nc r="D527">
      <v>14</v>
    </nc>
  </rcc>
  <rcc rId="6179" sId="5" numFmtId="4">
    <nc r="E527">
      <v>6</v>
    </nc>
  </rcc>
  <rcc rId="6180" sId="5" numFmtId="4">
    <nc r="F527">
      <v>2</v>
    </nc>
  </rcc>
  <rcc rId="6181" sId="5" numFmtId="4">
    <nc r="G527">
      <v>0</v>
    </nc>
  </rcc>
  <rcc rId="6182" sId="5" numFmtId="4">
    <nc r="B528">
      <v>11</v>
    </nc>
  </rcc>
  <rcc rId="6183" sId="5" numFmtId="4">
    <nc r="C528">
      <v>41</v>
    </nc>
  </rcc>
  <rcc rId="6184" sId="5" numFmtId="4">
    <nc r="D528">
      <v>14</v>
    </nc>
  </rcc>
  <rcc rId="6185" sId="5" numFmtId="4">
    <nc r="E528">
      <v>17</v>
    </nc>
  </rcc>
  <rcc rId="6186" sId="5" numFmtId="4">
    <nc r="F528">
      <v>8</v>
    </nc>
  </rcc>
  <rcc rId="6187" sId="5" numFmtId="4">
    <nc r="G528">
      <v>6</v>
    </nc>
  </rcc>
  <rcc rId="6188" sId="5" numFmtId="4">
    <nc r="B529">
      <v>11</v>
    </nc>
  </rcc>
  <rcc rId="6189" sId="5" numFmtId="4">
    <nc r="C529">
      <v>41</v>
    </nc>
  </rcc>
  <rcc rId="6190" sId="5" numFmtId="4">
    <nc r="D529">
      <v>15</v>
    </nc>
  </rcc>
  <rcc rId="6191" sId="5" numFmtId="4">
    <nc r="E529">
      <v>19</v>
    </nc>
  </rcc>
  <rcc rId="6192" sId="5" numFmtId="4">
    <nc r="F529">
      <v>10</v>
    </nc>
  </rcc>
  <rcc rId="6193" sId="5" numFmtId="4">
    <nc r="G529">
      <v>6</v>
    </nc>
  </rcc>
  <rcc rId="6194" sId="5" numFmtId="4">
    <nc r="B530">
      <v>11</v>
    </nc>
  </rcc>
  <rcc rId="6195" sId="5" numFmtId="4">
    <nc r="C530">
      <v>41</v>
    </nc>
  </rcc>
  <rcc rId="6196" sId="5" numFmtId="4">
    <nc r="D530">
      <v>13</v>
    </nc>
  </rcc>
  <rcc rId="6197" sId="5" numFmtId="4">
    <nc r="E530">
      <v>20</v>
    </nc>
  </rcc>
  <rcc rId="6198" sId="5" numFmtId="4">
    <nc r="F530">
      <v>9</v>
    </nc>
  </rcc>
  <rcc rId="6199" sId="5" numFmtId="4">
    <nc r="G530">
      <v>8</v>
    </nc>
  </rcc>
  <rcc rId="6200" sId="5" numFmtId="4">
    <nc r="B531">
      <v>11</v>
    </nc>
  </rcc>
  <rcc rId="6201" sId="5" numFmtId="4">
    <nc r="C531">
      <v>41</v>
    </nc>
  </rcc>
  <rcc rId="6202" sId="5" numFmtId="4">
    <nc r="D531">
      <v>12</v>
    </nc>
  </rcc>
  <rcc rId="6203" sId="5" numFmtId="4">
    <nc r="E531">
      <v>17</v>
    </nc>
  </rcc>
  <rcc rId="6204" sId="5" numFmtId="4">
    <nc r="F531">
      <v>8</v>
    </nc>
  </rcc>
  <rcc rId="6205" sId="5" numFmtId="4">
    <nc r="G531">
      <v>6</v>
    </nc>
  </rcc>
  <rcc rId="6206" sId="5" numFmtId="4">
    <nc r="B532">
      <v>11</v>
    </nc>
  </rcc>
  <rcc rId="6207" sId="5" numFmtId="4">
    <nc r="C532">
      <v>41</v>
    </nc>
  </rcc>
  <rcc rId="6208" sId="5" numFmtId="4">
    <nc r="D532">
      <v>11</v>
    </nc>
  </rcc>
  <rcc rId="6209" sId="5" numFmtId="4">
    <nc r="E532">
      <v>12</v>
    </nc>
  </rcc>
  <rcc rId="6210" sId="5" numFmtId="4">
    <nc r="F532">
      <v>14</v>
    </nc>
  </rcc>
  <rcc rId="6211" sId="5" numFmtId="4">
    <nc r="G532">
      <v>7</v>
    </nc>
  </rcc>
  <rcc rId="6212" sId="5" numFmtId="4">
    <nc r="B533">
      <v>11</v>
    </nc>
  </rcc>
  <rcc rId="6213" sId="5" numFmtId="4">
    <nc r="C533">
      <v>38</v>
    </nc>
  </rcc>
  <rcc rId="6214" sId="5" numFmtId="4">
    <nc r="D533">
      <v>11</v>
    </nc>
  </rcc>
  <rcc rId="6215" sId="5" numFmtId="4">
    <nc r="E533">
      <v>4</v>
    </nc>
  </rcc>
  <rcc rId="6216" sId="5" numFmtId="4">
    <nc r="F533">
      <v>3</v>
    </nc>
  </rcc>
  <rcc rId="6217" sId="5" numFmtId="4">
    <nc r="G533">
      <v>1</v>
    </nc>
  </rcc>
  <rcc rId="6218" sId="5" numFmtId="4">
    <nc r="B534">
      <v>11</v>
    </nc>
  </rcc>
  <rcc rId="6219" sId="5" numFmtId="4">
    <nc r="C534">
      <v>38</v>
    </nc>
  </rcc>
  <rcc rId="6220" sId="5" numFmtId="4">
    <nc r="D534">
      <v>12</v>
    </nc>
  </rcc>
  <rcc rId="6221" sId="5" numFmtId="4">
    <nc r="E534">
      <v>3</v>
    </nc>
  </rcc>
  <rcc rId="6222" sId="5" numFmtId="4">
    <nc r="F534">
      <v>1</v>
    </nc>
  </rcc>
  <rcc rId="6223" sId="5" numFmtId="4">
    <nc r="G534">
      <v>0</v>
    </nc>
  </rcc>
  <rcc rId="6224" sId="5" numFmtId="4">
    <nc r="B535">
      <v>11</v>
    </nc>
  </rcc>
  <rcc rId="6225" sId="5" numFmtId="4">
    <nc r="C535">
      <v>50</v>
    </nc>
  </rcc>
  <rcc rId="6226" sId="5" numFmtId="4">
    <nc r="D535">
      <v>10</v>
    </nc>
  </rcc>
  <rcc rId="6227" sId="5" numFmtId="4">
    <nc r="E535">
      <v>19</v>
    </nc>
  </rcc>
  <rcc rId="6228" sId="5" numFmtId="4">
    <nc r="F535">
      <v>4</v>
    </nc>
  </rcc>
  <rcc rId="6229" sId="5" numFmtId="4">
    <nc r="G535">
      <v>2</v>
    </nc>
  </rcc>
  <rcc rId="6230" sId="5" numFmtId="4">
    <nc r="B536">
      <v>11</v>
    </nc>
  </rcc>
  <rcc rId="6231" sId="5" numFmtId="4">
    <nc r="C536">
      <v>50</v>
    </nc>
  </rcc>
  <rcc rId="6232" sId="5" numFmtId="4">
    <nc r="D536">
      <v>11</v>
    </nc>
  </rcc>
  <rcc rId="6233" sId="5" numFmtId="4">
    <nc r="E536">
      <v>15</v>
    </nc>
  </rcc>
  <rcc rId="6234" sId="5" numFmtId="4">
    <nc r="F536">
      <v>1</v>
    </nc>
  </rcc>
  <rcc rId="6235" sId="5" numFmtId="4">
    <nc r="G536">
      <v>3</v>
    </nc>
  </rcc>
  <rcc rId="6236" sId="5" numFmtId="4">
    <nc r="B537">
      <v>11</v>
    </nc>
  </rcc>
  <rcc rId="6237" sId="5" numFmtId="4">
    <nc r="C537">
      <v>50</v>
    </nc>
  </rcc>
  <rcc rId="6238" sId="5" numFmtId="4">
    <nc r="D537">
      <v>12</v>
    </nc>
  </rcc>
  <rcc rId="6239" sId="5" numFmtId="4">
    <nc r="E537">
      <v>12</v>
    </nc>
  </rcc>
  <rcc rId="6240" sId="5" numFmtId="4">
    <nc r="F537">
      <v>2</v>
    </nc>
  </rcc>
  <rcc rId="6241" sId="5" numFmtId="4">
    <nc r="G537">
      <v>1</v>
    </nc>
  </rcc>
  <rcc rId="6242" sId="5" numFmtId="4">
    <nc r="B538">
      <v>11</v>
    </nc>
  </rcc>
  <rcc rId="6243" sId="5" numFmtId="4">
    <nc r="C538">
      <v>50</v>
    </nc>
  </rcc>
  <rcc rId="6244" sId="5" numFmtId="4">
    <nc r="D538">
      <v>13</v>
    </nc>
  </rcc>
  <rcc rId="6245" sId="5" numFmtId="4">
    <nc r="E538">
      <v>17</v>
    </nc>
  </rcc>
  <rcc rId="6246" sId="5" numFmtId="4">
    <nc r="F538">
      <v>1</v>
    </nc>
  </rcc>
  <rcc rId="6247" sId="5" numFmtId="4">
    <nc r="G538">
      <v>2</v>
    </nc>
  </rcc>
  <rcc rId="6248" sId="5" numFmtId="4">
    <nc r="B539">
      <v>11</v>
    </nc>
  </rcc>
  <rcc rId="6249" sId="5" numFmtId="4">
    <nc r="C539">
      <v>50</v>
    </nc>
  </rcc>
  <rcc rId="6250" sId="5" numFmtId="4">
    <nc r="D539">
      <v>14</v>
    </nc>
  </rcc>
  <rcc rId="6251" sId="5" numFmtId="4">
    <nc r="E539">
      <v>12</v>
    </nc>
  </rcc>
  <rcc rId="6252" sId="5" numFmtId="4">
    <nc r="F539">
      <v>3</v>
    </nc>
  </rcc>
  <rcc rId="6253" sId="5" numFmtId="4">
    <nc r="G539">
      <v>0</v>
    </nc>
  </rcc>
  <rcc rId="6254" sId="5" numFmtId="4">
    <nc r="B540">
      <v>11</v>
    </nc>
  </rcc>
  <rcc rId="6255" sId="5" numFmtId="4">
    <nc r="C540">
      <v>35</v>
    </nc>
  </rcc>
  <rcc rId="6256" sId="5" numFmtId="4">
    <nc r="D540">
      <v>12</v>
    </nc>
  </rcc>
  <rcc rId="6257" sId="5" numFmtId="4">
    <nc r="E540">
      <v>23</v>
    </nc>
  </rcc>
  <rcc rId="6258" sId="5" numFmtId="4">
    <nc r="F540">
      <v>2</v>
    </nc>
  </rcc>
  <rcc rId="6259" sId="5" numFmtId="4">
    <nc r="G540">
      <v>1</v>
    </nc>
  </rcc>
  <rcc rId="6260" sId="5" numFmtId="4">
    <nc r="B541">
      <v>11</v>
    </nc>
  </rcc>
  <rcc rId="6261" sId="5" numFmtId="4">
    <nc r="C541">
      <v>35</v>
    </nc>
  </rcc>
  <rcc rId="6262" sId="5" numFmtId="4">
    <nc r="D541">
      <v>13</v>
    </nc>
  </rcc>
  <rcc rId="6263" sId="5" numFmtId="4">
    <nc r="E541">
      <v>20</v>
    </nc>
  </rcc>
  <rcc rId="6264" sId="5" numFmtId="4">
    <nc r="F541">
      <v>0</v>
    </nc>
  </rcc>
  <rcc rId="6265" sId="5" numFmtId="4">
    <nc r="G541">
      <v>1</v>
    </nc>
  </rcc>
  <rcc rId="6266" sId="5" numFmtId="4">
    <nc r="B542">
      <v>11</v>
    </nc>
  </rcc>
  <rcc rId="6267" sId="5" numFmtId="4">
    <nc r="C542">
      <v>35</v>
    </nc>
  </rcc>
  <rcc rId="6268" sId="5" numFmtId="4">
    <nc r="D542">
      <v>14</v>
    </nc>
  </rcc>
  <rcc rId="6269" sId="5" numFmtId="4">
    <nc r="E542">
      <v>18</v>
    </nc>
  </rcc>
  <rcc rId="6270" sId="5" numFmtId="4">
    <nc r="F542">
      <v>0</v>
    </nc>
  </rcc>
  <rcc rId="6271" sId="5" numFmtId="4">
    <nc r="G542">
      <v>0</v>
    </nc>
  </rcc>
  <rcc rId="6272" sId="5" numFmtId="4">
    <nc r="B543">
      <v>11</v>
    </nc>
  </rcc>
  <rcc rId="6273" sId="5" numFmtId="4">
    <nc r="C543">
      <v>35</v>
    </nc>
  </rcc>
  <rcc rId="6274" sId="5" numFmtId="4">
    <nc r="D543">
      <v>15</v>
    </nc>
  </rcc>
  <rcc rId="6275" sId="5" numFmtId="4">
    <nc r="E543">
      <v>17</v>
    </nc>
  </rcc>
  <rcc rId="6276" sId="5" numFmtId="4">
    <nc r="F543">
      <v>1</v>
    </nc>
  </rcc>
  <rcc rId="6277" sId="5" numFmtId="4">
    <nc r="G543">
      <v>1</v>
    </nc>
  </rcc>
  <rcc rId="6278" sId="5" numFmtId="4">
    <nc r="B544">
      <v>11</v>
    </nc>
  </rcc>
  <rcc rId="6279" sId="5" numFmtId="4">
    <nc r="C544">
      <v>30</v>
    </nc>
  </rcc>
  <rcc rId="6280" sId="5" numFmtId="4">
    <nc r="D544">
      <v>15</v>
    </nc>
  </rcc>
  <rcc rId="6281" sId="5" numFmtId="4">
    <nc r="E544">
      <v>11</v>
    </nc>
  </rcc>
  <rcc rId="6282" sId="5" numFmtId="4">
    <nc r="F544">
      <v>5</v>
    </nc>
  </rcc>
  <rcc rId="6283" sId="5" numFmtId="4">
    <nc r="G544">
      <v>3</v>
    </nc>
  </rcc>
  <rcc rId="6284" sId="5" numFmtId="4">
    <nc r="B545">
      <v>11</v>
    </nc>
  </rcc>
  <rcc rId="6285" sId="5" numFmtId="4">
    <nc r="C545">
      <v>30</v>
    </nc>
  </rcc>
  <rcc rId="6286" sId="5" numFmtId="4">
    <nc r="D545">
      <v>14</v>
    </nc>
  </rcc>
  <rcc rId="6287" sId="5" numFmtId="4">
    <nc r="E545">
      <v>8</v>
    </nc>
  </rcc>
  <rcc rId="6288" sId="5" numFmtId="4">
    <nc r="F545">
      <v>6</v>
    </nc>
  </rcc>
  <rcc rId="6289" sId="5" numFmtId="4">
    <nc r="G545">
      <v>1</v>
    </nc>
  </rcc>
  <rcc rId="6290" sId="5" numFmtId="4">
    <nc r="B546">
      <v>11</v>
    </nc>
  </rcc>
  <rcc rId="6291" sId="5" numFmtId="4">
    <nc r="C546">
      <v>39</v>
    </nc>
  </rcc>
  <rcc rId="6292" sId="5" numFmtId="4">
    <nc r="D546">
      <v>14</v>
    </nc>
  </rcc>
  <rcc rId="6293" sId="5" numFmtId="4">
    <nc r="E546">
      <v>6</v>
    </nc>
  </rcc>
  <rcc rId="6294" sId="5" numFmtId="4">
    <nc r="F546">
      <v>9</v>
    </nc>
  </rcc>
  <rcc rId="6295" sId="5" numFmtId="4">
    <nc r="G546">
      <v>8</v>
    </nc>
  </rcc>
  <rcc rId="6296" sId="5" numFmtId="4">
    <nc r="B547">
      <v>11</v>
    </nc>
  </rcc>
  <rcc rId="6297" sId="5" numFmtId="4">
    <nc r="C547">
      <v>39</v>
    </nc>
  </rcc>
  <rcc rId="6298" sId="5" numFmtId="4">
    <nc r="D547">
      <v>13</v>
    </nc>
  </rcc>
  <rcc rId="6299" sId="5" numFmtId="4">
    <nc r="E547">
      <v>7</v>
    </nc>
  </rcc>
  <rcc rId="6300" sId="5" numFmtId="4">
    <nc r="F547">
      <v>9</v>
    </nc>
  </rcc>
  <rcc rId="6301" sId="5" numFmtId="4">
    <nc r="G547">
      <v>9</v>
    </nc>
  </rcc>
  <rcc rId="6302" sId="5" numFmtId="4">
    <nc r="B548">
      <v>11</v>
    </nc>
  </rcc>
  <rcc rId="6303" sId="5" numFmtId="4">
    <nc r="C548">
      <v>39</v>
    </nc>
  </rcc>
  <rcc rId="6304" sId="5" numFmtId="4">
    <nc r="D548">
      <v>12</v>
    </nc>
  </rcc>
  <rcc rId="6305" sId="5" numFmtId="4">
    <nc r="E548">
      <v>10</v>
    </nc>
  </rcc>
  <rcc rId="6306" sId="5" numFmtId="4">
    <nc r="F548">
      <v>7</v>
    </nc>
  </rcc>
  <rcc rId="6307" sId="5" numFmtId="4">
    <nc r="G548">
      <v>8</v>
    </nc>
  </rcc>
</revisions>
</file>

<file path=xl/revisions/revisionLog105.xml><?xml version="1.0" encoding="utf-8"?>
<revisions xmlns="http://schemas.openxmlformats.org/spreadsheetml/2006/main" xmlns:r="http://schemas.openxmlformats.org/officeDocument/2006/relationships">
  <rcc rId="6308" sId="5" numFmtId="4">
    <nc r="B549">
      <v>11</v>
    </nc>
  </rcc>
  <rcc rId="6309" sId="5" numFmtId="4">
    <nc r="C549">
      <v>37</v>
    </nc>
  </rcc>
  <rcc rId="6310" sId="5" numFmtId="4">
    <nc r="D549">
      <v>14</v>
    </nc>
  </rcc>
  <rcc rId="6311" sId="5" numFmtId="4">
    <nc r="E549">
      <v>12</v>
    </nc>
  </rcc>
  <rcc rId="6312" sId="5" numFmtId="4">
    <nc r="F549">
      <v>4</v>
    </nc>
  </rcc>
  <rcc rId="6313" sId="5" numFmtId="4">
    <nc r="G549">
      <v>3</v>
    </nc>
  </rcc>
  <rcc rId="6314" sId="5" numFmtId="4">
    <nc r="B550">
      <v>11</v>
    </nc>
  </rcc>
  <rcc rId="6315" sId="5" numFmtId="4">
    <nc r="C550">
      <v>37</v>
    </nc>
  </rcc>
  <rcc rId="6316" sId="5" numFmtId="4">
    <nc r="D550">
      <v>13</v>
    </nc>
  </rcc>
  <rcc rId="6317" sId="5" numFmtId="4">
    <nc r="E550">
      <v>13</v>
    </nc>
  </rcc>
  <rcc rId="6318" sId="5" numFmtId="4">
    <nc r="F550">
      <v>3</v>
    </nc>
  </rcc>
  <rcc rId="6319" sId="5" numFmtId="4">
    <nc r="G550">
      <v>2</v>
    </nc>
  </rcc>
  <rcc rId="6320" sId="5" numFmtId="4">
    <nc r="B551">
      <v>11</v>
    </nc>
  </rcc>
  <rcc rId="6321" sId="5" numFmtId="4">
    <nc r="C551">
      <v>37</v>
    </nc>
  </rcc>
  <rcc rId="6322" sId="5" numFmtId="4">
    <nc r="D551">
      <v>12</v>
    </nc>
  </rcc>
  <rcc rId="6323" sId="5" numFmtId="4">
    <nc r="E551">
      <v>17</v>
    </nc>
  </rcc>
  <rcc rId="6324" sId="5" numFmtId="4">
    <nc r="F551">
      <v>3</v>
    </nc>
  </rcc>
  <rcc rId="6325" sId="5" numFmtId="4">
    <nc r="G551">
      <v>2</v>
    </nc>
  </rcc>
  <rcc rId="6326" sId="5" numFmtId="4">
    <nc r="B552">
      <v>11</v>
    </nc>
  </rcc>
  <rcc rId="6327" sId="5" numFmtId="4">
    <nc r="C552">
      <v>37</v>
    </nc>
  </rcc>
  <rcc rId="6328" sId="5" numFmtId="4">
    <nc r="D552">
      <v>11</v>
    </nc>
  </rcc>
  <rcc rId="6329" sId="5" numFmtId="4">
    <nc r="E552">
      <v>14</v>
    </nc>
  </rcc>
  <rcc rId="6330" sId="5" numFmtId="4">
    <nc r="F552">
      <v>2</v>
    </nc>
  </rcc>
  <rcc rId="6331" sId="5" numFmtId="4">
    <nc r="G552">
      <v>4</v>
    </nc>
  </rcc>
  <rcc rId="6332" sId="5" numFmtId="4">
    <nc r="B553">
      <v>11</v>
    </nc>
  </rcc>
  <rcc rId="6333" sId="5" numFmtId="4">
    <nc r="C553">
      <v>37</v>
    </nc>
  </rcc>
  <rcc rId="6334" sId="5" numFmtId="4">
    <nc r="D553">
      <v>10</v>
    </nc>
  </rcc>
  <rcc rId="6335" sId="5" numFmtId="4">
    <nc r="E553">
      <v>10</v>
    </nc>
  </rcc>
  <rcc rId="6336" sId="5" numFmtId="4">
    <nc r="F553">
      <v>5</v>
    </nc>
  </rcc>
  <rcc rId="6337" sId="5" numFmtId="4">
    <nc r="G553">
      <v>6</v>
    </nc>
  </rcc>
  <rcc rId="6338" sId="5" numFmtId="4">
    <nc r="B554">
      <v>11</v>
    </nc>
  </rcc>
  <rcc rId="6339" sId="5" numFmtId="4">
    <nc r="C554">
      <v>26</v>
    </nc>
  </rcc>
  <rcc rId="6340" sId="5" numFmtId="4">
    <nc r="D554">
      <v>15</v>
    </nc>
  </rcc>
  <rcc rId="6341" sId="5" numFmtId="4">
    <nc r="E554">
      <v>12</v>
    </nc>
  </rcc>
  <rcc rId="6342" sId="5" numFmtId="4">
    <nc r="F554">
      <v>14</v>
    </nc>
  </rcc>
  <rcc rId="6343" sId="5" numFmtId="4">
    <nc r="G554">
      <v>3</v>
    </nc>
  </rcc>
  <rcc rId="6344" sId="5" numFmtId="4">
    <nc r="B555">
      <v>11</v>
    </nc>
  </rcc>
  <rcc rId="6345" sId="5" numFmtId="4">
    <nc r="C555">
      <v>34</v>
    </nc>
  </rcc>
  <rcc rId="6346" sId="5" numFmtId="4">
    <nc r="D555">
      <v>11</v>
    </nc>
  </rcc>
  <rcc rId="6347" sId="5" numFmtId="4">
    <nc r="E555">
      <v>26</v>
    </nc>
  </rcc>
  <rcc rId="6348" sId="5" numFmtId="4">
    <nc r="F555">
      <v>6</v>
    </nc>
  </rcc>
  <rcc rId="6349" sId="5" numFmtId="4">
    <nc r="G555">
      <v>7</v>
    </nc>
  </rcc>
  <rcc rId="6350" sId="5" numFmtId="4">
    <nc r="B556">
      <v>11</v>
    </nc>
  </rcc>
  <rcc rId="6351" sId="5" numFmtId="4">
    <nc r="C556">
      <v>34</v>
    </nc>
  </rcc>
  <rcc rId="6352" sId="5" numFmtId="4">
    <nc r="D556">
      <v>12</v>
    </nc>
  </rcc>
  <rcc rId="6353" sId="5" numFmtId="4">
    <nc r="E556">
      <v>22</v>
    </nc>
  </rcc>
  <rcc rId="6354" sId="5" numFmtId="4">
    <nc r="F556">
      <v>0</v>
    </nc>
  </rcc>
  <rcc rId="6355" sId="5" numFmtId="4">
    <nc r="G556">
      <v>5</v>
    </nc>
  </rcc>
  <rcc rId="6356" sId="5" numFmtId="4">
    <nc r="B557">
      <v>11</v>
    </nc>
  </rcc>
  <rcc rId="6357" sId="5" numFmtId="4">
    <nc r="C557">
      <v>34</v>
    </nc>
  </rcc>
  <rcc rId="6358" sId="5" numFmtId="4">
    <nc r="D557">
      <v>13</v>
    </nc>
  </rcc>
  <rcc rId="6359" sId="5" numFmtId="4">
    <nc r="E557">
      <v>15</v>
    </nc>
  </rcc>
  <rcc rId="6360" sId="5" numFmtId="4">
    <nc r="F557">
      <v>0</v>
    </nc>
  </rcc>
  <rcc rId="6361" sId="5" numFmtId="4">
    <nc r="G557">
      <v>4</v>
    </nc>
  </rcc>
  <rcc rId="6362" sId="2" numFmtId="4">
    <nc r="B236">
      <v>9</v>
    </nc>
  </rcc>
  <rcc rId="6363" sId="2" numFmtId="4">
    <nc r="C236">
      <v>20</v>
    </nc>
  </rcc>
  <rcc rId="6364" sId="2" numFmtId="4">
    <nc r="D236">
      <v>14</v>
    </nc>
  </rcc>
  <rcc rId="6365" sId="2" numFmtId="4">
    <nc r="E236">
      <v>5</v>
    </nc>
  </rcc>
  <rcc rId="6366" sId="2" numFmtId="4">
    <nc r="F236">
      <v>12</v>
    </nc>
  </rcc>
  <rcc rId="6367" sId="2" numFmtId="4">
    <nc r="G236">
      <v>2</v>
    </nc>
  </rcc>
  <rcc rId="6368" sId="2" numFmtId="4">
    <nc r="B237">
      <v>9</v>
    </nc>
  </rcc>
  <rcc rId="6369" sId="2" numFmtId="4">
    <nc r="C237">
      <v>20</v>
    </nc>
  </rcc>
  <rcc rId="6370" sId="2" numFmtId="4">
    <nc r="D237">
      <v>15</v>
    </nc>
  </rcc>
</revisions>
</file>

<file path=xl/revisions/revisionLog106.xml><?xml version="1.0" encoding="utf-8"?>
<revisions xmlns="http://schemas.openxmlformats.org/spreadsheetml/2006/main" xmlns:r="http://schemas.openxmlformats.org/officeDocument/2006/relationships">
  <rcc rId="6371" sId="2" numFmtId="4">
    <nc r="E237">
      <v>7</v>
    </nc>
  </rcc>
  <rcc rId="6372" sId="2" numFmtId="4">
    <nc r="F237">
      <v>11</v>
    </nc>
  </rcc>
  <rcc rId="6373" sId="2" numFmtId="4">
    <nc r="G237">
      <v>1</v>
    </nc>
  </rcc>
  <rcc rId="6374" sId="2" numFmtId="4">
    <nc r="B238">
      <v>9</v>
    </nc>
  </rcc>
  <rcc rId="6375" sId="2" numFmtId="4">
    <nc r="C238">
      <v>20</v>
    </nc>
  </rcc>
  <rcc rId="6376" sId="2" numFmtId="4">
    <nc r="D238">
      <v>16</v>
    </nc>
  </rcc>
  <rcc rId="6377" sId="2" numFmtId="4">
    <nc r="E238">
      <v>9</v>
    </nc>
  </rcc>
  <rcc rId="6378" sId="2" numFmtId="4">
    <nc r="F238">
      <v>10</v>
    </nc>
  </rcc>
  <rcc rId="6379" sId="2" numFmtId="4">
    <nc r="G238">
      <v>2</v>
    </nc>
  </rcc>
  <rcc rId="6380" sId="5" numFmtId="4">
    <nc r="B558">
      <v>11</v>
    </nc>
  </rcc>
  <rcc rId="6381" sId="5" numFmtId="4">
    <nc r="C558">
      <v>44</v>
    </nc>
  </rcc>
  <rcc rId="6382" sId="5" numFmtId="4">
    <nc r="D558">
      <v>17</v>
    </nc>
  </rcc>
  <rcc rId="6383" sId="5" numFmtId="4">
    <nc r="E558">
      <v>5</v>
    </nc>
  </rcc>
  <rcc rId="6384" sId="5" numFmtId="4">
    <nc r="F558">
      <v>21</v>
    </nc>
  </rcc>
  <rcc rId="6385" sId="5" numFmtId="4">
    <nc r="G558">
      <v>2</v>
    </nc>
  </rcc>
  <rcc rId="6386" sId="5" numFmtId="4">
    <nc r="B559">
      <v>11</v>
    </nc>
  </rcc>
  <rcc rId="6387" sId="5" numFmtId="4">
    <nc r="C559">
      <v>43</v>
    </nc>
  </rcc>
  <rcc rId="6388" sId="5" numFmtId="4">
    <nc r="D559">
      <v>13</v>
    </nc>
  </rcc>
  <rcc rId="6389" sId="5" numFmtId="4">
    <nc r="E559">
      <v>13</v>
    </nc>
  </rcc>
  <rcc rId="6390" sId="5" numFmtId="4">
    <nc r="F559">
      <v>10</v>
    </nc>
  </rcc>
  <rcc rId="6391" sId="5" numFmtId="4">
    <nc r="G559">
      <v>6</v>
    </nc>
  </rcc>
  <rcc rId="6392" sId="5" numFmtId="4">
    <nc r="B560">
      <v>11</v>
    </nc>
  </rcc>
  <rcc rId="6393" sId="5" numFmtId="4">
    <nc r="C560">
      <v>43</v>
    </nc>
  </rcc>
  <rcc rId="6394" sId="5" numFmtId="4">
    <nc r="D560">
      <v>14</v>
    </nc>
  </rcc>
  <rcc rId="6395" sId="5" numFmtId="4">
    <nc r="E560">
      <v>33</v>
    </nc>
  </rcc>
  <rcc rId="6396" sId="5" numFmtId="4">
    <nc r="F560">
      <v>14</v>
    </nc>
  </rcc>
  <rcc rId="6397" sId="5" numFmtId="4">
    <nc r="G560">
      <v>3</v>
    </nc>
  </rcc>
  <rcc rId="6398" sId="5" numFmtId="4">
    <nc r="B561">
      <v>11</v>
    </nc>
  </rcc>
  <rcc rId="6399" sId="5" numFmtId="4">
    <nc r="C561">
      <v>24</v>
    </nc>
  </rcc>
  <rcc rId="6400" sId="5" numFmtId="4">
    <nc r="D561">
      <v>12</v>
    </nc>
  </rcc>
  <rcc rId="6401" sId="5" numFmtId="4">
    <nc r="E561">
      <v>13</v>
    </nc>
  </rcc>
  <rcc rId="6402" sId="5" numFmtId="4">
    <nc r="F561">
      <v>5</v>
    </nc>
  </rcc>
  <rcc rId="6403" sId="5" numFmtId="4">
    <nc r="G561">
      <v>0</v>
    </nc>
  </rcc>
  <rcc rId="6404" sId="5" numFmtId="4">
    <nc r="B562">
      <v>11</v>
    </nc>
  </rcc>
  <rcc rId="6405" sId="5" numFmtId="4">
    <nc r="C562">
      <v>24</v>
    </nc>
  </rcc>
  <rcc rId="6406" sId="5" numFmtId="4">
    <nc r="D562">
      <v>13</v>
    </nc>
  </rcc>
  <rcc rId="6407" sId="5" numFmtId="4">
    <nc r="E562">
      <v>16</v>
    </nc>
  </rcc>
  <rcc rId="6408" sId="5" numFmtId="4">
    <nc r="F562">
      <v>2</v>
    </nc>
  </rcc>
  <rcc rId="6409" sId="5" numFmtId="4">
    <nc r="G562">
      <v>3</v>
    </nc>
  </rcc>
  <rcc rId="6410" sId="5" numFmtId="4">
    <nc r="B563">
      <v>11</v>
    </nc>
  </rcc>
  <rcc rId="6411" sId="5" numFmtId="4">
    <nc r="C563">
      <v>24</v>
    </nc>
  </rcc>
  <rcc rId="6412" sId="5" numFmtId="4">
    <nc r="D563">
      <v>14</v>
    </nc>
  </rcc>
  <rcc rId="6413" sId="5" numFmtId="4">
    <nc r="E563">
      <v>19</v>
    </nc>
  </rcc>
  <rcc rId="6414" sId="5" numFmtId="4">
    <nc r="F563">
      <v>0</v>
    </nc>
  </rcc>
  <rcc rId="6415" sId="5" numFmtId="4">
    <nc r="G563">
      <v>1</v>
    </nc>
  </rcc>
  <rcc rId="6416" sId="5" numFmtId="4">
    <nc r="B564">
      <v>11</v>
    </nc>
  </rcc>
  <rcc rId="6417" sId="5" numFmtId="4">
    <nc r="C564">
      <v>24</v>
    </nc>
  </rcc>
  <rcc rId="6418" sId="5" numFmtId="4">
    <nc r="D564">
      <v>15</v>
    </nc>
  </rcc>
  <rcc rId="6419" sId="5" numFmtId="4">
    <nc r="F564">
      <v>1</v>
    </nc>
  </rcc>
  <rcc rId="6420" sId="5" numFmtId="4">
    <nc r="E564">
      <v>15</v>
    </nc>
  </rcc>
  <rcc rId="6421" sId="5" numFmtId="4">
    <nc r="G564">
      <v>0</v>
    </nc>
  </rcc>
  <rcc rId="6422" sId="5" numFmtId="4">
    <nc r="B565">
      <v>11</v>
    </nc>
  </rcc>
  <rcc rId="6423" sId="5" numFmtId="4">
    <nc r="C565">
      <v>31</v>
    </nc>
  </rcc>
  <rcc rId="6424" sId="5" numFmtId="4">
    <nc r="D565">
      <v>16</v>
    </nc>
  </rcc>
  <rcc rId="6425" sId="5" numFmtId="4">
    <nc r="E565">
      <v>15</v>
    </nc>
  </rcc>
  <rcc rId="6426" sId="5" numFmtId="4">
    <nc r="F565">
      <v>0</v>
    </nc>
  </rcc>
  <rcc rId="6427" sId="5" numFmtId="4">
    <nc r="G565">
      <v>4</v>
    </nc>
  </rcc>
  <rcc rId="6428" sId="5" numFmtId="4">
    <nc r="B566">
      <v>11</v>
    </nc>
  </rcc>
  <rcc rId="6429" sId="5" numFmtId="4">
    <nc r="C566">
      <v>25</v>
    </nc>
  </rcc>
  <rcc rId="6430" sId="5" numFmtId="4">
    <nc r="D566">
      <v>14</v>
    </nc>
  </rcc>
  <rcc rId="6431" sId="5" numFmtId="4">
    <nc r="E566">
      <v>8</v>
    </nc>
  </rcc>
  <rcc rId="6432" sId="5" numFmtId="4">
    <nc r="F566">
      <v>10</v>
    </nc>
  </rcc>
  <rcc rId="6433" sId="5" numFmtId="4">
    <nc r="G566">
      <v>2</v>
    </nc>
  </rcc>
  <rcc rId="6434" sId="5" numFmtId="4">
    <nc r="B567">
      <v>11</v>
    </nc>
  </rcc>
  <rcc rId="6435" sId="5" numFmtId="4">
    <nc r="C567">
      <v>31</v>
    </nc>
  </rcc>
</revisions>
</file>

<file path=xl/revisions/revisionLog107.xml><?xml version="1.0" encoding="utf-8"?>
<revisions xmlns="http://schemas.openxmlformats.org/spreadsheetml/2006/main" xmlns:r="http://schemas.openxmlformats.org/officeDocument/2006/relationships">
  <rcc rId="6436" sId="8" numFmtId="4">
    <nc r="B202">
      <v>16</v>
    </nc>
  </rcc>
  <rcc rId="6437" sId="8" numFmtId="4">
    <nc r="C202">
      <v>80</v>
    </nc>
  </rcc>
  <rcc rId="6438" sId="8" numFmtId="4">
    <nc r="D202">
      <v>10</v>
    </nc>
  </rcc>
  <rcc rId="6439" sId="8" numFmtId="4">
    <nc r="E202">
      <v>11</v>
    </nc>
  </rcc>
  <rcc rId="6440" sId="8" numFmtId="4">
    <nc r="F202">
      <v>2</v>
    </nc>
  </rcc>
  <rcc rId="6441" sId="8" numFmtId="4">
    <nc r="G202">
      <v>0</v>
    </nc>
  </rcc>
  <rcc rId="6442" sId="8" numFmtId="4">
    <nc r="H202">
      <v>0</v>
    </nc>
  </rcc>
  <rcc rId="6443" sId="8" numFmtId="4">
    <nc r="B203">
      <v>16</v>
    </nc>
  </rcc>
  <rcc rId="6444" sId="8" numFmtId="4">
    <nc r="C203">
      <v>80</v>
    </nc>
  </rcc>
  <rcc rId="6445" sId="8" numFmtId="4">
    <nc r="D203">
      <v>11</v>
    </nc>
  </rcc>
  <rcc rId="6446" sId="8" numFmtId="4">
    <nc r="E203">
      <v>10</v>
    </nc>
  </rcc>
  <rcc rId="6447" sId="8" numFmtId="4">
    <nc r="F203">
      <v>2</v>
    </nc>
  </rcc>
  <rcc rId="6448" sId="8" numFmtId="4">
    <nc r="G203">
      <v>6</v>
    </nc>
  </rcc>
  <rcc rId="6449" sId="8" numFmtId="4">
    <nc r="H203">
      <v>1</v>
    </nc>
  </rcc>
  <rcc rId="6450" sId="8" numFmtId="4">
    <nc r="B204">
      <v>16</v>
    </nc>
  </rcc>
  <rcc rId="6451" sId="8" numFmtId="4">
    <nc r="C204">
      <v>80</v>
    </nc>
  </rcc>
  <rcc rId="6452" sId="8" numFmtId="4">
    <nc r="D204">
      <v>12</v>
    </nc>
  </rcc>
  <rcc rId="6453" sId="8" numFmtId="4">
    <nc r="E204">
      <v>5</v>
    </nc>
  </rcc>
  <rcc rId="6454" sId="8" numFmtId="4">
    <nc r="F204">
      <v>1</v>
    </nc>
  </rcc>
  <rcc rId="6455" sId="8" numFmtId="4">
    <nc r="G204">
      <v>0</v>
    </nc>
  </rcc>
  <rcc rId="6456" sId="8" numFmtId="4">
    <nc r="H204">
      <v>0</v>
    </nc>
  </rcc>
</revisions>
</file>

<file path=xl/revisions/revisionLog108.xml><?xml version="1.0" encoding="utf-8"?>
<revisions xmlns="http://schemas.openxmlformats.org/spreadsheetml/2006/main" xmlns:r="http://schemas.openxmlformats.org/officeDocument/2006/relationships">
  <rcc rId="6457" sId="5" numFmtId="4">
    <nc r="D567">
      <v>17</v>
    </nc>
  </rcc>
  <rcc rId="6458" sId="5" numFmtId="4">
    <nc r="E567">
      <v>10</v>
    </nc>
  </rcc>
  <rcc rId="6459" sId="5" numFmtId="4">
    <nc r="F567">
      <v>0</v>
    </nc>
  </rcc>
  <rcc rId="6460" sId="5" numFmtId="4">
    <nc r="G567">
      <v>0</v>
    </nc>
  </rcc>
  <rcc rId="6461" sId="5" numFmtId="4">
    <nc r="B568">
      <v>11</v>
    </nc>
  </rcc>
  <rcc rId="6462" sId="5" numFmtId="4">
    <nc r="C568">
      <v>31</v>
    </nc>
  </rcc>
  <rcc rId="6463" sId="5" numFmtId="4">
    <nc r="D568">
      <v>15</v>
    </nc>
  </rcc>
  <rcc rId="6464" sId="5" numFmtId="4">
    <nc r="E568">
      <v>10</v>
    </nc>
  </rcc>
  <rcc rId="6465" sId="5" numFmtId="4">
    <nc r="F568">
      <v>0</v>
    </nc>
  </rcc>
  <rcc rId="6466" sId="5" numFmtId="4">
    <nc r="G568">
      <v>10</v>
    </nc>
  </rcc>
  <rcc rId="6467" sId="5" numFmtId="4">
    <nc r="B569">
      <v>11</v>
    </nc>
  </rcc>
  <rcc rId="6468" sId="5" numFmtId="4">
    <nc r="C569">
      <v>31</v>
    </nc>
  </rcc>
  <rcc rId="6469" sId="5" numFmtId="4">
    <nc r="D569">
      <v>14</v>
    </nc>
  </rcc>
  <rcc rId="6470" sId="5" numFmtId="4">
    <nc r="E569">
      <v>15</v>
    </nc>
  </rcc>
  <rcc rId="6471" sId="5" numFmtId="4">
    <nc r="F569">
      <v>0</v>
    </nc>
  </rcc>
  <rcc rId="6472" sId="5" numFmtId="4">
    <nc r="G569">
      <v>0</v>
    </nc>
  </rcc>
  <rcc rId="6473" sId="5" numFmtId="4">
    <nc r="B570">
      <v>11</v>
    </nc>
  </rcc>
  <rcc rId="6474" sId="5" numFmtId="4">
    <nc r="C570">
      <v>31</v>
    </nc>
  </rcc>
  <rcc rId="6475" sId="5" numFmtId="4">
    <nc r="D570">
      <v>13</v>
    </nc>
  </rcc>
  <rcc rId="6476" sId="5" numFmtId="4">
    <nc r="E570">
      <v>25</v>
    </nc>
  </rcc>
  <rcc rId="6477" sId="5" numFmtId="4">
    <nc r="F570">
      <v>0</v>
    </nc>
  </rcc>
  <rcc rId="6478" sId="5" numFmtId="4">
    <nc r="G570">
      <v>0</v>
    </nc>
  </rcc>
  <rcc rId="6479" sId="5" numFmtId="4">
    <nc r="B571">
      <v>11</v>
    </nc>
  </rcc>
  <rcc rId="6480" sId="5" numFmtId="4">
    <nc r="C571">
      <v>31</v>
    </nc>
  </rcc>
  <rcc rId="6481" sId="5" numFmtId="4">
    <nc r="D571">
      <v>12</v>
    </nc>
  </rcc>
  <rcc rId="6482" sId="5" numFmtId="4">
    <nc r="E571">
      <v>19</v>
    </nc>
  </rcc>
  <rcc rId="6483" sId="5" numFmtId="4">
    <nc r="F571">
      <v>2</v>
    </nc>
  </rcc>
  <rcc rId="6484" sId="5" numFmtId="4">
    <nc r="G571">
      <v>4</v>
    </nc>
  </rcc>
  <rcc rId="6485" sId="5" numFmtId="4">
    <nc r="B572">
      <v>11</v>
    </nc>
  </rcc>
  <rcc rId="6486" sId="5" numFmtId="4">
    <nc r="C572">
      <v>31</v>
    </nc>
  </rcc>
  <rcc rId="6487" sId="5" numFmtId="4">
    <nc r="D572">
      <v>11</v>
    </nc>
  </rcc>
  <rcc rId="6488" sId="5" numFmtId="4">
    <nc r="E572">
      <v>25</v>
    </nc>
  </rcc>
  <rcc rId="6489" sId="5" numFmtId="4">
    <nc r="F572">
      <v>0</v>
    </nc>
  </rcc>
  <rcc rId="6490" sId="5" numFmtId="4">
    <nc r="G572">
      <v>0</v>
    </nc>
  </rcc>
  <rcc rId="6491" sId="5" numFmtId="4">
    <nc r="B573">
      <v>11</v>
    </nc>
  </rcc>
  <rcc rId="6492" sId="5" numFmtId="4">
    <nc r="C573">
      <v>31</v>
    </nc>
  </rcc>
  <rcc rId="6493" sId="5" numFmtId="4">
    <nc r="D573">
      <v>10</v>
    </nc>
  </rcc>
  <rcc rId="6494" sId="5" numFmtId="4">
    <nc r="E573">
      <v>20</v>
    </nc>
  </rcc>
  <rcc rId="6495" sId="5" numFmtId="4">
    <nc r="F573">
      <v>0</v>
    </nc>
  </rcc>
  <rcc rId="6496" sId="5" numFmtId="4">
    <nc r="G573">
      <v>0</v>
    </nc>
  </rcc>
  <rcc rId="6497" sId="5" numFmtId="4">
    <nc r="B574">
      <v>11</v>
    </nc>
  </rcc>
  <rcc rId="6498" sId="5" numFmtId="4">
    <nc r="C574">
      <v>31</v>
    </nc>
  </rcc>
  <rcc rId="6499" sId="5" numFmtId="4">
    <nc r="D574">
      <v>9</v>
    </nc>
  </rcc>
  <rcc rId="6500" sId="5" numFmtId="4">
    <nc r="E574">
      <v>22</v>
    </nc>
  </rcc>
  <rcc rId="6501" sId="5" numFmtId="4">
    <nc r="F574">
      <v>3</v>
    </nc>
  </rcc>
  <rcc rId="6502" sId="5" numFmtId="4">
    <nc r="G574">
      <v>0</v>
    </nc>
  </rcc>
  <rcc rId="6503" sId="5" numFmtId="4">
    <nc r="B575">
      <v>11</v>
    </nc>
  </rcc>
  <rcc rId="6504" sId="5" numFmtId="4">
    <nc r="C575">
      <v>45</v>
    </nc>
  </rcc>
  <rcc rId="6505" sId="5" numFmtId="4">
    <nc r="D575">
      <v>15</v>
    </nc>
  </rcc>
  <rcc rId="6506" sId="5" numFmtId="4">
    <nc r="E575">
      <v>8</v>
    </nc>
  </rcc>
  <rcc rId="6507" sId="5" numFmtId="4">
    <nc r="F575">
      <v>27</v>
    </nc>
  </rcc>
  <rcc rId="6508" sId="5" numFmtId="4">
    <nc r="G575">
      <v>6</v>
    </nc>
  </rcc>
  <rcc rId="6509" sId="5" numFmtId="4">
    <nc r="B576">
      <v>11</v>
    </nc>
  </rcc>
  <rcc rId="6510" sId="5" numFmtId="4">
    <nc r="C576">
      <v>31</v>
    </nc>
  </rcc>
  <rcc rId="6511" sId="5" numFmtId="4">
    <nc r="D576">
      <v>7</v>
    </nc>
  </rcc>
  <rcc rId="6512" sId="5" numFmtId="4">
    <nc r="E576">
      <v>24</v>
    </nc>
  </rcc>
  <rcc rId="6513" sId="5" numFmtId="4">
    <nc r="F576">
      <v>0</v>
    </nc>
  </rcc>
  <rcc rId="6514" sId="5" numFmtId="4">
    <nc r="G576">
      <v>1</v>
    </nc>
  </rcc>
  <rcc rId="6515" sId="5" numFmtId="4">
    <nc r="B577">
      <v>11</v>
    </nc>
  </rcc>
  <rcc rId="6516" sId="5" numFmtId="4">
    <nc r="C577">
      <v>31</v>
    </nc>
  </rcc>
  <rcc rId="6517" sId="5" numFmtId="4">
    <nc r="D577">
      <v>8</v>
    </nc>
  </rcc>
  <rcc rId="6518" sId="5" numFmtId="4">
    <nc r="E577">
      <v>25</v>
    </nc>
  </rcc>
  <rcc rId="6519" sId="5" numFmtId="4">
    <nc r="F577">
      <v>0</v>
    </nc>
  </rcc>
  <rcc rId="6520" sId="5" numFmtId="4">
    <nc r="G577">
      <v>0</v>
    </nc>
  </rcc>
  <rcc rId="6521" sId="2" numFmtId="4">
    <nc r="B239">
      <v>9</v>
    </nc>
  </rcc>
  <rcc rId="6522" sId="2" numFmtId="4">
    <nc r="C239">
      <v>4</v>
    </nc>
  </rcc>
  <rcc rId="6523" sId="2" numFmtId="4">
    <nc r="D239">
      <v>7</v>
    </nc>
  </rcc>
  <rcc rId="6524" sId="2" numFmtId="4">
    <nc r="E239">
      <v>4</v>
    </nc>
  </rcc>
  <rcc rId="6525" sId="2" numFmtId="4">
    <nc r="F239">
      <v>21</v>
    </nc>
  </rcc>
  <rcc rId="6526" sId="2" numFmtId="4">
    <nc r="G239">
      <v>0</v>
    </nc>
  </rcc>
  <rcc rId="6527" sId="2" numFmtId="4">
    <nc r="B240">
      <v>9</v>
    </nc>
  </rcc>
  <rcc rId="6528" sId="2" numFmtId="4">
    <nc r="C240">
      <v>4</v>
    </nc>
  </rcc>
  <rcc rId="6529" sId="2" numFmtId="4">
    <nc r="D240">
      <v>8</v>
    </nc>
  </rcc>
  <rcc rId="6530" sId="2" numFmtId="4">
    <nc r="E240">
      <v>19</v>
    </nc>
  </rcc>
  <rcc rId="6531" sId="2" numFmtId="4">
    <nc r="F240">
      <v>32</v>
    </nc>
  </rcc>
  <rcc rId="6532" sId="2" numFmtId="4">
    <nc r="G240">
      <v>0</v>
    </nc>
  </rcc>
  <rcc rId="6533" sId="2" numFmtId="4">
    <nc r="B241">
      <v>9</v>
    </nc>
  </rcc>
  <rcc rId="6534" sId="2" numFmtId="4">
    <nc r="C241">
      <v>4</v>
    </nc>
  </rcc>
  <rcc rId="6535" sId="2" numFmtId="4">
    <nc r="D241">
      <v>9</v>
    </nc>
  </rcc>
  <rcc rId="6536" sId="2" numFmtId="4">
    <nc r="E241">
      <v>11</v>
    </nc>
  </rcc>
  <rcc rId="6537" sId="2" numFmtId="4">
    <nc r="F241">
      <v>23</v>
    </nc>
  </rcc>
  <rcc rId="6538" sId="2" numFmtId="4">
    <nc r="G241">
      <v>0</v>
    </nc>
  </rcc>
  <rcc rId="6539" sId="2" numFmtId="4">
    <nc r="B242">
      <v>9</v>
    </nc>
  </rcc>
  <rcc rId="6540" sId="2" numFmtId="4">
    <nc r="C242">
      <v>4</v>
    </nc>
  </rcc>
  <rcc rId="6541" sId="2" numFmtId="4">
    <nc r="D242">
      <v>10</v>
    </nc>
  </rcc>
  <rcc rId="6542" sId="2" numFmtId="4">
    <nc r="E242">
      <v>8</v>
    </nc>
  </rcc>
  <rcc rId="6543" sId="2" numFmtId="4">
    <nc r="F242">
      <v>9</v>
    </nc>
  </rcc>
  <rcc rId="6544" sId="2" numFmtId="4">
    <nc r="G242">
      <v>0</v>
    </nc>
  </rcc>
  <rcc rId="6545" sId="2" numFmtId="4">
    <nc r="B243">
      <v>9</v>
    </nc>
  </rcc>
  <rcc rId="6546" sId="2" numFmtId="4">
    <nc r="C243">
      <v>13</v>
    </nc>
  </rcc>
  <rcc rId="6547" sId="2" numFmtId="4">
    <nc r="D243">
      <v>17</v>
    </nc>
  </rcc>
  <rcc rId="6548" sId="2" numFmtId="4">
    <nc r="E243">
      <v>11</v>
    </nc>
  </rcc>
  <rcc rId="6549" sId="2" numFmtId="4">
    <nc r="F243">
      <v>13</v>
    </nc>
  </rcc>
  <rcc rId="6550" sId="2" numFmtId="4">
    <nc r="G243">
      <v>0</v>
    </nc>
  </rcc>
  <rcc rId="6551" sId="2" numFmtId="4">
    <nc r="B244">
      <v>9</v>
    </nc>
  </rcc>
  <rcc rId="6552" sId="2" numFmtId="4">
    <nc r="C244">
      <v>13</v>
    </nc>
  </rcc>
  <rcc rId="6553" sId="2" numFmtId="4">
    <nc r="D244">
      <v>18</v>
    </nc>
  </rcc>
  <rcc rId="6554" sId="2" numFmtId="4">
    <nc r="E244">
      <v>12</v>
    </nc>
  </rcc>
  <rcc rId="6555" sId="2" numFmtId="4">
    <nc r="F244">
      <v>10</v>
    </nc>
  </rcc>
  <rcc rId="6556" sId="2" numFmtId="4">
    <nc r="G244">
      <v>0</v>
    </nc>
  </rcc>
  <rcc rId="6557" sId="2" numFmtId="4">
    <nc r="B245">
      <v>9</v>
    </nc>
  </rcc>
  <rcc rId="6558" sId="2" numFmtId="4">
    <nc r="C245">
      <v>6</v>
    </nc>
  </rcc>
  <rcc rId="6559" sId="2" numFmtId="4">
    <nc r="D245">
      <v>14</v>
    </nc>
  </rcc>
  <rcc rId="6560" sId="2" numFmtId="4">
    <nc r="E245">
      <v>14</v>
    </nc>
  </rcc>
  <rcc rId="6561" sId="2" numFmtId="4">
    <nc r="F245">
      <v>16</v>
    </nc>
  </rcc>
  <rcc rId="6562" sId="2" numFmtId="4">
    <nc r="G245">
      <v>0</v>
    </nc>
  </rcc>
  <rcc rId="6563" sId="5" numFmtId="4">
    <nc r="B578">
      <v>11</v>
    </nc>
  </rcc>
  <rcc rId="6564" sId="5" numFmtId="4">
    <nc r="C578">
      <v>46</v>
    </nc>
  </rcc>
  <rcc rId="6565" sId="5" numFmtId="4">
    <nc r="D578">
      <v>12</v>
    </nc>
  </rcc>
  <rcc rId="6566" sId="5" numFmtId="4">
    <nc r="E578">
      <v>9</v>
    </nc>
  </rcc>
  <rcc rId="6567" sId="5" numFmtId="4">
    <nc r="F578">
      <v>7</v>
    </nc>
  </rcc>
  <rcc rId="6568" sId="5" numFmtId="4">
    <nc r="G578">
      <v>10</v>
    </nc>
  </rcc>
  <rcc rId="6569" sId="5" numFmtId="4">
    <nc r="B579">
      <v>11</v>
    </nc>
  </rcc>
  <rcc rId="6570" sId="5" numFmtId="4">
    <nc r="C579">
      <v>46</v>
    </nc>
  </rcc>
  <rcc rId="6571" sId="5" numFmtId="4">
    <nc r="D579">
      <v>13</v>
    </nc>
  </rcc>
  <rcc rId="6572" sId="5" numFmtId="4">
    <nc r="E579">
      <v>5</v>
    </nc>
  </rcc>
</revisions>
</file>

<file path=xl/revisions/revisionLog109.xml><?xml version="1.0" encoding="utf-8"?>
<revisions xmlns="http://schemas.openxmlformats.org/spreadsheetml/2006/main" xmlns:r="http://schemas.openxmlformats.org/officeDocument/2006/relationships">
  <rcc rId="6573" sId="5" numFmtId="4">
    <nc r="F579">
      <v>0</v>
    </nc>
  </rcc>
  <rcc rId="6574" sId="5" numFmtId="4">
    <nc r="G579">
      <v>9</v>
    </nc>
  </rcc>
  <rcc rId="6575" sId="5" numFmtId="4">
    <nc r="B580">
      <v>11</v>
    </nc>
  </rcc>
  <rcc rId="6576" sId="5" numFmtId="4">
    <nc r="C580">
      <v>53</v>
    </nc>
  </rcc>
  <rcc rId="6577" sId="5" numFmtId="4">
    <nc r="D580">
      <v>15</v>
    </nc>
  </rcc>
  <rcc rId="6578" sId="5" numFmtId="4">
    <nc r="E580">
      <v>26</v>
    </nc>
  </rcc>
  <rcc rId="6579" sId="5" numFmtId="4">
    <nc r="F580">
      <v>0</v>
    </nc>
  </rcc>
  <rcc rId="6580" sId="5" numFmtId="4">
    <nc r="G580">
      <v>6</v>
    </nc>
  </rcc>
  <rcc rId="6581" sId="5" numFmtId="4">
    <nc r="B581">
      <v>11</v>
    </nc>
  </rcc>
  <rcc rId="6582" sId="5" numFmtId="4">
    <nc r="C581">
      <v>53</v>
    </nc>
  </rcc>
  <rcc rId="6583" sId="5" numFmtId="4">
    <nc r="D581">
      <v>16</v>
    </nc>
  </rcc>
  <rcc rId="6584" sId="5" numFmtId="4">
    <nc r="E581">
      <v>25</v>
    </nc>
  </rcc>
  <rcc rId="6585" sId="5" numFmtId="4">
    <nc r="F581">
      <v>0</v>
    </nc>
  </rcc>
  <rcc rId="6586" sId="5" numFmtId="4">
    <nc r="G581">
      <v>3</v>
    </nc>
  </rcc>
  <rcc rId="6587" sId="5" numFmtId="4">
    <nc r="B582">
      <v>11</v>
    </nc>
  </rcc>
  <rcc rId="6588" sId="5" numFmtId="4">
    <nc r="C582">
      <v>33</v>
    </nc>
  </rcc>
  <rcc rId="6589" sId="5" numFmtId="4">
    <nc r="D582">
      <v>7</v>
    </nc>
  </rcc>
  <rcc rId="6590" sId="5" numFmtId="4">
    <nc r="E582">
      <v>17</v>
    </nc>
  </rcc>
  <rcc rId="6591" sId="5" numFmtId="4">
    <nc r="F582">
      <v>3</v>
    </nc>
  </rcc>
  <rcc rId="6592" sId="5" numFmtId="4">
    <nc r="G582">
      <v>6</v>
    </nc>
  </rcc>
  <rcc rId="6593" sId="5" numFmtId="4">
    <nc r="B583">
      <v>11</v>
    </nc>
  </rcc>
  <rcc rId="6594" sId="5" numFmtId="4">
    <nc r="C583">
      <v>33</v>
    </nc>
  </rcc>
  <rcc rId="6595" sId="5" numFmtId="4">
    <nc r="D583">
      <v>8</v>
    </nc>
  </rcc>
  <rcc rId="6596" sId="5" numFmtId="4">
    <nc r="E583">
      <v>14</v>
    </nc>
  </rcc>
  <rcc rId="6597" sId="5" numFmtId="4">
    <nc r="F583">
      <v>0</v>
    </nc>
  </rcc>
  <rcc rId="6598" sId="5" numFmtId="4">
    <nc r="G583">
      <v>4</v>
    </nc>
  </rcc>
</revisions>
</file>

<file path=xl/revisions/revisionLog110.xml><?xml version="1.0" encoding="utf-8"?>
<revisions xmlns="http://schemas.openxmlformats.org/spreadsheetml/2006/main" xmlns:r="http://schemas.openxmlformats.org/officeDocument/2006/relationships">
  <rcc rId="6599" sId="5" numFmtId="4">
    <nc r="B584">
      <v>11</v>
    </nc>
  </rcc>
  <rcc rId="6600" sId="5" numFmtId="4">
    <nc r="C584">
      <v>28</v>
    </nc>
  </rcc>
  <rcc rId="6601" sId="5" numFmtId="4">
    <nc r="D584">
      <v>14</v>
    </nc>
  </rcc>
  <rcc rId="6602" sId="5" numFmtId="4">
    <nc r="E584">
      <v>12</v>
    </nc>
  </rcc>
  <rcc rId="6603" sId="5" numFmtId="4">
    <nc r="F584">
      <v>6</v>
    </nc>
  </rcc>
  <rcc rId="6604" sId="5" numFmtId="4">
    <nc r="G584">
      <v>2</v>
    </nc>
  </rcc>
  <rcc rId="6605" sId="5" numFmtId="4">
    <nc r="B585">
      <v>11</v>
    </nc>
  </rcc>
  <rcc rId="6606" sId="5" numFmtId="4">
    <nc r="C585">
      <v>28</v>
    </nc>
  </rcc>
  <rcc rId="6607" sId="5" numFmtId="4">
    <nc r="D585">
      <v>15</v>
    </nc>
  </rcc>
  <rcc rId="6608" sId="5" numFmtId="4">
    <nc r="E585">
      <v>10</v>
    </nc>
  </rcc>
  <rcc rId="6609" sId="5" numFmtId="4">
    <nc r="F585">
      <v>2</v>
    </nc>
  </rcc>
  <rcc rId="6610" sId="5" numFmtId="4">
    <nc r="G585">
      <v>3</v>
    </nc>
  </rcc>
  <rcc rId="6611" sId="5" numFmtId="4">
    <nc r="B586">
      <v>11</v>
    </nc>
  </rcc>
  <rcc rId="6612" sId="5" numFmtId="4">
    <nc r="C586">
      <v>28</v>
    </nc>
  </rcc>
  <rcc rId="6613" sId="5" numFmtId="4">
    <nc r="D586">
      <v>16</v>
    </nc>
  </rcc>
  <rcc rId="6614" sId="5" numFmtId="4">
    <nc r="E586">
      <v>9</v>
    </nc>
  </rcc>
  <rcc rId="6615" sId="5" numFmtId="4">
    <nc r="F586">
      <v>4</v>
    </nc>
  </rcc>
  <rcc rId="6616" sId="5" numFmtId="4">
    <nc r="G586">
      <v>2</v>
    </nc>
  </rcc>
  <rcc rId="6617" sId="5" numFmtId="4">
    <nc r="B587">
      <v>11</v>
    </nc>
  </rcc>
  <rcc rId="6618" sId="5" numFmtId="4">
    <nc r="C587">
      <v>36</v>
    </nc>
  </rcc>
  <rcc rId="6619" sId="5" numFmtId="4">
    <nc r="D587">
      <v>14</v>
    </nc>
  </rcc>
  <rcc rId="6620" sId="5" numFmtId="4">
    <nc r="E587">
      <v>17</v>
    </nc>
  </rcc>
  <rcc rId="6621" sId="5" numFmtId="4">
    <nc r="F587">
      <v>6</v>
    </nc>
  </rcc>
  <rcc rId="6622" sId="5" numFmtId="4">
    <nc r="G587">
      <v>1</v>
    </nc>
  </rcc>
  <rcc rId="6623" sId="5" numFmtId="4">
    <nc r="B588">
      <v>11</v>
    </nc>
  </rcc>
  <rcc rId="6624" sId="5" numFmtId="4">
    <nc r="C588">
      <v>36</v>
    </nc>
  </rcc>
  <rcc rId="6625" sId="5" numFmtId="4">
    <nc r="D588">
      <v>15</v>
    </nc>
  </rcc>
  <rcc rId="6626" sId="5" numFmtId="4">
    <nc r="E588">
      <v>23</v>
    </nc>
  </rcc>
  <rcc rId="6627" sId="5" numFmtId="4">
    <nc r="F588">
      <v>2</v>
    </nc>
  </rcc>
  <rcc rId="6628" sId="5" numFmtId="4">
    <nc r="G588">
      <v>0</v>
    </nc>
  </rcc>
  <rcc rId="6629" sId="2" numFmtId="4">
    <nc r="B246">
      <v>9</v>
    </nc>
  </rcc>
  <rcc rId="6630" sId="2" numFmtId="4">
    <nc r="C246">
      <v>20</v>
    </nc>
  </rcc>
  <rcc rId="6631" sId="2" numFmtId="4">
    <nc r="D246">
      <v>17</v>
    </nc>
  </rcc>
  <rcc rId="6632" sId="2" numFmtId="4">
    <nc r="E246">
      <v>12</v>
    </nc>
  </rcc>
  <rcc rId="6633" sId="2" numFmtId="4">
    <nc r="F246">
      <v>6</v>
    </nc>
  </rcc>
  <rcc rId="6634" sId="2" numFmtId="4">
    <nc r="G246">
      <v>1</v>
    </nc>
  </rcc>
  <rcc rId="6635" sId="2" numFmtId="4">
    <nc r="B247">
      <v>9</v>
    </nc>
  </rcc>
  <rcc rId="6636" sId="2" numFmtId="4">
    <nc r="C247">
      <v>20</v>
    </nc>
  </rcc>
  <rcc rId="6637" sId="2" numFmtId="4">
    <nc r="D247">
      <v>18</v>
    </nc>
  </rcc>
  <rcc rId="6638" sId="2" numFmtId="4">
    <nc r="E247">
      <v>4</v>
    </nc>
  </rcc>
  <rcc rId="6639" sId="2" numFmtId="4">
    <nc r="F247">
      <v>11</v>
    </nc>
  </rcc>
  <rcc rId="6640" sId="2" numFmtId="4">
    <nc r="G247">
      <v>2</v>
    </nc>
  </rcc>
  <rcc rId="6641" sId="5" numFmtId="4">
    <nc r="B589">
      <v>11</v>
    </nc>
  </rcc>
  <rcc rId="6642" sId="5" numFmtId="4">
    <nc r="C589">
      <v>56</v>
    </nc>
  </rcc>
  <rcc rId="6643" sId="5" numFmtId="4">
    <nc r="D589">
      <v>15</v>
    </nc>
  </rcc>
  <rcc rId="6644" sId="5" numFmtId="4">
    <nc r="E589">
      <v>10</v>
    </nc>
  </rcc>
  <rcc rId="6645" sId="5" numFmtId="4">
    <nc r="F589">
      <v>9</v>
    </nc>
  </rcc>
  <rcc rId="6646" sId="5" numFmtId="4">
    <nc r="G589">
      <v>0</v>
    </nc>
  </rcc>
  <rcc rId="6647" sId="5" numFmtId="4">
    <nc r="B590">
      <v>11</v>
    </nc>
  </rcc>
  <rcc rId="6648" sId="5" numFmtId="4">
    <nc r="C590">
      <v>56</v>
    </nc>
  </rcc>
  <rcc rId="6649" sId="5" numFmtId="4">
    <nc r="D590">
      <v>16</v>
    </nc>
  </rcc>
  <rcc rId="6650" sId="5" numFmtId="4">
    <nc r="E590">
      <v>10</v>
    </nc>
  </rcc>
  <rcc rId="6651" sId="5" numFmtId="4">
    <nc r="F590">
      <v>3</v>
    </nc>
  </rcc>
  <rcc rId="6652" sId="5" numFmtId="4">
    <nc r="G590">
      <v>1</v>
    </nc>
  </rcc>
</revisions>
</file>

<file path=xl/revisions/revisionLog111.xml><?xml version="1.0" encoding="utf-8"?>
<revisions xmlns="http://schemas.openxmlformats.org/spreadsheetml/2006/main" xmlns:r="http://schemas.openxmlformats.org/officeDocument/2006/relationships"/>
</file>

<file path=xl/revisions/revisionLog161.xml><?xml version="1.0" encoding="utf-8"?>
<revisions xmlns="http://schemas.openxmlformats.org/spreadsheetml/2006/main" xmlns:r="http://schemas.openxmlformats.org/officeDocument/2006/relationships">
  <rcc rId="951" sId="8" numFmtId="4">
    <nc r="B42">
      <v>16</v>
    </nc>
  </rcc>
  <rcc rId="952" sId="8" numFmtId="4">
    <nc r="C42">
      <v>72</v>
    </nc>
  </rcc>
  <rcc rId="953" sId="8" numFmtId="4">
    <nc r="D42">
      <v>4</v>
    </nc>
  </rcc>
  <rcc rId="954" sId="8" numFmtId="4">
    <nc r="E42">
      <v>7</v>
    </nc>
  </rcc>
  <rcc rId="955" sId="8" numFmtId="4">
    <nc r="F42">
      <v>1</v>
    </nc>
  </rcc>
  <rcc rId="956" sId="8" numFmtId="4">
    <nc r="G42">
      <v>3</v>
    </nc>
  </rcc>
  <rcc rId="957" sId="8" numFmtId="4">
    <nc r="H42">
      <v>0</v>
    </nc>
  </rcc>
  <rcc rId="958" sId="8" numFmtId="4">
    <nc r="B43">
      <v>16</v>
    </nc>
  </rcc>
  <rcc rId="959" sId="8" numFmtId="4">
    <nc r="C43">
      <v>72</v>
    </nc>
  </rcc>
  <rcc rId="960" sId="8" numFmtId="4">
    <nc r="D43">
      <v>5</v>
    </nc>
  </rcc>
  <rcc rId="961" sId="8" numFmtId="4">
    <nc r="E43">
      <v>3</v>
    </nc>
  </rcc>
  <rcc rId="962" sId="8" numFmtId="4">
    <nc r="F43">
      <v>3</v>
    </nc>
  </rcc>
  <rcc rId="963" sId="8" numFmtId="4">
    <nc r="G43">
      <v>2</v>
    </nc>
  </rcc>
  <rcc rId="964" sId="8" numFmtId="4">
    <nc r="H43">
      <v>0</v>
    </nc>
  </rcc>
  <rcc rId="965" sId="8" numFmtId="4">
    <nc r="B44">
      <v>16</v>
    </nc>
  </rcc>
  <rcc rId="966" sId="8" numFmtId="4">
    <nc r="C44">
      <v>72</v>
    </nc>
  </rcc>
  <rcc rId="967" sId="8" numFmtId="4">
    <nc r="D44">
      <v>3</v>
    </nc>
  </rcc>
  <rcc rId="968" sId="8" numFmtId="4">
    <nc r="E44">
      <v>6</v>
    </nc>
  </rcc>
  <rcc rId="969" sId="8" numFmtId="4">
    <nc r="F44">
      <v>0</v>
    </nc>
  </rcc>
  <rcc rId="970" sId="8" numFmtId="4">
    <nc r="G44">
      <v>2</v>
    </nc>
  </rcc>
  <rcc rId="971" sId="8" numFmtId="4">
    <nc r="H44">
      <v>0</v>
    </nc>
  </rcc>
  <rcc rId="972" sId="8" numFmtId="4">
    <nc r="B45">
      <v>16</v>
    </nc>
  </rcc>
  <rcc rId="973" sId="8" numFmtId="4">
    <nc r="C45">
      <v>82</v>
    </nc>
  </rcc>
  <rcc rId="974" sId="8" numFmtId="4">
    <nc r="D45">
      <v>3</v>
    </nc>
  </rcc>
  <rcc rId="975" sId="8" numFmtId="4">
    <nc r="E45">
      <v>6</v>
    </nc>
  </rcc>
  <rcc rId="976" sId="8" numFmtId="4">
    <nc r="F45">
      <v>6</v>
    </nc>
  </rcc>
  <rcc rId="977" sId="8" numFmtId="4">
    <nc r="G45">
      <v>1</v>
    </nc>
  </rcc>
  <rcc rId="978" sId="8" numFmtId="4">
    <nc r="H45">
      <v>0</v>
    </nc>
  </rcc>
  <rcc rId="979" sId="8" numFmtId="4">
    <nc r="B46">
      <v>16</v>
    </nc>
  </rcc>
  <rcc rId="980" sId="8" numFmtId="4">
    <nc r="C46">
      <v>82</v>
    </nc>
  </rcc>
  <rcc rId="981" sId="8" numFmtId="4">
    <nc r="D46">
      <v>4</v>
    </nc>
  </rcc>
  <rcc rId="982" sId="8" numFmtId="4">
    <nc r="E46">
      <v>12</v>
    </nc>
  </rcc>
  <rcc rId="983" sId="8" numFmtId="4">
    <nc r="F46">
      <v>3</v>
    </nc>
  </rcc>
</revisions>
</file>

<file path=xl/revisions/userNames.xml><?xml version="1.0" encoding="utf-8"?>
<users xmlns="http://schemas.openxmlformats.org/spreadsheetml/2006/main" xmlns:r="http://schemas.openxmlformats.org/officeDocument/2006/relationships" count="2">
  <userInfo guid="{57CCE4FF-B0D6-488B-8188-FAE4F0A58064}" name="PLM" id="-844051443" dateTime="2008-11-22T06:59:48"/>
  <userInfo guid="{59104D24-D704-435F-A473-5BB2FDC2B659}" name="PLM" id="-844073984" dateTime="2008-11-23T13:07:21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printerSettings" Target="../printerSettings/printerSettings1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20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4" Type="http://schemas.openxmlformats.org/officeDocument/2006/relationships/printerSettings" Target="../printerSettings/printerSettings2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N20"/>
  <sheetViews>
    <sheetView showGridLines="0" showRowColHeaders="0" workbookViewId="0">
      <selection activeCell="E11" sqref="E11"/>
    </sheetView>
  </sheetViews>
  <sheetFormatPr baseColWidth="10" defaultColWidth="11.5703125" defaultRowHeight="12.75"/>
  <cols>
    <col min="1" max="16384" width="11.5703125" style="13"/>
  </cols>
  <sheetData>
    <row r="1" spans="3:14" ht="30" customHeight="1"/>
    <row r="2" spans="3:14" ht="30" customHeight="1"/>
    <row r="3" spans="3:14" ht="30" customHeight="1"/>
    <row r="4" spans="3:14" ht="30" customHeight="1"/>
    <row r="6" spans="3:14" ht="42" customHeight="1"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</row>
    <row r="7" spans="3:14" s="77" customFormat="1" ht="42" customHeight="1">
      <c r="C7" s="162" t="s">
        <v>5</v>
      </c>
      <c r="D7" s="162"/>
      <c r="E7" s="162"/>
      <c r="F7" s="162"/>
      <c r="G7" s="162"/>
      <c r="H7" s="162"/>
      <c r="I7" s="162"/>
      <c r="J7" s="162"/>
      <c r="K7" s="162"/>
      <c r="L7" s="162"/>
      <c r="M7" s="162"/>
    </row>
    <row r="8" spans="3:14" s="35" customFormat="1"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</row>
    <row r="9" spans="3:14" s="35" customFormat="1" ht="27.75">
      <c r="C9" s="98"/>
      <c r="D9" s="161" t="s">
        <v>18</v>
      </c>
      <c r="E9" s="161"/>
      <c r="F9" s="161"/>
      <c r="G9" s="161"/>
      <c r="H9" s="161"/>
      <c r="I9" s="161"/>
      <c r="J9" s="161"/>
      <c r="K9" s="161"/>
      <c r="L9" s="161"/>
      <c r="M9" s="98"/>
    </row>
    <row r="10" spans="3:14" s="35" customFormat="1" ht="36" customHeight="1">
      <c r="C10" s="98"/>
      <c r="D10" s="99"/>
      <c r="E10" s="99"/>
      <c r="F10" s="99"/>
      <c r="G10" s="99"/>
      <c r="H10" s="99"/>
      <c r="I10" s="99"/>
      <c r="J10" s="99"/>
      <c r="K10" s="99"/>
      <c r="L10" s="99"/>
      <c r="M10" s="100"/>
      <c r="N10" s="75"/>
    </row>
    <row r="11" spans="3:14" s="37" customFormat="1" ht="27" customHeight="1">
      <c r="C11" s="101"/>
      <c r="D11" s="99"/>
      <c r="E11" s="102" t="s">
        <v>19</v>
      </c>
      <c r="F11" s="102"/>
      <c r="G11" s="102"/>
      <c r="H11" s="102" t="s">
        <v>20</v>
      </c>
      <c r="I11" s="102"/>
      <c r="J11" s="102"/>
      <c r="K11" s="102" t="s">
        <v>21</v>
      </c>
      <c r="L11" s="102"/>
      <c r="M11" s="103"/>
      <c r="N11" s="76"/>
    </row>
    <row r="12" spans="3:14" s="37" customFormat="1" ht="17.25" customHeight="1">
      <c r="C12" s="101"/>
      <c r="D12" s="99"/>
      <c r="E12" s="102"/>
      <c r="F12" s="102"/>
      <c r="G12" s="102"/>
      <c r="H12" s="102"/>
      <c r="I12" s="102"/>
      <c r="J12" s="102"/>
      <c r="K12" s="102"/>
      <c r="L12" s="102"/>
      <c r="M12" s="103"/>
      <c r="N12" s="76"/>
    </row>
    <row r="13" spans="3:14" s="37" customFormat="1" ht="24.6" customHeight="1">
      <c r="C13" s="101"/>
      <c r="D13" s="99"/>
      <c r="E13" s="102" t="s">
        <v>22</v>
      </c>
      <c r="F13" s="102"/>
      <c r="G13" s="102"/>
      <c r="H13" s="102" t="s">
        <v>23</v>
      </c>
      <c r="I13" s="102"/>
      <c r="J13" s="102"/>
      <c r="K13" s="102" t="s">
        <v>24</v>
      </c>
      <c r="L13" s="102"/>
      <c r="M13" s="103"/>
      <c r="N13" s="76"/>
    </row>
    <row r="14" spans="3:14" s="37" customFormat="1" ht="17.25" customHeight="1">
      <c r="C14" s="101"/>
      <c r="D14" s="99"/>
      <c r="E14" s="102"/>
      <c r="F14" s="102"/>
      <c r="G14" s="102"/>
      <c r="H14" s="102"/>
      <c r="I14" s="102"/>
      <c r="J14" s="102"/>
      <c r="K14" s="102"/>
      <c r="L14" s="102"/>
      <c r="M14" s="103"/>
      <c r="N14" s="76"/>
    </row>
    <row r="15" spans="3:14" s="37" customFormat="1" ht="24.6" customHeight="1">
      <c r="C15" s="101"/>
      <c r="D15" s="99"/>
      <c r="E15" s="102" t="s">
        <v>25</v>
      </c>
      <c r="F15" s="102"/>
      <c r="G15" s="102"/>
      <c r="H15" s="102" t="s">
        <v>26</v>
      </c>
      <c r="I15" s="102"/>
      <c r="J15" s="102"/>
      <c r="K15" s="102" t="s">
        <v>27</v>
      </c>
      <c r="L15" s="102"/>
      <c r="M15" s="103"/>
      <c r="N15" s="76"/>
    </row>
    <row r="16" spans="3:14" s="37" customFormat="1" ht="17.25" customHeight="1">
      <c r="C16" s="101"/>
      <c r="D16" s="99"/>
      <c r="E16" s="102"/>
      <c r="F16" s="102"/>
      <c r="G16" s="102"/>
      <c r="H16" s="102"/>
      <c r="I16" s="102"/>
      <c r="J16" s="102"/>
      <c r="K16" s="102"/>
      <c r="L16" s="99"/>
      <c r="M16" s="103"/>
      <c r="N16" s="76"/>
    </row>
    <row r="17" spans="3:14" s="37" customFormat="1" ht="24.6" customHeight="1">
      <c r="C17" s="101"/>
      <c r="D17" s="99"/>
      <c r="E17" s="102" t="s">
        <v>28</v>
      </c>
      <c r="F17" s="102"/>
      <c r="G17" s="102"/>
      <c r="H17" s="102" t="s">
        <v>29</v>
      </c>
      <c r="I17" s="102"/>
      <c r="J17" s="102"/>
      <c r="K17" s="102" t="s">
        <v>30</v>
      </c>
      <c r="L17" s="99"/>
      <c r="M17" s="103"/>
      <c r="N17" s="76"/>
    </row>
    <row r="18" spans="3:14" s="35" customFormat="1" ht="24.6" customHeight="1">
      <c r="C18" s="38"/>
      <c r="E18" s="36"/>
      <c r="F18" s="36"/>
    </row>
    <row r="19" spans="3:14" s="35" customFormat="1" ht="24.6" customHeight="1">
      <c r="C19" s="36"/>
      <c r="E19" s="36"/>
    </row>
    <row r="20" spans="3:14" ht="24.6" customHeight="1"/>
  </sheetData>
  <customSheetViews>
    <customSheetView guid="{E103CAA9-E8FB-4228-A076-3C3E3EEEC109}" showGridLines="0" showRowCol="0">
      <selection activeCell="K11" sqref="K11"/>
      <pageMargins left="0.7" right="0.7" top="0.75" bottom="0.75" header="0.3" footer="0.3"/>
      <pageSetup paperSize="9" orientation="portrait" horizontalDpi="0" verticalDpi="0" r:id="rId1"/>
    </customSheetView>
    <customSheetView guid="{37EA6283-F051-4D0B-81C6-34EEB84CCDF0}" showGridLines="0" showRowCol="0">
      <selection activeCell="E11" sqref="E11"/>
      <pageMargins left="0.7" right="0.7" top="0.75" bottom="0.75" header="0.3" footer="0.3"/>
      <pageSetup paperSize="9" orientation="portrait" horizontalDpi="0" verticalDpi="0" r:id="rId2"/>
    </customSheetView>
    <customSheetView guid="{A6A06E36-D96E-4193-B19F-8D7934C6230C}" showGridLines="0" showRowCol="0">
      <selection activeCell="E13" sqref="E13"/>
      <pageMargins left="0.7" right="0.7" top="0.75" bottom="0.75" header="0.3" footer="0.3"/>
      <pageSetup paperSize="9" orientation="portrait" horizontalDpi="0" verticalDpi="0" r:id="rId3"/>
    </customSheetView>
  </customSheetViews>
  <mergeCells count="2">
    <mergeCell ref="D9:L9"/>
    <mergeCell ref="C7:M7"/>
  </mergeCells>
  <hyperlinks>
    <hyperlink ref="E13" location="Lara!A1" display="Transcripción Lara"/>
    <hyperlink ref="E15" location="Portuguesa!A1" display="Transcripción Portuguesa"/>
    <hyperlink ref="E11" location="Falcón!A1" display="Transcripción Falcón"/>
    <hyperlink ref="H11" location="CFalcón!A1" display="Supervisor Falcón"/>
    <hyperlink ref="H13" location="CLara!A1" display="Supervisor de Lara"/>
    <hyperlink ref="H15" location="CPortuguesa!A1" display="Supervisor de Portuguesa"/>
    <hyperlink ref="K11" location="GFalcón!A1" display="Gráficos de Falcón"/>
    <hyperlink ref="K13" location="GLara!A1" display="Gráficos de Lara"/>
    <hyperlink ref="K15" location="GPortuguesa!A1" display="Gráficos de Portuguesa"/>
    <hyperlink ref="E17" location="Yaracuy!A1" display="Transcripción Yaracuy"/>
    <hyperlink ref="H17" location="CYaracuy!A1" display="Supervisor de Yaracuy"/>
    <hyperlink ref="K17" location="GYaracuy!A1" display="Gráficos de Yaracuy"/>
  </hyperlinks>
  <pageMargins left="0.7" right="0.7" top="0.75" bottom="0.75" header="0.3" footer="0.3"/>
  <pageSetup paperSize="9" orientation="portrait" horizontalDpi="0" verticalDpi="0" r:id="rId4"/>
  <picture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B1:W449"/>
  <sheetViews>
    <sheetView showGridLines="0" showRowColHeaders="0" workbookViewId="0">
      <pane ySplit="8" topLeftCell="A9" activePane="bottomLeft" state="frozen"/>
      <selection pane="bottomLeft" activeCell="I4" sqref="I4"/>
    </sheetView>
  </sheetViews>
  <sheetFormatPr baseColWidth="10" defaultRowHeight="12.75"/>
  <cols>
    <col min="1" max="1" width="42.7109375" customWidth="1"/>
    <col min="2" max="11" width="13.7109375" customWidth="1"/>
    <col min="12" max="12" width="13.85546875" style="21" customWidth="1"/>
    <col min="13" max="14" width="13.7109375" style="21" customWidth="1"/>
    <col min="15" max="31" width="13.7109375" customWidth="1"/>
  </cols>
  <sheetData>
    <row r="1" spans="2:23" s="13" customFormat="1">
      <c r="I1" s="107"/>
      <c r="L1" s="26"/>
      <c r="M1" s="26"/>
      <c r="N1" s="26"/>
    </row>
    <row r="2" spans="2:23" s="13" customFormat="1">
      <c r="G2" s="78"/>
      <c r="I2" s="153" t="s">
        <v>8</v>
      </c>
      <c r="L2" s="26"/>
      <c r="M2" s="26"/>
      <c r="N2" s="26"/>
      <c r="O2" s="61" t="s">
        <v>45</v>
      </c>
      <c r="P2" s="62">
        <f>Q9</f>
        <v>0.49274812778462412</v>
      </c>
    </row>
    <row r="3" spans="2:23" s="13" customFormat="1">
      <c r="G3" s="78"/>
      <c r="I3" s="153" t="s">
        <v>34</v>
      </c>
      <c r="L3" s="26"/>
      <c r="M3" s="26"/>
      <c r="N3" s="26"/>
      <c r="O3" s="61" t="s">
        <v>46</v>
      </c>
      <c r="P3" s="62">
        <f>T9</f>
        <v>0.48497487913546306</v>
      </c>
      <c r="Q3" s="59"/>
    </row>
    <row r="4" spans="2:23" s="13" customFormat="1">
      <c r="G4" s="78"/>
      <c r="I4" s="153" t="s">
        <v>78</v>
      </c>
      <c r="L4" s="26"/>
      <c r="M4" s="26"/>
      <c r="N4" s="26"/>
      <c r="O4" s="63" t="s">
        <v>4</v>
      </c>
      <c r="P4" s="62">
        <f>W9</f>
        <v>2.2276993079912787E-2</v>
      </c>
      <c r="Q4" s="59"/>
    </row>
    <row r="5" spans="2:23" s="13" customFormat="1">
      <c r="G5" s="78"/>
      <c r="I5" s="153" t="s">
        <v>79</v>
      </c>
      <c r="L5" s="26"/>
      <c r="M5" s="26"/>
      <c r="N5" s="26"/>
      <c r="Q5" s="59"/>
    </row>
    <row r="6" spans="2:23" s="13" customFormat="1" ht="33">
      <c r="B6" s="123"/>
      <c r="C6" s="16">
        <v>9</v>
      </c>
      <c r="D6" s="16" t="s">
        <v>44</v>
      </c>
      <c r="E6" s="14"/>
      <c r="F6" s="14"/>
      <c r="G6" s="14"/>
      <c r="I6"/>
      <c r="L6" s="26"/>
      <c r="M6" s="26"/>
      <c r="N6" s="26"/>
      <c r="Q6" s="60"/>
    </row>
    <row r="7" spans="2:23" ht="13.5" thickBot="1"/>
    <row r="8" spans="2:23" ht="34.5" customHeight="1" thickBot="1">
      <c r="B8" s="47" t="s">
        <v>1</v>
      </c>
      <c r="C8" s="48" t="s">
        <v>2</v>
      </c>
      <c r="D8" s="47" t="s">
        <v>0</v>
      </c>
      <c r="E8" s="49" t="s">
        <v>45</v>
      </c>
      <c r="F8" s="49" t="s">
        <v>46</v>
      </c>
      <c r="G8" s="47" t="s">
        <v>4</v>
      </c>
      <c r="L8" s="124" t="s">
        <v>47</v>
      </c>
      <c r="O8" s="165" t="s">
        <v>45</v>
      </c>
      <c r="P8" s="166"/>
      <c r="Q8" s="167"/>
      <c r="R8" s="165" t="s">
        <v>46</v>
      </c>
      <c r="S8" s="166"/>
      <c r="T8" s="167"/>
      <c r="U8" s="165" t="s">
        <v>4</v>
      </c>
      <c r="V8" s="166"/>
      <c r="W8" s="167"/>
    </row>
    <row r="9" spans="2:23" ht="18">
      <c r="B9" s="122">
        <v>9</v>
      </c>
      <c r="C9" s="122">
        <v>5</v>
      </c>
      <c r="D9" s="122">
        <v>1</v>
      </c>
      <c r="E9" s="122">
        <v>15</v>
      </c>
      <c r="F9" s="122">
        <v>17</v>
      </c>
      <c r="G9" s="125">
        <v>7</v>
      </c>
      <c r="L9" s="21">
        <v>1</v>
      </c>
      <c r="M9" s="163" t="s">
        <v>0</v>
      </c>
      <c r="N9" s="164"/>
      <c r="O9" s="31">
        <f>SUM(Stella_Lugo)</f>
        <v>5198</v>
      </c>
      <c r="P9" s="32">
        <f>O9</f>
        <v>5198</v>
      </c>
      <c r="Q9" s="33">
        <f>O9/($O$9+$R$9+$U$9)</f>
        <v>0.49274812778462412</v>
      </c>
      <c r="R9" s="31">
        <f>SUM(Gregorio_Graterol)</f>
        <v>5116</v>
      </c>
      <c r="S9" s="32">
        <f>R9</f>
        <v>5116</v>
      </c>
      <c r="T9" s="33">
        <f>R9/($O$9+$R$9+$U$9)</f>
        <v>0.48497487913546306</v>
      </c>
      <c r="U9" s="31">
        <f>SUM(OtroFA)</f>
        <v>235</v>
      </c>
      <c r="V9" s="32">
        <f>U9</f>
        <v>235</v>
      </c>
      <c r="W9" s="34">
        <f>U9/($O$9+$R$9+$U$9)</f>
        <v>2.2276993079912787E-2</v>
      </c>
    </row>
    <row r="10" spans="2:23" ht="18">
      <c r="B10" s="50">
        <v>9</v>
      </c>
      <c r="C10" s="50">
        <v>13</v>
      </c>
      <c r="D10" s="50">
        <v>1</v>
      </c>
      <c r="E10" s="50">
        <v>9</v>
      </c>
      <c r="F10" s="50">
        <v>6</v>
      </c>
      <c r="G10" s="126">
        <v>0</v>
      </c>
      <c r="K10" s="21"/>
      <c r="L10" s="21">
        <v>1</v>
      </c>
      <c r="M10" s="92">
        <v>0.3125</v>
      </c>
      <c r="N10" s="2">
        <v>1</v>
      </c>
      <c r="O10" s="4">
        <f t="shared" ref="O10:O29" si="0">SUMIF(TurnoFA,$N10,Stella_Lugo)</f>
        <v>371</v>
      </c>
      <c r="P10" s="5">
        <f>O10</f>
        <v>371</v>
      </c>
      <c r="Q10" s="10">
        <f>IF(O10&lt;&gt;0,P10/($P10+$S10+$V10),LOOKUP(2121,$Q$3:$Q$6))</f>
        <v>0.49532710280373832</v>
      </c>
      <c r="R10" s="4">
        <f t="shared" ref="R10:R29" si="1">SUMIF(TurnoFA,$N10,Gregorio_Graterol)</f>
        <v>359</v>
      </c>
      <c r="S10" s="5">
        <f>R10</f>
        <v>359</v>
      </c>
      <c r="T10" s="10">
        <f>IF(R10&lt;&gt;0,S10/($P10+$S10+$V10),LOOKUP(2121,$Q$3:$Q$6))</f>
        <v>0.47930574098798395</v>
      </c>
      <c r="U10" s="4">
        <f t="shared" ref="U10:U29" si="2">SUMIF(TurnoFA,$N10,OtroFA)</f>
        <v>19</v>
      </c>
      <c r="V10" s="5">
        <f>U10</f>
        <v>19</v>
      </c>
      <c r="W10" s="3">
        <f>IF(U10&lt;&gt;0,V10/($P10+$S10+$V10),LOOKUP(2121,$Q$3:$Q$6))</f>
        <v>2.5367156208277702E-2</v>
      </c>
    </row>
    <row r="11" spans="2:23" ht="18">
      <c r="B11" s="50">
        <v>9</v>
      </c>
      <c r="C11" s="50">
        <v>21</v>
      </c>
      <c r="D11" s="50">
        <v>1</v>
      </c>
      <c r="E11" s="50">
        <v>15</v>
      </c>
      <c r="F11" s="50">
        <v>9</v>
      </c>
      <c r="G11" s="126">
        <v>0</v>
      </c>
      <c r="K11" s="21"/>
      <c r="L11" s="21">
        <v>1</v>
      </c>
      <c r="M11" s="92">
        <v>0.33333333333333298</v>
      </c>
      <c r="N11" s="2">
        <v>2</v>
      </c>
      <c r="O11" s="4">
        <f t="shared" si="0"/>
        <v>402</v>
      </c>
      <c r="P11" s="5">
        <f>P10+O11</f>
        <v>773</v>
      </c>
      <c r="Q11" s="10">
        <f t="shared" ref="Q11:Q29" si="3">IF(O11&lt;&gt;0,P11/($P11+$S11+$V11),LOOKUP(2121,$Q$3:$Q$6))</f>
        <v>0.47539975399753998</v>
      </c>
      <c r="R11" s="4">
        <f t="shared" si="1"/>
        <v>450</v>
      </c>
      <c r="S11" s="5">
        <f>S10+R11</f>
        <v>809</v>
      </c>
      <c r="T11" s="10">
        <f>IF(R11&lt;&gt;0,S11/($P11+$S11+$V11),LOOKUP(2121,$Q$3:$Q$6))</f>
        <v>0.49753997539975398</v>
      </c>
      <c r="U11" s="4">
        <f t="shared" si="2"/>
        <v>25</v>
      </c>
      <c r="V11" s="5">
        <f>V10+U11</f>
        <v>44</v>
      </c>
      <c r="W11" s="3">
        <f t="shared" ref="W11:W29" si="4">IF(U11&lt;&gt;0,V11/($P11+$S11+$V11),LOOKUP(2121,$Q$3:$Q$6))</f>
        <v>2.7060270602706028E-2</v>
      </c>
    </row>
    <row r="12" spans="2:23" ht="18">
      <c r="B12" s="50">
        <v>9</v>
      </c>
      <c r="C12" s="50">
        <v>6</v>
      </c>
      <c r="D12" s="50">
        <v>1</v>
      </c>
      <c r="E12" s="50">
        <v>8</v>
      </c>
      <c r="F12" s="50">
        <v>3</v>
      </c>
      <c r="G12" s="126">
        <v>0</v>
      </c>
      <c r="K12" s="21"/>
      <c r="L12" s="21">
        <v>1</v>
      </c>
      <c r="M12" s="92">
        <v>0.35416666666666702</v>
      </c>
      <c r="N12" s="2">
        <v>3</v>
      </c>
      <c r="O12" s="4">
        <f t="shared" si="0"/>
        <v>398</v>
      </c>
      <c r="P12" s="5">
        <f t="shared" ref="P12:P29" si="5">P11+O12</f>
        <v>1171</v>
      </c>
      <c r="Q12" s="10">
        <f t="shared" si="3"/>
        <v>0.47389720760825577</v>
      </c>
      <c r="R12" s="4">
        <f t="shared" si="1"/>
        <v>435</v>
      </c>
      <c r="S12" s="5">
        <f t="shared" ref="S12:S29" si="6">S11+R12</f>
        <v>1244</v>
      </c>
      <c r="T12" s="10">
        <f t="shared" ref="T12:T29" si="7">IF(R12&lt;&gt;0,S12/($P12+$S12+$V12),LOOKUP(2121,$Q$3:$Q$6))</f>
        <v>0.50343990287333062</v>
      </c>
      <c r="U12" s="4">
        <f t="shared" si="2"/>
        <v>12</v>
      </c>
      <c r="V12" s="5">
        <f t="shared" ref="V12:V29" si="8">V11+U12</f>
        <v>56</v>
      </c>
      <c r="W12" s="3">
        <f t="shared" si="4"/>
        <v>2.2662889518413599E-2</v>
      </c>
    </row>
    <row r="13" spans="2:23" ht="18">
      <c r="B13" s="50">
        <v>9</v>
      </c>
      <c r="C13" s="50">
        <v>19</v>
      </c>
      <c r="D13" s="50">
        <v>1</v>
      </c>
      <c r="E13" s="50">
        <v>8</v>
      </c>
      <c r="F13" s="50">
        <v>14</v>
      </c>
      <c r="G13" s="126">
        <v>3</v>
      </c>
      <c r="K13" s="21"/>
      <c r="L13" s="21">
        <v>1</v>
      </c>
      <c r="M13" s="92">
        <v>0.375</v>
      </c>
      <c r="N13" s="2">
        <v>4</v>
      </c>
      <c r="O13" s="4">
        <f t="shared" si="0"/>
        <v>516</v>
      </c>
      <c r="P13" s="5">
        <f t="shared" si="5"/>
        <v>1687</v>
      </c>
      <c r="Q13" s="10">
        <f t="shared" si="3"/>
        <v>0.47400955324529365</v>
      </c>
      <c r="R13" s="4">
        <f t="shared" si="1"/>
        <v>554</v>
      </c>
      <c r="S13" s="5">
        <f t="shared" si="6"/>
        <v>1798</v>
      </c>
      <c r="T13" s="10">
        <f t="shared" si="7"/>
        <v>0.50519808935094124</v>
      </c>
      <c r="U13" s="4">
        <f t="shared" si="2"/>
        <v>18</v>
      </c>
      <c r="V13" s="5">
        <f t="shared" si="8"/>
        <v>74</v>
      </c>
      <c r="W13" s="3">
        <f t="shared" si="4"/>
        <v>2.0792357403765102E-2</v>
      </c>
    </row>
    <row r="14" spans="2:23" ht="18">
      <c r="B14" s="50">
        <v>9</v>
      </c>
      <c r="C14" s="50">
        <v>14</v>
      </c>
      <c r="D14" s="50">
        <v>1</v>
      </c>
      <c r="E14" s="50">
        <v>2</v>
      </c>
      <c r="F14" s="50">
        <v>6</v>
      </c>
      <c r="G14" s="126">
        <v>0</v>
      </c>
      <c r="K14" s="21"/>
      <c r="L14" s="21">
        <v>1</v>
      </c>
      <c r="M14" s="92">
        <v>0.39583333333333298</v>
      </c>
      <c r="N14" s="2">
        <v>5</v>
      </c>
      <c r="O14" s="4">
        <f t="shared" si="0"/>
        <v>395</v>
      </c>
      <c r="P14" s="5">
        <f t="shared" si="5"/>
        <v>2082</v>
      </c>
      <c r="Q14" s="10">
        <f t="shared" si="3"/>
        <v>0.47994467496542187</v>
      </c>
      <c r="R14" s="4">
        <f t="shared" si="1"/>
        <v>377</v>
      </c>
      <c r="S14" s="5">
        <f t="shared" si="6"/>
        <v>2175</v>
      </c>
      <c r="T14" s="10">
        <f t="shared" si="7"/>
        <v>0.50138312586445366</v>
      </c>
      <c r="U14" s="4">
        <f t="shared" si="2"/>
        <v>7</v>
      </c>
      <c r="V14" s="5">
        <f t="shared" si="8"/>
        <v>81</v>
      </c>
      <c r="W14" s="3">
        <f t="shared" si="4"/>
        <v>1.8672199170124481E-2</v>
      </c>
    </row>
    <row r="15" spans="2:23" ht="18">
      <c r="B15" s="50">
        <v>9</v>
      </c>
      <c r="C15" s="50">
        <v>17</v>
      </c>
      <c r="D15" s="50">
        <v>1</v>
      </c>
      <c r="E15" s="50">
        <v>14</v>
      </c>
      <c r="F15" s="50">
        <v>24</v>
      </c>
      <c r="G15" s="126">
        <v>0</v>
      </c>
      <c r="K15" s="21"/>
      <c r="L15" s="21">
        <v>1</v>
      </c>
      <c r="M15" s="92">
        <v>0.41666666666666702</v>
      </c>
      <c r="N15" s="2">
        <v>6</v>
      </c>
      <c r="O15" s="4">
        <f t="shared" si="0"/>
        <v>422</v>
      </c>
      <c r="P15" s="5">
        <f t="shared" si="5"/>
        <v>2504</v>
      </c>
      <c r="Q15" s="10">
        <f t="shared" si="3"/>
        <v>0.48339768339768341</v>
      </c>
      <c r="R15" s="4">
        <f t="shared" si="1"/>
        <v>408</v>
      </c>
      <c r="S15" s="5">
        <f t="shared" si="6"/>
        <v>2583</v>
      </c>
      <c r="T15" s="10">
        <f t="shared" si="7"/>
        <v>0.49864864864864866</v>
      </c>
      <c r="U15" s="4">
        <f t="shared" si="2"/>
        <v>12</v>
      </c>
      <c r="V15" s="5">
        <f t="shared" si="8"/>
        <v>93</v>
      </c>
      <c r="W15" s="3">
        <f t="shared" si="4"/>
        <v>1.7953667953667953E-2</v>
      </c>
    </row>
    <row r="16" spans="2:23" ht="18">
      <c r="B16" s="50">
        <v>9</v>
      </c>
      <c r="C16" s="50">
        <v>13</v>
      </c>
      <c r="D16" s="50">
        <v>2</v>
      </c>
      <c r="E16" s="50">
        <v>13</v>
      </c>
      <c r="F16" s="50">
        <v>7</v>
      </c>
      <c r="G16" s="126">
        <v>0</v>
      </c>
      <c r="K16" s="21"/>
      <c r="L16" s="21">
        <v>1</v>
      </c>
      <c r="M16" s="92">
        <v>0.4375</v>
      </c>
      <c r="N16" s="2">
        <v>7</v>
      </c>
      <c r="O16" s="4">
        <f t="shared" si="0"/>
        <v>414</v>
      </c>
      <c r="P16" s="5">
        <f t="shared" si="5"/>
        <v>2918</v>
      </c>
      <c r="Q16" s="10">
        <f t="shared" si="3"/>
        <v>0.48335265860526749</v>
      </c>
      <c r="R16" s="4">
        <f t="shared" si="1"/>
        <v>417</v>
      </c>
      <c r="S16" s="5">
        <f t="shared" si="6"/>
        <v>3000</v>
      </c>
      <c r="T16" s="10">
        <f t="shared" si="7"/>
        <v>0.49693556402186517</v>
      </c>
      <c r="U16" s="4">
        <f t="shared" si="2"/>
        <v>26</v>
      </c>
      <c r="V16" s="5">
        <f t="shared" si="8"/>
        <v>119</v>
      </c>
      <c r="W16" s="3">
        <f t="shared" si="4"/>
        <v>1.9711777372867317E-2</v>
      </c>
    </row>
    <row r="17" spans="2:23" ht="18">
      <c r="B17" s="50">
        <v>9</v>
      </c>
      <c r="C17" s="50">
        <v>19</v>
      </c>
      <c r="D17" s="50">
        <v>2</v>
      </c>
      <c r="E17" s="50">
        <v>12</v>
      </c>
      <c r="F17" s="50">
        <v>10</v>
      </c>
      <c r="G17" s="126">
        <v>1</v>
      </c>
      <c r="K17" s="21"/>
      <c r="L17" s="21">
        <v>1</v>
      </c>
      <c r="M17" s="92">
        <v>0.45833333333333298</v>
      </c>
      <c r="N17" s="2">
        <v>8</v>
      </c>
      <c r="O17" s="4">
        <f t="shared" si="0"/>
        <v>427</v>
      </c>
      <c r="P17" s="5">
        <f t="shared" si="5"/>
        <v>3345</v>
      </c>
      <c r="Q17" s="10">
        <f t="shared" si="3"/>
        <v>0.48633323640593196</v>
      </c>
      <c r="R17" s="4">
        <f t="shared" si="1"/>
        <v>392</v>
      </c>
      <c r="S17" s="5">
        <f t="shared" si="6"/>
        <v>3392</v>
      </c>
      <c r="T17" s="10">
        <f t="shared" si="7"/>
        <v>0.49316661820296598</v>
      </c>
      <c r="U17" s="4">
        <f t="shared" si="2"/>
        <v>22</v>
      </c>
      <c r="V17" s="5">
        <f t="shared" si="8"/>
        <v>141</v>
      </c>
      <c r="W17" s="3">
        <f t="shared" si="4"/>
        <v>2.0500145391102065E-2</v>
      </c>
    </row>
    <row r="18" spans="2:23" ht="18">
      <c r="B18" s="50">
        <v>9</v>
      </c>
      <c r="C18" s="50">
        <v>12</v>
      </c>
      <c r="D18" s="50">
        <v>1</v>
      </c>
      <c r="E18" s="50">
        <v>12</v>
      </c>
      <c r="F18" s="50">
        <v>8</v>
      </c>
      <c r="G18" s="126">
        <v>0</v>
      </c>
      <c r="K18" s="21"/>
      <c r="L18" s="21">
        <v>1</v>
      </c>
      <c r="M18" s="92">
        <v>0.47916666666666702</v>
      </c>
      <c r="N18" s="2">
        <v>9</v>
      </c>
      <c r="O18" s="4">
        <f t="shared" si="0"/>
        <v>568</v>
      </c>
      <c r="P18" s="5">
        <f t="shared" si="5"/>
        <v>3913</v>
      </c>
      <c r="Q18" s="10">
        <f t="shared" si="3"/>
        <v>0.49537916191923026</v>
      </c>
      <c r="R18" s="4">
        <f t="shared" si="1"/>
        <v>429</v>
      </c>
      <c r="S18" s="5">
        <f t="shared" si="6"/>
        <v>3821</v>
      </c>
      <c r="T18" s="10">
        <f t="shared" si="7"/>
        <v>0.48373211798961896</v>
      </c>
      <c r="U18" s="4">
        <f t="shared" si="2"/>
        <v>24</v>
      </c>
      <c r="V18" s="5">
        <f t="shared" si="8"/>
        <v>165</v>
      </c>
      <c r="W18" s="3">
        <f t="shared" si="4"/>
        <v>2.0888720091150777E-2</v>
      </c>
    </row>
    <row r="19" spans="2:23" ht="18">
      <c r="B19" s="50">
        <v>9</v>
      </c>
      <c r="C19" s="50">
        <v>22</v>
      </c>
      <c r="D19" s="50">
        <v>1</v>
      </c>
      <c r="E19" s="50">
        <v>68</v>
      </c>
      <c r="F19" s="50">
        <v>0</v>
      </c>
      <c r="G19" s="126">
        <v>0</v>
      </c>
      <c r="K19" s="21"/>
      <c r="L19" s="21">
        <v>1</v>
      </c>
      <c r="M19" s="92">
        <v>0.5</v>
      </c>
      <c r="N19" s="2">
        <v>10</v>
      </c>
      <c r="O19" s="4">
        <f t="shared" si="0"/>
        <v>380</v>
      </c>
      <c r="P19" s="5">
        <f t="shared" si="5"/>
        <v>4293</v>
      </c>
      <c r="Q19" s="10">
        <f t="shared" si="3"/>
        <v>0.4941867157822033</v>
      </c>
      <c r="R19" s="4">
        <f t="shared" si="1"/>
        <v>375</v>
      </c>
      <c r="S19" s="5">
        <f t="shared" si="6"/>
        <v>4196</v>
      </c>
      <c r="T19" s="10">
        <f t="shared" si="7"/>
        <v>0.48302060550247494</v>
      </c>
      <c r="U19" s="4">
        <f t="shared" si="2"/>
        <v>33</v>
      </c>
      <c r="V19" s="5">
        <f t="shared" si="8"/>
        <v>198</v>
      </c>
      <c r="W19" s="3">
        <f t="shared" si="4"/>
        <v>2.2792678715321747E-2</v>
      </c>
    </row>
    <row r="20" spans="2:23" ht="18">
      <c r="B20" s="50">
        <v>9</v>
      </c>
      <c r="C20" s="50">
        <v>3</v>
      </c>
      <c r="D20" s="50">
        <v>2</v>
      </c>
      <c r="E20" s="50">
        <v>14</v>
      </c>
      <c r="F20" s="50">
        <v>16</v>
      </c>
      <c r="G20" s="126">
        <v>0</v>
      </c>
      <c r="K20" s="21"/>
      <c r="L20" s="21">
        <v>1</v>
      </c>
      <c r="M20" s="92">
        <v>0.52083333333333304</v>
      </c>
      <c r="N20" s="2">
        <v>11</v>
      </c>
      <c r="O20" s="4">
        <f t="shared" si="0"/>
        <v>352</v>
      </c>
      <c r="P20" s="5">
        <f t="shared" si="5"/>
        <v>4645</v>
      </c>
      <c r="Q20" s="10">
        <f t="shared" si="3"/>
        <v>0.49546666666666667</v>
      </c>
      <c r="R20" s="4">
        <f t="shared" si="1"/>
        <v>330</v>
      </c>
      <c r="S20" s="5">
        <f t="shared" si="6"/>
        <v>4526</v>
      </c>
      <c r="T20" s="10">
        <f t="shared" si="7"/>
        <v>0.48277333333333333</v>
      </c>
      <c r="U20" s="4">
        <f t="shared" si="2"/>
        <v>6</v>
      </c>
      <c r="V20" s="5">
        <f t="shared" si="8"/>
        <v>204</v>
      </c>
      <c r="W20" s="3">
        <f t="shared" si="4"/>
        <v>2.1760000000000002E-2</v>
      </c>
    </row>
    <row r="21" spans="2:23" ht="18">
      <c r="B21" s="50">
        <v>9</v>
      </c>
      <c r="C21" s="50">
        <v>3</v>
      </c>
      <c r="D21" s="50">
        <v>1</v>
      </c>
      <c r="E21" s="50">
        <v>8</v>
      </c>
      <c r="F21" s="50">
        <v>6</v>
      </c>
      <c r="G21" s="126">
        <v>0</v>
      </c>
      <c r="L21" s="21">
        <v>1</v>
      </c>
      <c r="M21" s="92">
        <v>4.1666666666666664E-2</v>
      </c>
      <c r="N21" s="2">
        <v>12</v>
      </c>
      <c r="O21" s="4">
        <f t="shared" si="0"/>
        <v>332</v>
      </c>
      <c r="P21" s="5">
        <f t="shared" si="5"/>
        <v>4977</v>
      </c>
      <c r="Q21" s="10">
        <f t="shared" si="3"/>
        <v>0.49438760305950136</v>
      </c>
      <c r="R21" s="4">
        <f t="shared" si="1"/>
        <v>350</v>
      </c>
      <c r="S21" s="5">
        <f t="shared" si="6"/>
        <v>4876</v>
      </c>
      <c r="T21" s="10">
        <f t="shared" si="7"/>
        <v>0.48435482268799046</v>
      </c>
      <c r="U21" s="4">
        <f t="shared" si="2"/>
        <v>10</v>
      </c>
      <c r="V21" s="5">
        <f t="shared" si="8"/>
        <v>214</v>
      </c>
      <c r="W21" s="3">
        <f t="shared" si="4"/>
        <v>2.1257574252508196E-2</v>
      </c>
    </row>
    <row r="22" spans="2:23" ht="18">
      <c r="B22" s="50">
        <v>9</v>
      </c>
      <c r="C22" s="50">
        <v>18</v>
      </c>
      <c r="D22" s="50">
        <v>3</v>
      </c>
      <c r="E22" s="50">
        <v>4</v>
      </c>
      <c r="F22" s="50">
        <v>11</v>
      </c>
      <c r="G22" s="126">
        <v>0</v>
      </c>
      <c r="L22" s="21">
        <v>1</v>
      </c>
      <c r="M22" s="92">
        <v>6.25E-2</v>
      </c>
      <c r="N22" s="2">
        <v>13</v>
      </c>
      <c r="O22" s="4">
        <f t="shared" si="0"/>
        <v>96</v>
      </c>
      <c r="P22" s="5">
        <f t="shared" si="5"/>
        <v>5073</v>
      </c>
      <c r="Q22" s="10">
        <f t="shared" si="3"/>
        <v>0.49377068327817791</v>
      </c>
      <c r="R22" s="4">
        <f t="shared" si="1"/>
        <v>98</v>
      </c>
      <c r="S22" s="5">
        <f t="shared" si="6"/>
        <v>4974</v>
      </c>
      <c r="T22" s="10">
        <f t="shared" si="7"/>
        <v>0.48413470897410943</v>
      </c>
      <c r="U22" s="4">
        <f t="shared" si="2"/>
        <v>13</v>
      </c>
      <c r="V22" s="5">
        <f t="shared" si="8"/>
        <v>227</v>
      </c>
      <c r="W22" s="3">
        <f t="shared" si="4"/>
        <v>2.2094607747712672E-2</v>
      </c>
    </row>
    <row r="23" spans="2:23" ht="18">
      <c r="B23" s="50">
        <v>9</v>
      </c>
      <c r="C23" s="50">
        <v>18</v>
      </c>
      <c r="D23" s="50">
        <v>1</v>
      </c>
      <c r="E23" s="50">
        <v>3</v>
      </c>
      <c r="F23" s="50">
        <v>8</v>
      </c>
      <c r="G23" s="126">
        <v>0</v>
      </c>
      <c r="L23" s="21">
        <v>1</v>
      </c>
      <c r="M23" s="92">
        <v>8.3333333333333329E-2</v>
      </c>
      <c r="N23" s="2">
        <v>14</v>
      </c>
      <c r="O23" s="4">
        <f t="shared" si="0"/>
        <v>40</v>
      </c>
      <c r="P23" s="5">
        <f t="shared" si="5"/>
        <v>5113</v>
      </c>
      <c r="Q23" s="10">
        <f t="shared" si="3"/>
        <v>0.49319957557634803</v>
      </c>
      <c r="R23" s="4">
        <f t="shared" si="1"/>
        <v>51</v>
      </c>
      <c r="S23" s="5">
        <f t="shared" si="6"/>
        <v>5025</v>
      </c>
      <c r="T23" s="10">
        <f t="shared" si="7"/>
        <v>0.48471110253689592</v>
      </c>
      <c r="U23" s="4">
        <f t="shared" si="2"/>
        <v>2</v>
      </c>
      <c r="V23" s="5">
        <f t="shared" si="8"/>
        <v>229</v>
      </c>
      <c r="W23" s="3">
        <f t="shared" si="4"/>
        <v>2.2089321886756053E-2</v>
      </c>
    </row>
    <row r="24" spans="2:23" ht="18">
      <c r="B24" s="50">
        <v>9</v>
      </c>
      <c r="C24" s="50">
        <v>18</v>
      </c>
      <c r="D24" s="50">
        <v>4</v>
      </c>
      <c r="E24" s="50">
        <v>5</v>
      </c>
      <c r="F24" s="50">
        <v>16</v>
      </c>
      <c r="G24" s="126">
        <v>0</v>
      </c>
      <c r="L24" s="21">
        <v>1</v>
      </c>
      <c r="M24" s="92">
        <v>0.104166666666667</v>
      </c>
      <c r="N24" s="2">
        <v>15</v>
      </c>
      <c r="O24" s="4">
        <f t="shared" si="0"/>
        <v>25</v>
      </c>
      <c r="P24" s="5">
        <f t="shared" si="5"/>
        <v>5138</v>
      </c>
      <c r="Q24" s="10">
        <f t="shared" si="3"/>
        <v>0.49290099769762086</v>
      </c>
      <c r="R24" s="4">
        <f t="shared" si="1"/>
        <v>31</v>
      </c>
      <c r="S24" s="5">
        <f t="shared" si="6"/>
        <v>5056</v>
      </c>
      <c r="T24" s="10">
        <f t="shared" si="7"/>
        <v>0.48503453568687643</v>
      </c>
      <c r="U24" s="4">
        <f t="shared" si="2"/>
        <v>1</v>
      </c>
      <c r="V24" s="5">
        <f t="shared" si="8"/>
        <v>230</v>
      </c>
      <c r="W24" s="3">
        <f t="shared" si="4"/>
        <v>2.2064466615502685E-2</v>
      </c>
    </row>
    <row r="25" spans="2:23" ht="18">
      <c r="B25" s="50">
        <v>9</v>
      </c>
      <c r="C25" s="50">
        <v>18</v>
      </c>
      <c r="D25" s="50">
        <v>2</v>
      </c>
      <c r="E25" s="50">
        <v>2</v>
      </c>
      <c r="F25" s="50">
        <v>9</v>
      </c>
      <c r="G25" s="126">
        <v>0</v>
      </c>
      <c r="L25" s="21">
        <v>1</v>
      </c>
      <c r="M25" s="92">
        <v>0.125</v>
      </c>
      <c r="N25" s="2">
        <v>16</v>
      </c>
      <c r="O25" s="4">
        <f t="shared" si="0"/>
        <v>21</v>
      </c>
      <c r="P25" s="5">
        <f t="shared" si="5"/>
        <v>5159</v>
      </c>
      <c r="Q25" s="10">
        <f t="shared" si="3"/>
        <v>0.49288239228050063</v>
      </c>
      <c r="R25" s="4">
        <f t="shared" si="1"/>
        <v>20</v>
      </c>
      <c r="S25" s="5">
        <f t="shared" si="6"/>
        <v>5076</v>
      </c>
      <c r="T25" s="10">
        <f t="shared" si="7"/>
        <v>0.48495270851246775</v>
      </c>
      <c r="U25" s="4">
        <f t="shared" si="2"/>
        <v>2</v>
      </c>
      <c r="V25" s="5">
        <f t="shared" si="8"/>
        <v>232</v>
      </c>
      <c r="W25" s="3">
        <f t="shared" si="4"/>
        <v>2.2164899207031623E-2</v>
      </c>
    </row>
    <row r="26" spans="2:23" ht="18">
      <c r="B26" s="50">
        <v>9</v>
      </c>
      <c r="C26" s="50">
        <v>19</v>
      </c>
      <c r="D26" s="50">
        <v>3</v>
      </c>
      <c r="E26" s="50">
        <v>15</v>
      </c>
      <c r="F26" s="50">
        <v>10</v>
      </c>
      <c r="G26" s="126">
        <v>0</v>
      </c>
      <c r="L26" s="21">
        <v>1</v>
      </c>
      <c r="M26" s="92">
        <v>0.14583333333333301</v>
      </c>
      <c r="N26" s="2">
        <v>17</v>
      </c>
      <c r="O26" s="4">
        <f t="shared" si="0"/>
        <v>23</v>
      </c>
      <c r="P26" s="5">
        <f t="shared" si="5"/>
        <v>5182</v>
      </c>
      <c r="Q26" s="10">
        <f t="shared" si="3"/>
        <v>0.49305423406279736</v>
      </c>
      <c r="R26" s="4">
        <f t="shared" si="1"/>
        <v>19</v>
      </c>
      <c r="S26" s="5">
        <f t="shared" si="6"/>
        <v>5095</v>
      </c>
      <c r="T26" s="10">
        <f t="shared" si="7"/>
        <v>0.48477640342530925</v>
      </c>
      <c r="U26" s="4">
        <f t="shared" si="2"/>
        <v>1</v>
      </c>
      <c r="V26" s="5">
        <f t="shared" si="8"/>
        <v>233</v>
      </c>
      <c r="W26" s="3">
        <f t="shared" si="4"/>
        <v>2.2169362511893435E-2</v>
      </c>
    </row>
    <row r="27" spans="2:23" ht="18">
      <c r="B27" s="50">
        <v>9</v>
      </c>
      <c r="C27" s="50">
        <v>13</v>
      </c>
      <c r="D27" s="50">
        <v>3</v>
      </c>
      <c r="E27" s="50">
        <v>9</v>
      </c>
      <c r="F27" s="50">
        <v>6</v>
      </c>
      <c r="G27" s="126">
        <v>0</v>
      </c>
      <c r="L27" s="21">
        <v>1</v>
      </c>
      <c r="M27" s="92">
        <v>0.16666666666666599</v>
      </c>
      <c r="N27" s="2">
        <v>18</v>
      </c>
      <c r="O27" s="4">
        <f t="shared" si="0"/>
        <v>16</v>
      </c>
      <c r="P27" s="5">
        <f t="shared" si="5"/>
        <v>5198</v>
      </c>
      <c r="Q27" s="10">
        <f t="shared" si="3"/>
        <v>0.49274812778462412</v>
      </c>
      <c r="R27" s="4">
        <f t="shared" si="1"/>
        <v>21</v>
      </c>
      <c r="S27" s="5">
        <f t="shared" si="6"/>
        <v>5116</v>
      </c>
      <c r="T27" s="10">
        <f t="shared" si="7"/>
        <v>0.48497487913546306</v>
      </c>
      <c r="U27" s="4">
        <f t="shared" si="2"/>
        <v>2</v>
      </c>
      <c r="V27" s="5">
        <f t="shared" si="8"/>
        <v>235</v>
      </c>
      <c r="W27" s="3">
        <f t="shared" si="4"/>
        <v>2.2276993079912787E-2</v>
      </c>
    </row>
    <row r="28" spans="2:23" ht="18">
      <c r="B28" s="50">
        <v>9</v>
      </c>
      <c r="C28" s="50">
        <v>13</v>
      </c>
      <c r="D28" s="50">
        <v>4</v>
      </c>
      <c r="E28" s="50">
        <v>7</v>
      </c>
      <c r="F28" s="50">
        <v>7</v>
      </c>
      <c r="G28" s="126">
        <v>0</v>
      </c>
      <c r="L28" s="21">
        <v>1</v>
      </c>
      <c r="M28" s="92">
        <v>0.187499999999999</v>
      </c>
      <c r="N28" s="2">
        <v>19</v>
      </c>
      <c r="O28" s="4">
        <f t="shared" si="0"/>
        <v>0</v>
      </c>
      <c r="P28" s="5">
        <f t="shared" si="5"/>
        <v>5198</v>
      </c>
      <c r="Q28" s="10" t="e">
        <f t="shared" si="3"/>
        <v>#N/A</v>
      </c>
      <c r="R28" s="4">
        <f t="shared" si="1"/>
        <v>0</v>
      </c>
      <c r="S28" s="5">
        <f t="shared" si="6"/>
        <v>5116</v>
      </c>
      <c r="T28" s="10" t="e">
        <f t="shared" si="7"/>
        <v>#N/A</v>
      </c>
      <c r="U28" s="4">
        <f t="shared" si="2"/>
        <v>0</v>
      </c>
      <c r="V28" s="5">
        <f t="shared" si="8"/>
        <v>235</v>
      </c>
      <c r="W28" s="3" t="e">
        <f t="shared" si="4"/>
        <v>#N/A</v>
      </c>
    </row>
    <row r="29" spans="2:23" ht="18.75" thickBot="1">
      <c r="B29" s="50">
        <v>9</v>
      </c>
      <c r="C29" s="50">
        <v>13</v>
      </c>
      <c r="D29" s="50">
        <v>5</v>
      </c>
      <c r="E29" s="50">
        <v>9</v>
      </c>
      <c r="F29" s="50">
        <v>12</v>
      </c>
      <c r="G29" s="126">
        <v>0</v>
      </c>
      <c r="L29" s="21">
        <v>1</v>
      </c>
      <c r="M29" s="92">
        <v>0.20833333333333201</v>
      </c>
      <c r="N29" s="2">
        <v>20</v>
      </c>
      <c r="O29" s="7">
        <f t="shared" si="0"/>
        <v>0</v>
      </c>
      <c r="P29" s="8">
        <f t="shared" si="5"/>
        <v>5198</v>
      </c>
      <c r="Q29" s="11" t="e">
        <f t="shared" si="3"/>
        <v>#N/A</v>
      </c>
      <c r="R29" s="7">
        <f t="shared" si="1"/>
        <v>0</v>
      </c>
      <c r="S29" s="8">
        <f t="shared" si="6"/>
        <v>5116</v>
      </c>
      <c r="T29" s="11" t="e">
        <f t="shared" si="7"/>
        <v>#N/A</v>
      </c>
      <c r="U29" s="7">
        <f t="shared" si="2"/>
        <v>0</v>
      </c>
      <c r="V29" s="8">
        <f t="shared" si="8"/>
        <v>235</v>
      </c>
      <c r="W29" s="9" t="e">
        <f t="shared" si="4"/>
        <v>#N/A</v>
      </c>
    </row>
    <row r="30" spans="2:23" ht="18">
      <c r="B30" s="50">
        <v>9</v>
      </c>
      <c r="C30" s="50">
        <v>14</v>
      </c>
      <c r="D30" s="50">
        <v>3</v>
      </c>
      <c r="E30" s="50">
        <v>4</v>
      </c>
      <c r="F30" s="50">
        <v>5</v>
      </c>
      <c r="G30" s="126">
        <v>0</v>
      </c>
      <c r="L30" s="21">
        <v>1</v>
      </c>
    </row>
    <row r="31" spans="2:23" ht="18">
      <c r="B31" s="50">
        <v>9</v>
      </c>
      <c r="C31" s="50">
        <v>14</v>
      </c>
      <c r="D31" s="50">
        <v>2</v>
      </c>
      <c r="E31" s="50">
        <v>4</v>
      </c>
      <c r="F31" s="50">
        <v>10</v>
      </c>
      <c r="G31" s="126">
        <v>0</v>
      </c>
      <c r="L31" s="21">
        <v>1</v>
      </c>
    </row>
    <row r="32" spans="2:23" ht="18">
      <c r="B32" s="50">
        <v>9</v>
      </c>
      <c r="C32" s="50">
        <v>2</v>
      </c>
      <c r="D32" s="50">
        <v>3</v>
      </c>
      <c r="E32" s="50">
        <v>11</v>
      </c>
      <c r="F32" s="50">
        <v>8</v>
      </c>
      <c r="G32" s="126">
        <v>0</v>
      </c>
      <c r="L32" s="21">
        <v>1</v>
      </c>
      <c r="N32" s="21">
        <v>1</v>
      </c>
    </row>
    <row r="33" spans="2:14" ht="18">
      <c r="B33" s="50">
        <v>9</v>
      </c>
      <c r="C33" s="50">
        <v>2</v>
      </c>
      <c r="D33" s="50">
        <v>2</v>
      </c>
      <c r="E33" s="50">
        <v>22</v>
      </c>
      <c r="F33" s="50">
        <v>16</v>
      </c>
      <c r="G33" s="126">
        <v>0</v>
      </c>
      <c r="L33" s="21">
        <v>1</v>
      </c>
      <c r="N33" s="21">
        <v>2</v>
      </c>
    </row>
    <row r="34" spans="2:14" ht="18">
      <c r="B34" s="50">
        <v>9</v>
      </c>
      <c r="C34" s="50">
        <v>14</v>
      </c>
      <c r="D34" s="50">
        <v>4</v>
      </c>
      <c r="E34" s="50">
        <v>5</v>
      </c>
      <c r="F34" s="50">
        <v>5</v>
      </c>
      <c r="G34" s="126">
        <v>0</v>
      </c>
      <c r="L34" s="21">
        <v>1</v>
      </c>
      <c r="N34" s="21">
        <v>3</v>
      </c>
    </row>
    <row r="35" spans="2:14" ht="18">
      <c r="B35" s="50">
        <v>9</v>
      </c>
      <c r="C35" s="50">
        <v>6</v>
      </c>
      <c r="D35" s="50">
        <v>2</v>
      </c>
      <c r="E35" s="50">
        <v>6</v>
      </c>
      <c r="F35" s="50">
        <v>5</v>
      </c>
      <c r="G35" s="126">
        <v>0</v>
      </c>
      <c r="L35" s="21">
        <v>1</v>
      </c>
      <c r="N35" s="21">
        <v>4</v>
      </c>
    </row>
    <row r="36" spans="2:14" ht="18">
      <c r="B36" s="50">
        <v>9</v>
      </c>
      <c r="C36" s="50">
        <v>1</v>
      </c>
      <c r="D36" s="50">
        <v>2</v>
      </c>
      <c r="E36" s="50">
        <v>6</v>
      </c>
      <c r="F36" s="50">
        <v>8</v>
      </c>
      <c r="G36" s="126">
        <v>0</v>
      </c>
      <c r="L36" s="21">
        <v>1</v>
      </c>
      <c r="N36" s="21">
        <v>5</v>
      </c>
    </row>
    <row r="37" spans="2:14" ht="18">
      <c r="B37" s="50">
        <v>9</v>
      </c>
      <c r="C37" s="50">
        <v>6</v>
      </c>
      <c r="D37" s="50">
        <v>3</v>
      </c>
      <c r="E37" s="50">
        <v>20</v>
      </c>
      <c r="F37" s="50">
        <v>3</v>
      </c>
      <c r="G37" s="126">
        <v>0</v>
      </c>
      <c r="L37" s="21">
        <v>1</v>
      </c>
      <c r="N37" s="21">
        <v>6</v>
      </c>
    </row>
    <row r="38" spans="2:14" ht="18">
      <c r="B38" s="50">
        <v>9</v>
      </c>
      <c r="C38" s="50">
        <v>21</v>
      </c>
      <c r="D38" s="50">
        <v>2</v>
      </c>
      <c r="E38" s="50">
        <v>30</v>
      </c>
      <c r="F38" s="50">
        <v>22</v>
      </c>
      <c r="G38" s="126">
        <v>0</v>
      </c>
      <c r="L38" s="21">
        <v>1</v>
      </c>
      <c r="N38" s="21">
        <v>7</v>
      </c>
    </row>
    <row r="39" spans="2:14" ht="18">
      <c r="B39" s="50">
        <v>9</v>
      </c>
      <c r="C39" s="50">
        <v>5</v>
      </c>
      <c r="D39" s="50">
        <v>2</v>
      </c>
      <c r="E39" s="50">
        <v>10</v>
      </c>
      <c r="F39" s="50">
        <v>8</v>
      </c>
      <c r="G39" s="126">
        <v>15</v>
      </c>
      <c r="L39" s="21">
        <v>1</v>
      </c>
      <c r="N39" s="21">
        <v>8</v>
      </c>
    </row>
    <row r="40" spans="2:14" ht="18">
      <c r="B40" s="50">
        <v>9</v>
      </c>
      <c r="C40" s="50">
        <v>5</v>
      </c>
      <c r="D40" s="50">
        <v>3</v>
      </c>
      <c r="E40" s="50">
        <v>8</v>
      </c>
      <c r="F40" s="50">
        <v>7</v>
      </c>
      <c r="G40" s="126">
        <v>2</v>
      </c>
      <c r="L40" s="21">
        <v>1</v>
      </c>
      <c r="N40" s="21">
        <v>9</v>
      </c>
    </row>
    <row r="41" spans="2:14" ht="18">
      <c r="B41" s="50">
        <v>9</v>
      </c>
      <c r="C41" s="50">
        <v>5</v>
      </c>
      <c r="D41" s="50">
        <v>4</v>
      </c>
      <c r="E41" s="50">
        <v>7</v>
      </c>
      <c r="F41" s="50">
        <v>9</v>
      </c>
      <c r="G41" s="126">
        <v>4</v>
      </c>
      <c r="L41" s="21">
        <v>1</v>
      </c>
      <c r="N41" s="21">
        <v>10</v>
      </c>
    </row>
    <row r="42" spans="2:14" ht="18">
      <c r="B42" s="50">
        <v>9</v>
      </c>
      <c r="C42" s="50">
        <v>16</v>
      </c>
      <c r="D42" s="50">
        <v>2</v>
      </c>
      <c r="E42" s="50">
        <v>27</v>
      </c>
      <c r="F42" s="50">
        <v>32</v>
      </c>
      <c r="G42" s="126">
        <v>0</v>
      </c>
      <c r="L42" s="21">
        <v>1</v>
      </c>
      <c r="N42" s="21">
        <v>11</v>
      </c>
    </row>
    <row r="43" spans="2:14" ht="18">
      <c r="B43" s="50">
        <v>9</v>
      </c>
      <c r="C43" s="50">
        <v>9</v>
      </c>
      <c r="D43" s="50">
        <v>1</v>
      </c>
      <c r="E43" s="50">
        <v>1</v>
      </c>
      <c r="F43" s="50">
        <v>1</v>
      </c>
      <c r="G43" s="126">
        <v>0</v>
      </c>
      <c r="L43" s="21">
        <v>1</v>
      </c>
      <c r="N43" s="21">
        <v>12</v>
      </c>
    </row>
    <row r="44" spans="2:14" ht="18">
      <c r="B44" s="50">
        <v>9</v>
      </c>
      <c r="C44" s="50">
        <v>19</v>
      </c>
      <c r="D44" s="50">
        <v>4</v>
      </c>
      <c r="E44" s="50">
        <v>6</v>
      </c>
      <c r="F44" s="50">
        <v>14</v>
      </c>
      <c r="G44" s="126">
        <v>0</v>
      </c>
      <c r="L44" s="21">
        <v>1</v>
      </c>
      <c r="N44" s="21">
        <v>13</v>
      </c>
    </row>
    <row r="45" spans="2:14" ht="18">
      <c r="B45" s="50">
        <v>9</v>
      </c>
      <c r="C45" s="50">
        <v>9</v>
      </c>
      <c r="D45" s="50">
        <v>2</v>
      </c>
      <c r="E45" s="50">
        <v>1</v>
      </c>
      <c r="F45" s="50">
        <v>1</v>
      </c>
      <c r="G45" s="126">
        <v>0</v>
      </c>
      <c r="L45" s="21">
        <v>1</v>
      </c>
      <c r="N45" s="21">
        <v>14</v>
      </c>
    </row>
    <row r="46" spans="2:14" ht="18">
      <c r="B46" s="50">
        <v>9</v>
      </c>
      <c r="C46" s="50">
        <v>9</v>
      </c>
      <c r="D46" s="50">
        <v>3</v>
      </c>
      <c r="E46" s="50">
        <v>1</v>
      </c>
      <c r="F46" s="50">
        <v>1</v>
      </c>
      <c r="G46" s="126">
        <v>0</v>
      </c>
      <c r="L46" s="21">
        <v>1</v>
      </c>
      <c r="N46" s="21">
        <v>15</v>
      </c>
    </row>
    <row r="47" spans="2:14" ht="18">
      <c r="B47" s="50">
        <v>9</v>
      </c>
      <c r="C47" s="50">
        <v>9</v>
      </c>
      <c r="D47" s="50">
        <v>4</v>
      </c>
      <c r="E47" s="50">
        <v>1</v>
      </c>
      <c r="F47" s="50">
        <v>2</v>
      </c>
      <c r="G47" s="126">
        <v>0</v>
      </c>
      <c r="L47" s="21">
        <v>1</v>
      </c>
      <c r="N47" s="21">
        <v>16</v>
      </c>
    </row>
    <row r="48" spans="2:14" ht="18">
      <c r="B48" s="50">
        <v>9</v>
      </c>
      <c r="C48" s="50">
        <v>17</v>
      </c>
      <c r="D48" s="50">
        <v>4</v>
      </c>
      <c r="E48" s="50">
        <v>40</v>
      </c>
      <c r="F48" s="50">
        <v>51</v>
      </c>
      <c r="G48" s="126">
        <v>0</v>
      </c>
      <c r="L48" s="21">
        <v>1</v>
      </c>
      <c r="N48" s="21">
        <v>17</v>
      </c>
    </row>
    <row r="49" spans="2:14" ht="18">
      <c r="B49" s="50">
        <v>9</v>
      </c>
      <c r="C49" s="50">
        <v>17</v>
      </c>
      <c r="D49" s="50">
        <v>3</v>
      </c>
      <c r="E49" s="50">
        <v>30</v>
      </c>
      <c r="F49" s="50">
        <v>20</v>
      </c>
      <c r="G49" s="126">
        <v>1</v>
      </c>
      <c r="L49" s="21">
        <v>1</v>
      </c>
      <c r="N49" s="21">
        <v>18</v>
      </c>
    </row>
    <row r="50" spans="2:14" ht="18">
      <c r="B50" s="50">
        <v>9</v>
      </c>
      <c r="C50" s="50">
        <v>17</v>
      </c>
      <c r="D50" s="50">
        <v>2</v>
      </c>
      <c r="E50" s="50">
        <v>12</v>
      </c>
      <c r="F50" s="50">
        <v>24</v>
      </c>
      <c r="G50" s="126">
        <v>0</v>
      </c>
      <c r="L50" s="21">
        <v>1</v>
      </c>
      <c r="N50" s="21">
        <v>19</v>
      </c>
    </row>
    <row r="51" spans="2:14" ht="18">
      <c r="B51" s="50">
        <v>9</v>
      </c>
      <c r="C51" s="50">
        <v>12</v>
      </c>
      <c r="D51" s="50">
        <v>2</v>
      </c>
      <c r="E51" s="50">
        <v>45</v>
      </c>
      <c r="F51" s="50">
        <v>19</v>
      </c>
      <c r="G51" s="126">
        <v>0</v>
      </c>
      <c r="L51" s="21">
        <v>1</v>
      </c>
      <c r="N51" s="21">
        <v>20</v>
      </c>
    </row>
    <row r="52" spans="2:14" ht="18">
      <c r="B52" s="50">
        <v>9</v>
      </c>
      <c r="C52" s="50">
        <v>19</v>
      </c>
      <c r="D52" s="50">
        <v>5</v>
      </c>
      <c r="E52" s="50">
        <v>10</v>
      </c>
      <c r="F52" s="50">
        <v>14</v>
      </c>
      <c r="G52" s="126">
        <v>1</v>
      </c>
      <c r="L52" s="21">
        <v>1</v>
      </c>
      <c r="N52" s="21">
        <v>21</v>
      </c>
    </row>
    <row r="53" spans="2:14" ht="18">
      <c r="B53" s="50">
        <v>9</v>
      </c>
      <c r="C53" s="50">
        <v>11</v>
      </c>
      <c r="D53" s="50">
        <v>2</v>
      </c>
      <c r="E53" s="50">
        <v>78</v>
      </c>
      <c r="F53" s="50">
        <v>35</v>
      </c>
      <c r="G53" s="126">
        <v>0</v>
      </c>
      <c r="L53" s="21">
        <v>1</v>
      </c>
      <c r="N53" s="21">
        <v>22</v>
      </c>
    </row>
    <row r="54" spans="2:14" ht="18">
      <c r="B54" s="50">
        <v>9</v>
      </c>
      <c r="C54" s="50">
        <v>19</v>
      </c>
      <c r="D54" s="50">
        <v>6</v>
      </c>
      <c r="E54" s="50">
        <v>6</v>
      </c>
      <c r="F54" s="50">
        <v>17</v>
      </c>
      <c r="G54" s="126">
        <v>0</v>
      </c>
      <c r="L54" s="21">
        <v>1</v>
      </c>
    </row>
    <row r="55" spans="2:14" ht="18">
      <c r="B55" s="50">
        <v>9</v>
      </c>
      <c r="C55" s="50">
        <v>11</v>
      </c>
      <c r="D55" s="50">
        <v>1</v>
      </c>
      <c r="E55" s="50">
        <v>117</v>
      </c>
      <c r="F55" s="50">
        <v>49</v>
      </c>
      <c r="G55" s="126">
        <v>0</v>
      </c>
      <c r="L55" s="21">
        <v>1</v>
      </c>
    </row>
    <row r="56" spans="2:14" ht="18">
      <c r="B56" s="50">
        <v>9</v>
      </c>
      <c r="C56" s="50">
        <v>11</v>
      </c>
      <c r="D56" s="50">
        <v>3</v>
      </c>
      <c r="E56" s="50">
        <v>70</v>
      </c>
      <c r="F56" s="50">
        <v>40</v>
      </c>
      <c r="G56" s="126">
        <v>0</v>
      </c>
      <c r="L56" s="21">
        <v>1</v>
      </c>
    </row>
    <row r="57" spans="2:14" ht="18">
      <c r="B57" s="50">
        <v>9</v>
      </c>
      <c r="C57" s="50">
        <v>11</v>
      </c>
      <c r="D57" s="50">
        <v>4</v>
      </c>
      <c r="E57" s="50">
        <v>86</v>
      </c>
      <c r="F57" s="50">
        <v>26</v>
      </c>
      <c r="G57" s="126">
        <v>0</v>
      </c>
      <c r="L57" s="21">
        <v>1</v>
      </c>
    </row>
    <row r="58" spans="2:14" ht="18">
      <c r="B58" s="50">
        <v>9</v>
      </c>
      <c r="C58" s="50">
        <v>8</v>
      </c>
      <c r="D58" s="50">
        <v>4</v>
      </c>
      <c r="E58" s="50">
        <v>9</v>
      </c>
      <c r="F58" s="50">
        <v>10</v>
      </c>
      <c r="G58" s="126">
        <v>0</v>
      </c>
      <c r="L58" s="21">
        <v>1</v>
      </c>
    </row>
    <row r="59" spans="2:14" ht="18">
      <c r="B59" s="50">
        <v>9</v>
      </c>
      <c r="C59" s="50">
        <v>9</v>
      </c>
      <c r="D59" s="50">
        <v>5</v>
      </c>
      <c r="E59" s="50">
        <v>11</v>
      </c>
      <c r="F59" s="50">
        <v>9</v>
      </c>
      <c r="G59" s="126">
        <v>1</v>
      </c>
      <c r="L59" s="21">
        <v>1</v>
      </c>
    </row>
    <row r="60" spans="2:14" ht="18">
      <c r="B60" s="50">
        <v>9</v>
      </c>
      <c r="C60" s="50">
        <v>8</v>
      </c>
      <c r="D60" s="50">
        <v>3</v>
      </c>
      <c r="E60" s="50">
        <v>10</v>
      </c>
      <c r="F60" s="50">
        <v>9</v>
      </c>
      <c r="G60" s="126">
        <v>0</v>
      </c>
      <c r="L60" s="21">
        <v>1</v>
      </c>
    </row>
    <row r="61" spans="2:14" ht="18">
      <c r="B61" s="50">
        <v>9</v>
      </c>
      <c r="C61" s="50">
        <v>8</v>
      </c>
      <c r="D61" s="50">
        <v>2</v>
      </c>
      <c r="E61" s="50">
        <v>15</v>
      </c>
      <c r="F61" s="50">
        <v>10</v>
      </c>
      <c r="G61" s="126">
        <v>0</v>
      </c>
      <c r="L61" s="21">
        <v>1</v>
      </c>
    </row>
    <row r="62" spans="2:14" ht="18">
      <c r="B62" s="50">
        <v>9</v>
      </c>
      <c r="C62" s="50">
        <v>8</v>
      </c>
      <c r="D62" s="50">
        <v>1</v>
      </c>
      <c r="E62" s="50">
        <v>10</v>
      </c>
      <c r="F62" s="50">
        <v>8</v>
      </c>
      <c r="G62" s="126">
        <v>0</v>
      </c>
      <c r="L62" s="21">
        <v>1</v>
      </c>
    </row>
    <row r="63" spans="2:14" ht="18">
      <c r="B63" s="50">
        <v>9</v>
      </c>
      <c r="C63" s="50">
        <v>8</v>
      </c>
      <c r="D63" s="50">
        <v>5</v>
      </c>
      <c r="E63" s="50">
        <v>11</v>
      </c>
      <c r="F63" s="50">
        <v>5</v>
      </c>
      <c r="G63" s="126">
        <v>0</v>
      </c>
      <c r="L63" s="21">
        <v>1</v>
      </c>
    </row>
    <row r="64" spans="2:14" ht="18">
      <c r="B64" s="50">
        <v>9</v>
      </c>
      <c r="C64" s="50">
        <v>6</v>
      </c>
      <c r="D64" s="50">
        <v>4</v>
      </c>
      <c r="E64" s="50">
        <v>14</v>
      </c>
      <c r="F64" s="50">
        <v>8</v>
      </c>
      <c r="G64" s="126">
        <v>0</v>
      </c>
      <c r="L64" s="21">
        <v>1</v>
      </c>
    </row>
    <row r="65" spans="2:12" ht="18">
      <c r="B65" s="50">
        <v>9</v>
      </c>
      <c r="C65" s="50">
        <v>2</v>
      </c>
      <c r="D65" s="50">
        <v>3</v>
      </c>
      <c r="E65" s="50">
        <v>19</v>
      </c>
      <c r="F65" s="50">
        <v>10</v>
      </c>
      <c r="G65" s="126">
        <v>0</v>
      </c>
      <c r="L65" s="21">
        <v>1</v>
      </c>
    </row>
    <row r="66" spans="2:12" ht="18">
      <c r="B66" s="50">
        <v>9</v>
      </c>
      <c r="C66" s="50">
        <v>2</v>
      </c>
      <c r="D66" s="50">
        <v>4</v>
      </c>
      <c r="E66" s="50">
        <v>46</v>
      </c>
      <c r="F66" s="50">
        <v>39</v>
      </c>
      <c r="G66" s="126">
        <v>0</v>
      </c>
      <c r="L66" s="21">
        <v>1</v>
      </c>
    </row>
    <row r="67" spans="2:12" ht="18">
      <c r="B67" s="50">
        <v>9</v>
      </c>
      <c r="C67" s="50">
        <v>14</v>
      </c>
      <c r="D67" s="50">
        <v>5</v>
      </c>
      <c r="E67" s="50">
        <v>6</v>
      </c>
      <c r="F67" s="50">
        <v>3</v>
      </c>
      <c r="G67" s="126">
        <v>0</v>
      </c>
      <c r="L67" s="21">
        <v>1</v>
      </c>
    </row>
    <row r="68" spans="2:12" ht="18">
      <c r="B68" s="50">
        <v>9</v>
      </c>
      <c r="C68" s="50">
        <v>14</v>
      </c>
      <c r="D68" s="50">
        <v>6</v>
      </c>
      <c r="E68" s="50">
        <v>4</v>
      </c>
      <c r="F68" s="50">
        <v>4</v>
      </c>
      <c r="G68" s="126">
        <v>0</v>
      </c>
      <c r="L68" s="21">
        <v>1</v>
      </c>
    </row>
    <row r="69" spans="2:12" ht="18">
      <c r="B69" s="50">
        <v>9</v>
      </c>
      <c r="C69" s="50">
        <v>7</v>
      </c>
      <c r="D69" s="50">
        <v>1</v>
      </c>
      <c r="E69" s="50">
        <v>20</v>
      </c>
      <c r="F69" s="50">
        <v>54</v>
      </c>
      <c r="G69" s="126">
        <v>2</v>
      </c>
      <c r="L69" s="21">
        <v>1</v>
      </c>
    </row>
    <row r="70" spans="2:12" ht="18">
      <c r="B70" s="50">
        <v>9</v>
      </c>
      <c r="C70" s="50">
        <v>7</v>
      </c>
      <c r="D70" s="50">
        <v>2</v>
      </c>
      <c r="E70" s="50">
        <v>21</v>
      </c>
      <c r="F70" s="50">
        <v>54</v>
      </c>
      <c r="G70" s="126">
        <v>2</v>
      </c>
      <c r="L70" s="21">
        <v>1</v>
      </c>
    </row>
    <row r="71" spans="2:12" ht="18">
      <c r="B71" s="50">
        <v>9</v>
      </c>
      <c r="C71" s="50">
        <v>7</v>
      </c>
      <c r="D71" s="50">
        <v>3</v>
      </c>
      <c r="E71" s="50">
        <v>21</v>
      </c>
      <c r="F71" s="50">
        <v>54</v>
      </c>
      <c r="G71" s="126">
        <v>2</v>
      </c>
      <c r="L71" s="21">
        <v>1</v>
      </c>
    </row>
    <row r="72" spans="2:12" ht="18">
      <c r="B72" s="50">
        <v>9</v>
      </c>
      <c r="C72" s="50">
        <v>7</v>
      </c>
      <c r="D72" s="50">
        <v>4</v>
      </c>
      <c r="E72" s="50">
        <v>21</v>
      </c>
      <c r="F72" s="50">
        <v>54</v>
      </c>
      <c r="G72" s="126">
        <v>1</v>
      </c>
      <c r="L72" s="21">
        <v>1</v>
      </c>
    </row>
    <row r="73" spans="2:12" ht="18">
      <c r="B73" s="50">
        <v>9</v>
      </c>
      <c r="C73" s="50">
        <v>6</v>
      </c>
      <c r="D73" s="50">
        <v>5</v>
      </c>
      <c r="E73" s="50">
        <v>12</v>
      </c>
      <c r="F73" s="50">
        <v>8</v>
      </c>
      <c r="G73" s="126">
        <v>1</v>
      </c>
      <c r="L73" s="21">
        <v>1</v>
      </c>
    </row>
    <row r="74" spans="2:12" ht="18">
      <c r="B74" s="50">
        <v>9</v>
      </c>
      <c r="C74" s="50">
        <v>6</v>
      </c>
      <c r="D74" s="50">
        <v>6</v>
      </c>
      <c r="E74" s="50">
        <v>8</v>
      </c>
      <c r="F74" s="50">
        <v>3</v>
      </c>
      <c r="G74" s="126">
        <v>0</v>
      </c>
      <c r="L74" s="21">
        <v>1</v>
      </c>
    </row>
    <row r="75" spans="2:12" ht="18">
      <c r="B75" s="50">
        <v>9</v>
      </c>
      <c r="C75" s="50">
        <v>3</v>
      </c>
      <c r="D75" s="50">
        <v>3</v>
      </c>
      <c r="E75" s="50">
        <v>15</v>
      </c>
      <c r="F75" s="50">
        <v>21</v>
      </c>
      <c r="G75" s="126">
        <v>0</v>
      </c>
      <c r="L75" s="21">
        <v>1</v>
      </c>
    </row>
    <row r="76" spans="2:12" ht="18">
      <c r="B76" s="50">
        <v>9</v>
      </c>
      <c r="C76" s="50">
        <v>3</v>
      </c>
      <c r="D76" s="50">
        <v>4</v>
      </c>
      <c r="E76" s="50">
        <v>22</v>
      </c>
      <c r="F76" s="50">
        <v>36</v>
      </c>
      <c r="G76" s="126">
        <v>0</v>
      </c>
      <c r="L76" s="21">
        <v>1</v>
      </c>
    </row>
    <row r="77" spans="2:12" ht="18">
      <c r="B77" s="50">
        <v>9</v>
      </c>
      <c r="C77" s="50">
        <v>9</v>
      </c>
      <c r="D77" s="50">
        <v>6</v>
      </c>
      <c r="E77" s="50">
        <v>11</v>
      </c>
      <c r="F77" s="50">
        <v>9</v>
      </c>
      <c r="G77" s="126">
        <v>1</v>
      </c>
      <c r="L77" s="21">
        <v>1</v>
      </c>
    </row>
    <row r="78" spans="2:12" ht="18">
      <c r="B78" s="50">
        <v>9</v>
      </c>
      <c r="C78" s="50">
        <v>18</v>
      </c>
      <c r="D78" s="50">
        <v>5</v>
      </c>
      <c r="E78" s="50">
        <v>3</v>
      </c>
      <c r="F78" s="50">
        <v>12</v>
      </c>
      <c r="G78" s="126">
        <v>0</v>
      </c>
      <c r="L78" s="21">
        <v>1</v>
      </c>
    </row>
    <row r="79" spans="2:12" ht="18">
      <c r="B79" s="50">
        <v>9</v>
      </c>
      <c r="C79" s="50">
        <v>18</v>
      </c>
      <c r="D79" s="50">
        <v>6</v>
      </c>
      <c r="E79" s="50">
        <v>6</v>
      </c>
      <c r="F79" s="50">
        <v>18</v>
      </c>
      <c r="G79" s="126">
        <v>0</v>
      </c>
      <c r="L79" s="21">
        <v>1</v>
      </c>
    </row>
    <row r="80" spans="2:12" ht="18">
      <c r="B80" s="50">
        <v>9</v>
      </c>
      <c r="C80" s="50">
        <v>18</v>
      </c>
      <c r="D80" s="50">
        <v>7</v>
      </c>
      <c r="E80" s="50">
        <v>4</v>
      </c>
      <c r="F80" s="50">
        <v>15</v>
      </c>
      <c r="G80" s="126">
        <v>0</v>
      </c>
      <c r="L80" s="21">
        <v>1</v>
      </c>
    </row>
    <row r="81" spans="2:12" ht="18">
      <c r="B81" s="50">
        <v>9</v>
      </c>
      <c r="C81" s="50">
        <v>18</v>
      </c>
      <c r="D81" s="50">
        <v>8</v>
      </c>
      <c r="E81" s="50">
        <v>6</v>
      </c>
      <c r="F81" s="50">
        <v>24</v>
      </c>
      <c r="G81" s="126">
        <v>0</v>
      </c>
      <c r="L81" s="21">
        <v>1</v>
      </c>
    </row>
    <row r="82" spans="2:12" ht="18">
      <c r="B82" s="50">
        <v>9</v>
      </c>
      <c r="C82" s="50">
        <v>1</v>
      </c>
      <c r="D82" s="50">
        <v>5</v>
      </c>
      <c r="E82" s="50">
        <v>6</v>
      </c>
      <c r="F82" s="50">
        <v>4</v>
      </c>
      <c r="G82" s="126">
        <v>0</v>
      </c>
      <c r="L82" s="21">
        <v>1</v>
      </c>
    </row>
    <row r="83" spans="2:12" ht="18">
      <c r="B83" s="50">
        <v>9</v>
      </c>
      <c r="C83" s="50">
        <v>1</v>
      </c>
      <c r="D83" s="50">
        <v>6</v>
      </c>
      <c r="E83" s="50">
        <v>5</v>
      </c>
      <c r="F83" s="50">
        <v>15</v>
      </c>
      <c r="G83" s="126">
        <v>0</v>
      </c>
      <c r="L83" s="21">
        <v>1</v>
      </c>
    </row>
    <row r="84" spans="2:12" ht="18">
      <c r="B84" s="50">
        <v>9</v>
      </c>
      <c r="C84" s="50">
        <v>1</v>
      </c>
      <c r="D84" s="50">
        <v>7</v>
      </c>
      <c r="E84" s="50">
        <v>10</v>
      </c>
      <c r="F84" s="50">
        <v>20</v>
      </c>
      <c r="G84" s="126">
        <v>0</v>
      </c>
      <c r="L84" s="21">
        <v>1</v>
      </c>
    </row>
    <row r="85" spans="2:12" ht="18">
      <c r="B85" s="50">
        <v>9</v>
      </c>
      <c r="C85" s="50">
        <v>16</v>
      </c>
      <c r="D85" s="50">
        <v>3</v>
      </c>
      <c r="E85" s="50">
        <v>15</v>
      </c>
      <c r="F85" s="50">
        <v>18</v>
      </c>
      <c r="G85" s="126">
        <v>0</v>
      </c>
      <c r="L85" s="21">
        <v>1</v>
      </c>
    </row>
    <row r="86" spans="2:12" ht="18">
      <c r="B86" s="50">
        <v>9</v>
      </c>
      <c r="C86" s="50">
        <v>16</v>
      </c>
      <c r="D86" s="50">
        <v>4</v>
      </c>
      <c r="E86" s="50">
        <v>12</v>
      </c>
      <c r="F86" s="50">
        <v>13</v>
      </c>
      <c r="G86" s="126">
        <v>4</v>
      </c>
      <c r="L86" s="21">
        <v>1</v>
      </c>
    </row>
    <row r="87" spans="2:12" ht="18">
      <c r="B87" s="50">
        <v>9</v>
      </c>
      <c r="C87" s="50">
        <v>16</v>
      </c>
      <c r="D87" s="50">
        <v>5</v>
      </c>
      <c r="E87" s="50">
        <v>5</v>
      </c>
      <c r="F87" s="50">
        <v>13</v>
      </c>
      <c r="G87" s="126">
        <v>0</v>
      </c>
      <c r="L87" s="21">
        <v>1</v>
      </c>
    </row>
    <row r="88" spans="2:12" ht="18">
      <c r="B88" s="50">
        <v>9</v>
      </c>
      <c r="C88" s="50">
        <v>16</v>
      </c>
      <c r="D88" s="50">
        <v>6</v>
      </c>
      <c r="E88" s="50">
        <v>10</v>
      </c>
      <c r="F88" s="50">
        <v>15</v>
      </c>
      <c r="G88" s="126">
        <v>0</v>
      </c>
      <c r="L88" s="21">
        <v>1</v>
      </c>
    </row>
    <row r="89" spans="2:12" ht="18">
      <c r="B89" s="50">
        <v>9</v>
      </c>
      <c r="C89" s="50">
        <v>1</v>
      </c>
      <c r="D89" s="50">
        <v>4</v>
      </c>
      <c r="E89" s="50">
        <v>5</v>
      </c>
      <c r="F89" s="50">
        <v>8</v>
      </c>
      <c r="G89" s="126">
        <v>0</v>
      </c>
      <c r="L89" s="21">
        <v>1</v>
      </c>
    </row>
    <row r="90" spans="2:12" ht="18">
      <c r="B90" s="50">
        <v>9</v>
      </c>
      <c r="C90" s="50">
        <v>1</v>
      </c>
      <c r="D90" s="50">
        <v>3</v>
      </c>
      <c r="E90" s="50">
        <v>7</v>
      </c>
      <c r="F90" s="50">
        <v>4</v>
      </c>
      <c r="G90" s="126">
        <v>0</v>
      </c>
      <c r="L90" s="21">
        <v>1</v>
      </c>
    </row>
    <row r="91" spans="2:12" ht="18">
      <c r="B91" s="50">
        <v>9</v>
      </c>
      <c r="C91" s="50">
        <v>21</v>
      </c>
      <c r="D91" s="50">
        <v>3</v>
      </c>
      <c r="E91" s="50">
        <v>38</v>
      </c>
      <c r="F91" s="50">
        <v>41</v>
      </c>
      <c r="G91" s="126">
        <v>0</v>
      </c>
      <c r="L91" s="21">
        <v>1</v>
      </c>
    </row>
    <row r="92" spans="2:12" ht="18">
      <c r="B92" s="50">
        <v>9</v>
      </c>
      <c r="C92" s="50">
        <v>20</v>
      </c>
      <c r="D92" s="50">
        <v>7</v>
      </c>
      <c r="E92" s="50">
        <v>16</v>
      </c>
      <c r="F92" s="50">
        <v>19</v>
      </c>
      <c r="G92" s="126">
        <v>0</v>
      </c>
      <c r="L92" s="21">
        <v>1</v>
      </c>
    </row>
    <row r="93" spans="2:12" ht="18">
      <c r="B93" s="50">
        <v>9</v>
      </c>
      <c r="C93" s="50">
        <v>20</v>
      </c>
      <c r="D93" s="50">
        <v>6</v>
      </c>
      <c r="E93" s="50">
        <v>13</v>
      </c>
      <c r="F93" s="50">
        <v>11</v>
      </c>
      <c r="G93" s="126">
        <v>0</v>
      </c>
      <c r="L93" s="21">
        <v>1</v>
      </c>
    </row>
    <row r="94" spans="2:12" ht="18">
      <c r="B94" s="50">
        <v>9</v>
      </c>
      <c r="C94" s="50">
        <v>20</v>
      </c>
      <c r="D94" s="50">
        <v>5</v>
      </c>
      <c r="E94" s="50">
        <v>12</v>
      </c>
      <c r="F94" s="50">
        <v>15</v>
      </c>
      <c r="G94" s="126">
        <v>1</v>
      </c>
      <c r="L94" s="21">
        <v>1</v>
      </c>
    </row>
    <row r="95" spans="2:12" ht="18">
      <c r="B95" s="50">
        <v>9</v>
      </c>
      <c r="C95" s="50">
        <v>20</v>
      </c>
      <c r="D95" s="50">
        <v>4</v>
      </c>
      <c r="E95" s="50">
        <v>21</v>
      </c>
      <c r="F95" s="50">
        <v>22</v>
      </c>
      <c r="G95" s="126">
        <v>6</v>
      </c>
      <c r="L95" s="21">
        <v>1</v>
      </c>
    </row>
    <row r="96" spans="2:12" ht="18">
      <c r="B96" s="50">
        <v>9</v>
      </c>
      <c r="C96" s="50">
        <v>20</v>
      </c>
      <c r="D96" s="50">
        <v>3</v>
      </c>
      <c r="E96" s="50">
        <v>19</v>
      </c>
      <c r="F96" s="50">
        <v>20</v>
      </c>
      <c r="G96" s="126">
        <v>3</v>
      </c>
      <c r="L96" s="21">
        <v>1</v>
      </c>
    </row>
    <row r="97" spans="2:12" ht="18">
      <c r="B97" s="50">
        <v>9</v>
      </c>
      <c r="C97" s="50">
        <v>20</v>
      </c>
      <c r="D97" s="50">
        <v>2</v>
      </c>
      <c r="E97" s="50">
        <v>20</v>
      </c>
      <c r="F97" s="50">
        <v>16</v>
      </c>
      <c r="G97" s="126">
        <v>4</v>
      </c>
      <c r="L97" s="21">
        <v>1</v>
      </c>
    </row>
    <row r="98" spans="2:12" ht="18">
      <c r="B98" s="50">
        <v>9</v>
      </c>
      <c r="C98" s="50">
        <v>20</v>
      </c>
      <c r="D98" s="50">
        <v>1</v>
      </c>
      <c r="E98" s="50">
        <v>15</v>
      </c>
      <c r="F98" s="50">
        <v>17</v>
      </c>
      <c r="G98" s="126">
        <v>2</v>
      </c>
      <c r="L98" s="21">
        <v>1</v>
      </c>
    </row>
    <row r="99" spans="2:12" ht="18">
      <c r="B99" s="50">
        <v>9</v>
      </c>
      <c r="C99" s="50">
        <v>20</v>
      </c>
      <c r="D99" s="50">
        <v>8</v>
      </c>
      <c r="E99" s="50">
        <v>14</v>
      </c>
      <c r="F99" s="50">
        <v>8</v>
      </c>
      <c r="G99" s="126">
        <v>0</v>
      </c>
      <c r="L99" s="21">
        <v>1</v>
      </c>
    </row>
    <row r="100" spans="2:12" ht="18">
      <c r="B100" s="50">
        <v>9</v>
      </c>
      <c r="C100" s="50">
        <v>13</v>
      </c>
      <c r="D100" s="50">
        <v>8</v>
      </c>
      <c r="E100" s="50">
        <v>18</v>
      </c>
      <c r="F100" s="50">
        <v>8</v>
      </c>
      <c r="G100" s="126">
        <v>0</v>
      </c>
      <c r="L100" s="21">
        <v>1</v>
      </c>
    </row>
    <row r="101" spans="2:12" ht="18">
      <c r="B101" s="50">
        <v>9</v>
      </c>
      <c r="C101" s="50">
        <v>13</v>
      </c>
      <c r="D101" s="50">
        <v>7</v>
      </c>
      <c r="E101" s="50">
        <v>13</v>
      </c>
      <c r="F101" s="50">
        <v>12</v>
      </c>
      <c r="G101" s="126">
        <v>0</v>
      </c>
      <c r="L101" s="21">
        <v>1</v>
      </c>
    </row>
    <row r="102" spans="2:12" ht="18">
      <c r="B102" s="50">
        <v>9</v>
      </c>
      <c r="C102" s="50">
        <v>13</v>
      </c>
      <c r="D102" s="50">
        <v>6</v>
      </c>
      <c r="E102" s="50">
        <v>15</v>
      </c>
      <c r="F102" s="50">
        <v>9</v>
      </c>
      <c r="G102" s="126">
        <v>0</v>
      </c>
      <c r="L102" s="21">
        <v>1</v>
      </c>
    </row>
    <row r="103" spans="2:12" ht="18">
      <c r="B103" s="50">
        <v>9</v>
      </c>
      <c r="C103" s="50">
        <v>19</v>
      </c>
      <c r="D103" s="50">
        <v>9</v>
      </c>
      <c r="E103" s="50">
        <v>19</v>
      </c>
      <c r="F103" s="50">
        <v>6</v>
      </c>
      <c r="G103" s="126">
        <v>0</v>
      </c>
      <c r="L103" s="21">
        <v>1</v>
      </c>
    </row>
    <row r="104" spans="2:12" ht="18">
      <c r="B104" s="50">
        <v>9</v>
      </c>
      <c r="C104" s="50">
        <v>19</v>
      </c>
      <c r="D104" s="50">
        <v>8</v>
      </c>
      <c r="E104" s="50">
        <v>6</v>
      </c>
      <c r="F104" s="50">
        <v>17</v>
      </c>
      <c r="G104" s="126">
        <v>0</v>
      </c>
      <c r="L104" s="21">
        <v>1</v>
      </c>
    </row>
    <row r="105" spans="2:12" ht="18">
      <c r="B105" s="50">
        <v>9</v>
      </c>
      <c r="C105" s="50">
        <v>19</v>
      </c>
      <c r="D105" s="50">
        <v>7</v>
      </c>
      <c r="E105" s="50">
        <v>0</v>
      </c>
      <c r="F105" s="50">
        <v>14</v>
      </c>
      <c r="G105" s="126">
        <v>1</v>
      </c>
      <c r="L105" s="21">
        <v>1</v>
      </c>
    </row>
    <row r="106" spans="2:12" ht="18">
      <c r="B106" s="50">
        <v>9</v>
      </c>
      <c r="C106" s="50">
        <v>13</v>
      </c>
      <c r="D106" s="50">
        <v>9</v>
      </c>
      <c r="E106" s="50">
        <v>14</v>
      </c>
      <c r="F106" s="50">
        <v>6</v>
      </c>
      <c r="G106" s="126">
        <v>0</v>
      </c>
      <c r="L106" s="21">
        <v>1</v>
      </c>
    </row>
    <row r="107" spans="2:12" ht="18">
      <c r="B107" s="50">
        <v>9</v>
      </c>
      <c r="C107" s="50">
        <v>15</v>
      </c>
      <c r="D107" s="50">
        <v>1</v>
      </c>
      <c r="E107" s="50">
        <v>6</v>
      </c>
      <c r="F107" s="50">
        <v>9</v>
      </c>
      <c r="G107" s="126">
        <v>1</v>
      </c>
      <c r="L107" s="21">
        <v>1</v>
      </c>
    </row>
    <row r="108" spans="2:12" ht="18">
      <c r="B108" s="50">
        <v>9</v>
      </c>
      <c r="C108" s="50">
        <v>15</v>
      </c>
      <c r="D108" s="50">
        <v>2</v>
      </c>
      <c r="E108" s="50">
        <v>14</v>
      </c>
      <c r="F108" s="50">
        <v>18</v>
      </c>
      <c r="G108" s="126">
        <v>0</v>
      </c>
      <c r="L108" s="21">
        <v>1</v>
      </c>
    </row>
    <row r="109" spans="2:12" ht="18">
      <c r="B109" s="50">
        <v>9</v>
      </c>
      <c r="C109" s="50">
        <v>15</v>
      </c>
      <c r="D109" s="50">
        <v>3</v>
      </c>
      <c r="E109" s="50">
        <v>12</v>
      </c>
      <c r="F109" s="50">
        <v>7</v>
      </c>
      <c r="G109" s="126">
        <v>0</v>
      </c>
      <c r="L109" s="21">
        <v>1</v>
      </c>
    </row>
    <row r="110" spans="2:12" ht="18">
      <c r="B110" s="50">
        <v>9</v>
      </c>
      <c r="C110" s="50">
        <v>15</v>
      </c>
      <c r="D110" s="50">
        <v>4</v>
      </c>
      <c r="E110" s="50">
        <v>25</v>
      </c>
      <c r="F110" s="50">
        <v>25</v>
      </c>
      <c r="G110" s="126">
        <v>0</v>
      </c>
      <c r="L110" s="21">
        <v>1</v>
      </c>
    </row>
    <row r="111" spans="2:12" ht="18">
      <c r="B111" s="50">
        <v>9</v>
      </c>
      <c r="C111" s="50">
        <v>15</v>
      </c>
      <c r="D111" s="50">
        <v>5</v>
      </c>
      <c r="E111" s="50">
        <v>5</v>
      </c>
      <c r="F111" s="50">
        <v>9</v>
      </c>
      <c r="G111" s="126">
        <v>0</v>
      </c>
      <c r="L111" s="21">
        <v>1</v>
      </c>
    </row>
    <row r="112" spans="2:12" ht="18">
      <c r="B112" s="50">
        <v>9</v>
      </c>
      <c r="C112" s="50">
        <v>15</v>
      </c>
      <c r="D112" s="50">
        <v>6</v>
      </c>
      <c r="E112" s="50">
        <v>11</v>
      </c>
      <c r="F112" s="50">
        <v>10</v>
      </c>
      <c r="G112" s="126">
        <v>0</v>
      </c>
      <c r="L112" s="21">
        <v>1</v>
      </c>
    </row>
    <row r="113" spans="2:12" ht="18">
      <c r="B113" s="50">
        <v>9</v>
      </c>
      <c r="C113" s="50">
        <v>4</v>
      </c>
      <c r="D113" s="50">
        <v>6</v>
      </c>
      <c r="E113" s="50">
        <v>14</v>
      </c>
      <c r="F113" s="50">
        <v>20</v>
      </c>
      <c r="G113" s="126">
        <v>0</v>
      </c>
      <c r="L113" s="21">
        <v>1</v>
      </c>
    </row>
    <row r="114" spans="2:12" ht="18">
      <c r="B114" s="50">
        <v>9</v>
      </c>
      <c r="C114" s="50">
        <v>4</v>
      </c>
      <c r="D114" s="50">
        <v>5</v>
      </c>
      <c r="E114" s="50">
        <v>13</v>
      </c>
      <c r="F114" s="50">
        <v>22</v>
      </c>
      <c r="G114" s="126">
        <v>0</v>
      </c>
      <c r="L114" s="21">
        <v>1</v>
      </c>
    </row>
    <row r="115" spans="2:12" ht="18">
      <c r="B115" s="50">
        <v>9</v>
      </c>
      <c r="C115" s="50">
        <v>4</v>
      </c>
      <c r="D115" s="50">
        <v>4</v>
      </c>
      <c r="E115" s="50">
        <v>10</v>
      </c>
      <c r="F115" s="50">
        <v>20</v>
      </c>
      <c r="G115" s="126">
        <v>0</v>
      </c>
      <c r="L115" s="21">
        <v>1</v>
      </c>
    </row>
    <row r="116" spans="2:12" ht="18">
      <c r="B116" s="50">
        <v>9</v>
      </c>
      <c r="C116" s="50">
        <v>4</v>
      </c>
      <c r="D116" s="50">
        <v>3</v>
      </c>
      <c r="E116" s="50">
        <v>3</v>
      </c>
      <c r="F116" s="50">
        <v>8</v>
      </c>
      <c r="G116" s="126">
        <v>0</v>
      </c>
      <c r="L116" s="21">
        <v>1</v>
      </c>
    </row>
    <row r="117" spans="2:12" ht="18">
      <c r="B117" s="50">
        <v>9</v>
      </c>
      <c r="C117" s="50">
        <v>4</v>
      </c>
      <c r="D117" s="50">
        <v>2</v>
      </c>
      <c r="E117" s="50">
        <v>5</v>
      </c>
      <c r="F117" s="50">
        <v>10</v>
      </c>
      <c r="G117" s="126">
        <v>0</v>
      </c>
      <c r="L117" s="21">
        <v>1</v>
      </c>
    </row>
    <row r="118" spans="2:12" ht="18">
      <c r="B118" s="50">
        <v>9</v>
      </c>
      <c r="C118" s="50">
        <v>9</v>
      </c>
      <c r="D118" s="50">
        <v>7</v>
      </c>
      <c r="E118" s="50">
        <v>7</v>
      </c>
      <c r="F118" s="50">
        <v>4</v>
      </c>
      <c r="G118" s="126">
        <v>0</v>
      </c>
      <c r="L118" s="21">
        <v>1</v>
      </c>
    </row>
    <row r="119" spans="2:12" ht="18">
      <c r="B119" s="50">
        <v>9</v>
      </c>
      <c r="C119" s="50">
        <v>6</v>
      </c>
      <c r="D119" s="50">
        <v>7</v>
      </c>
      <c r="E119" s="50">
        <v>8</v>
      </c>
      <c r="F119" s="50">
        <v>10</v>
      </c>
      <c r="G119" s="126">
        <v>2</v>
      </c>
      <c r="L119" s="21">
        <v>1</v>
      </c>
    </row>
    <row r="120" spans="2:12" ht="18">
      <c r="B120" s="50">
        <v>9</v>
      </c>
      <c r="C120" s="50">
        <v>6</v>
      </c>
      <c r="D120" s="50">
        <v>8</v>
      </c>
      <c r="E120" s="50">
        <v>14</v>
      </c>
      <c r="F120" s="50">
        <v>4</v>
      </c>
      <c r="G120" s="126">
        <v>0</v>
      </c>
      <c r="L120" s="21">
        <v>1</v>
      </c>
    </row>
    <row r="121" spans="2:12" ht="18">
      <c r="B121" s="50">
        <v>9</v>
      </c>
      <c r="C121" s="50">
        <v>6</v>
      </c>
      <c r="D121" s="50">
        <v>9</v>
      </c>
      <c r="E121" s="50">
        <v>7</v>
      </c>
      <c r="F121" s="50">
        <v>4</v>
      </c>
      <c r="G121" s="126">
        <v>0</v>
      </c>
      <c r="L121" s="21">
        <v>1</v>
      </c>
    </row>
    <row r="122" spans="2:12" ht="18">
      <c r="B122" s="50">
        <v>9</v>
      </c>
      <c r="C122" s="50">
        <v>20</v>
      </c>
      <c r="D122" s="50">
        <v>9</v>
      </c>
      <c r="E122" s="50">
        <v>6</v>
      </c>
      <c r="F122" s="50">
        <v>10</v>
      </c>
      <c r="G122" s="126">
        <v>2</v>
      </c>
      <c r="L122" s="21">
        <v>1</v>
      </c>
    </row>
    <row r="123" spans="2:12" ht="18">
      <c r="B123" s="50">
        <v>9</v>
      </c>
      <c r="C123" s="50">
        <v>22</v>
      </c>
      <c r="D123" s="50">
        <v>1</v>
      </c>
      <c r="E123" s="50">
        <v>20</v>
      </c>
      <c r="F123" s="50">
        <v>60</v>
      </c>
      <c r="G123" s="126">
        <v>4</v>
      </c>
      <c r="L123" s="21">
        <v>1</v>
      </c>
    </row>
    <row r="124" spans="2:12" ht="18">
      <c r="B124" s="50">
        <v>9</v>
      </c>
      <c r="C124" s="50">
        <v>22</v>
      </c>
      <c r="D124" s="50">
        <v>2</v>
      </c>
      <c r="E124" s="50">
        <v>25</v>
      </c>
      <c r="F124" s="50">
        <v>60</v>
      </c>
      <c r="G124" s="126">
        <v>3</v>
      </c>
      <c r="L124" s="21">
        <v>1</v>
      </c>
    </row>
    <row r="125" spans="2:12" ht="18">
      <c r="B125" s="50">
        <v>9</v>
      </c>
      <c r="C125" s="50">
        <v>22</v>
      </c>
      <c r="D125" s="50">
        <v>3</v>
      </c>
      <c r="E125" s="50">
        <v>25</v>
      </c>
      <c r="F125" s="50">
        <v>60</v>
      </c>
      <c r="G125" s="126">
        <v>4</v>
      </c>
      <c r="L125" s="21">
        <v>1</v>
      </c>
    </row>
    <row r="126" spans="2:12" ht="18">
      <c r="B126" s="50">
        <v>9</v>
      </c>
      <c r="C126" s="50">
        <v>22</v>
      </c>
      <c r="D126" s="50">
        <v>4</v>
      </c>
      <c r="E126" s="50">
        <v>30</v>
      </c>
      <c r="F126" s="50">
        <v>60</v>
      </c>
      <c r="G126" s="126">
        <v>3</v>
      </c>
      <c r="L126" s="21">
        <v>1</v>
      </c>
    </row>
    <row r="127" spans="2:12" ht="18">
      <c r="B127" s="50">
        <v>9</v>
      </c>
      <c r="C127" s="50">
        <v>22</v>
      </c>
      <c r="D127" s="50">
        <v>5</v>
      </c>
      <c r="E127" s="50">
        <v>35</v>
      </c>
      <c r="F127" s="50">
        <v>52</v>
      </c>
      <c r="G127" s="126">
        <v>3</v>
      </c>
      <c r="L127" s="21">
        <v>1</v>
      </c>
    </row>
    <row r="128" spans="2:12" ht="18">
      <c r="B128" s="50">
        <v>9</v>
      </c>
      <c r="C128" s="50">
        <v>5</v>
      </c>
      <c r="D128" s="50">
        <v>6</v>
      </c>
      <c r="E128" s="50">
        <v>11</v>
      </c>
      <c r="F128" s="50">
        <v>11</v>
      </c>
      <c r="G128" s="126">
        <v>8</v>
      </c>
      <c r="L128" s="21">
        <v>1</v>
      </c>
    </row>
    <row r="129" spans="2:12" ht="18">
      <c r="B129" s="50">
        <v>9</v>
      </c>
      <c r="C129" s="50">
        <v>5</v>
      </c>
      <c r="D129" s="50">
        <v>7</v>
      </c>
      <c r="E129" s="50">
        <v>13</v>
      </c>
      <c r="F129" s="50">
        <v>15</v>
      </c>
      <c r="G129" s="126">
        <v>18</v>
      </c>
      <c r="L129" s="21">
        <v>1</v>
      </c>
    </row>
    <row r="130" spans="2:12" ht="18">
      <c r="B130" s="50">
        <v>9</v>
      </c>
      <c r="C130" s="50">
        <v>5</v>
      </c>
      <c r="D130" s="50">
        <v>8</v>
      </c>
      <c r="E130" s="50">
        <v>9</v>
      </c>
      <c r="F130" s="50">
        <v>12</v>
      </c>
      <c r="G130" s="126">
        <v>22</v>
      </c>
      <c r="L130" s="21">
        <v>1</v>
      </c>
    </row>
    <row r="131" spans="2:12" ht="18">
      <c r="B131" s="50">
        <v>9</v>
      </c>
      <c r="C131" s="50">
        <v>5</v>
      </c>
      <c r="D131" s="50">
        <v>9</v>
      </c>
      <c r="E131" s="50">
        <v>15</v>
      </c>
      <c r="F131" s="50">
        <v>18</v>
      </c>
      <c r="G131" s="126">
        <v>20</v>
      </c>
      <c r="L131" s="21">
        <v>1</v>
      </c>
    </row>
    <row r="132" spans="2:12" ht="18">
      <c r="B132" s="50">
        <v>9</v>
      </c>
      <c r="C132" s="50">
        <v>16</v>
      </c>
      <c r="D132" s="50">
        <v>6</v>
      </c>
      <c r="E132" s="50">
        <v>14</v>
      </c>
      <c r="F132" s="50">
        <v>18</v>
      </c>
      <c r="G132" s="126">
        <v>0</v>
      </c>
      <c r="L132" s="21">
        <v>1</v>
      </c>
    </row>
    <row r="133" spans="2:12" ht="18">
      <c r="B133" s="50">
        <v>9</v>
      </c>
      <c r="C133" s="50">
        <v>16</v>
      </c>
      <c r="D133" s="50">
        <v>7</v>
      </c>
      <c r="E133" s="50">
        <v>10</v>
      </c>
      <c r="F133" s="50">
        <v>12</v>
      </c>
      <c r="G133" s="126">
        <v>0</v>
      </c>
      <c r="L133" s="21">
        <v>1</v>
      </c>
    </row>
    <row r="134" spans="2:12" ht="18">
      <c r="B134" s="50">
        <v>9</v>
      </c>
      <c r="C134" s="50">
        <v>16</v>
      </c>
      <c r="D134" s="50">
        <v>8</v>
      </c>
      <c r="E134" s="50">
        <v>8</v>
      </c>
      <c r="F134" s="50">
        <v>15</v>
      </c>
      <c r="G134" s="126">
        <v>0</v>
      </c>
      <c r="L134" s="21">
        <v>1</v>
      </c>
    </row>
    <row r="135" spans="2:12" ht="18">
      <c r="B135" s="50">
        <v>9</v>
      </c>
      <c r="C135" s="50">
        <v>16</v>
      </c>
      <c r="D135" s="50">
        <v>9</v>
      </c>
      <c r="E135" s="50">
        <v>10</v>
      </c>
      <c r="F135" s="50">
        <v>12</v>
      </c>
      <c r="G135" s="126">
        <v>0</v>
      </c>
      <c r="L135" s="21">
        <v>1</v>
      </c>
    </row>
    <row r="136" spans="2:12" ht="18">
      <c r="B136" s="50">
        <v>9</v>
      </c>
      <c r="C136" s="50">
        <v>16</v>
      </c>
      <c r="D136" s="50">
        <v>10</v>
      </c>
      <c r="E136" s="50">
        <v>8</v>
      </c>
      <c r="F136" s="50">
        <v>12</v>
      </c>
      <c r="G136" s="126">
        <v>0</v>
      </c>
      <c r="L136" s="21">
        <v>1</v>
      </c>
    </row>
    <row r="137" spans="2:12" ht="18">
      <c r="B137" s="50">
        <v>9</v>
      </c>
      <c r="C137" s="50">
        <v>12</v>
      </c>
      <c r="D137" s="50">
        <v>3</v>
      </c>
      <c r="E137" s="50">
        <v>22</v>
      </c>
      <c r="F137" s="50">
        <v>12</v>
      </c>
      <c r="G137" s="126">
        <v>0</v>
      </c>
      <c r="L137" s="21">
        <v>1</v>
      </c>
    </row>
    <row r="138" spans="2:12" ht="18">
      <c r="B138" s="50">
        <v>9</v>
      </c>
      <c r="C138" s="50">
        <v>17</v>
      </c>
      <c r="D138" s="50">
        <v>8</v>
      </c>
      <c r="E138" s="50">
        <v>15</v>
      </c>
      <c r="F138" s="50">
        <v>20</v>
      </c>
      <c r="G138" s="126">
        <v>0</v>
      </c>
      <c r="L138" s="21">
        <v>1</v>
      </c>
    </row>
    <row r="139" spans="2:12" ht="18">
      <c r="B139" s="50">
        <v>9</v>
      </c>
      <c r="C139" s="50">
        <v>17</v>
      </c>
      <c r="D139" s="50">
        <v>7</v>
      </c>
      <c r="E139" s="50">
        <v>11</v>
      </c>
      <c r="F139" s="50">
        <v>16</v>
      </c>
      <c r="G139" s="126">
        <v>0</v>
      </c>
      <c r="L139" s="21">
        <v>1</v>
      </c>
    </row>
    <row r="140" spans="2:12" ht="18">
      <c r="B140" s="50">
        <v>9</v>
      </c>
      <c r="C140" s="50">
        <v>17</v>
      </c>
      <c r="D140" s="50">
        <v>6</v>
      </c>
      <c r="E140" s="50">
        <v>12</v>
      </c>
      <c r="F140" s="50">
        <v>15</v>
      </c>
      <c r="G140" s="126">
        <v>0</v>
      </c>
      <c r="L140" s="21">
        <v>1</v>
      </c>
    </row>
    <row r="141" spans="2:12" ht="18">
      <c r="B141" s="50">
        <v>9</v>
      </c>
      <c r="C141" s="50">
        <v>17</v>
      </c>
      <c r="D141" s="50">
        <v>5</v>
      </c>
      <c r="E141" s="50">
        <v>20</v>
      </c>
      <c r="F141" s="50">
        <v>28</v>
      </c>
      <c r="G141" s="126">
        <v>0</v>
      </c>
      <c r="L141" s="21">
        <v>1</v>
      </c>
    </row>
    <row r="142" spans="2:12" ht="18">
      <c r="B142" s="50">
        <v>9</v>
      </c>
      <c r="C142" s="50">
        <v>17</v>
      </c>
      <c r="D142" s="50">
        <v>9</v>
      </c>
      <c r="E142" s="50">
        <v>20</v>
      </c>
      <c r="F142" s="50">
        <v>16</v>
      </c>
      <c r="G142" s="126">
        <v>0</v>
      </c>
      <c r="L142" s="21">
        <v>1</v>
      </c>
    </row>
    <row r="143" spans="2:12" ht="18">
      <c r="B143" s="50">
        <v>9</v>
      </c>
      <c r="C143" s="50">
        <v>8</v>
      </c>
      <c r="D143" s="50">
        <v>8</v>
      </c>
      <c r="E143" s="50">
        <v>15</v>
      </c>
      <c r="F143" s="50">
        <v>19</v>
      </c>
      <c r="G143" s="126">
        <v>0</v>
      </c>
      <c r="L143" s="21">
        <v>1</v>
      </c>
    </row>
    <row r="144" spans="2:12" ht="18">
      <c r="B144" s="50">
        <v>9</v>
      </c>
      <c r="C144" s="50">
        <v>8</v>
      </c>
      <c r="D144" s="50">
        <v>7</v>
      </c>
      <c r="E144" s="50">
        <v>7</v>
      </c>
      <c r="F144" s="50">
        <v>13</v>
      </c>
      <c r="G144" s="126">
        <v>0</v>
      </c>
      <c r="L144" s="21">
        <v>1</v>
      </c>
    </row>
    <row r="145" spans="2:12" ht="18">
      <c r="B145" s="50">
        <v>9</v>
      </c>
      <c r="C145" s="50">
        <v>8</v>
      </c>
      <c r="D145" s="50">
        <v>6</v>
      </c>
      <c r="E145" s="50">
        <v>17</v>
      </c>
      <c r="F145" s="50">
        <v>14</v>
      </c>
      <c r="G145" s="126">
        <v>0</v>
      </c>
      <c r="L145" s="21">
        <v>1</v>
      </c>
    </row>
    <row r="146" spans="2:12" ht="18">
      <c r="B146" s="50">
        <v>9</v>
      </c>
      <c r="C146" s="50">
        <v>9</v>
      </c>
      <c r="D146" s="50">
        <v>9</v>
      </c>
      <c r="E146" s="50">
        <v>2</v>
      </c>
      <c r="F146" s="50">
        <v>1</v>
      </c>
      <c r="G146" s="126">
        <v>0</v>
      </c>
      <c r="L146" s="21">
        <v>1</v>
      </c>
    </row>
    <row r="147" spans="2:12" ht="18">
      <c r="B147" s="50">
        <v>9</v>
      </c>
      <c r="C147" s="50">
        <v>9</v>
      </c>
      <c r="D147" s="50">
        <v>8</v>
      </c>
      <c r="E147" s="50">
        <v>3</v>
      </c>
      <c r="F147" s="50">
        <v>5</v>
      </c>
      <c r="G147" s="126">
        <v>0</v>
      </c>
      <c r="L147" s="21">
        <v>1</v>
      </c>
    </row>
    <row r="148" spans="2:12" ht="18">
      <c r="B148" s="50">
        <v>9</v>
      </c>
      <c r="C148" s="50">
        <v>9</v>
      </c>
      <c r="D148" s="50">
        <v>10</v>
      </c>
      <c r="E148" s="50">
        <v>4</v>
      </c>
      <c r="F148" s="50">
        <v>1</v>
      </c>
      <c r="G148" s="126">
        <v>0</v>
      </c>
      <c r="L148" s="21">
        <v>1</v>
      </c>
    </row>
    <row r="149" spans="2:12" ht="18">
      <c r="B149" s="50">
        <v>9</v>
      </c>
      <c r="C149" s="50">
        <v>2</v>
      </c>
      <c r="D149" s="50">
        <v>9</v>
      </c>
      <c r="E149" s="50">
        <v>154</v>
      </c>
      <c r="F149" s="50">
        <v>110</v>
      </c>
      <c r="G149" s="126">
        <v>0</v>
      </c>
      <c r="L149" s="21">
        <v>1</v>
      </c>
    </row>
    <row r="150" spans="2:12" ht="18">
      <c r="B150" s="50">
        <v>9</v>
      </c>
      <c r="C150" s="50">
        <v>2</v>
      </c>
      <c r="D150" s="50">
        <v>8</v>
      </c>
      <c r="E150" s="50">
        <v>114</v>
      </c>
      <c r="F150" s="50">
        <v>89</v>
      </c>
      <c r="G150" s="126">
        <v>0</v>
      </c>
      <c r="L150" s="21">
        <v>1</v>
      </c>
    </row>
    <row r="151" spans="2:12" ht="18">
      <c r="B151" s="50">
        <v>9</v>
      </c>
      <c r="C151" s="50">
        <v>14</v>
      </c>
      <c r="D151" s="50">
        <v>6</v>
      </c>
      <c r="E151" s="50">
        <v>5</v>
      </c>
      <c r="F151" s="50">
        <v>8</v>
      </c>
      <c r="G151" s="126">
        <v>0</v>
      </c>
      <c r="L151" s="21">
        <v>1</v>
      </c>
    </row>
    <row r="152" spans="2:12" ht="18">
      <c r="B152" s="50">
        <v>9</v>
      </c>
      <c r="C152" s="50">
        <v>14</v>
      </c>
      <c r="D152" s="50">
        <v>5</v>
      </c>
      <c r="E152" s="50">
        <v>6</v>
      </c>
      <c r="F152" s="50">
        <v>7</v>
      </c>
      <c r="G152" s="126">
        <v>0</v>
      </c>
      <c r="L152" s="21">
        <v>1</v>
      </c>
    </row>
    <row r="153" spans="2:12" ht="18">
      <c r="B153" s="50">
        <v>9</v>
      </c>
      <c r="C153" s="50">
        <v>14</v>
      </c>
      <c r="D153" s="50">
        <v>7</v>
      </c>
      <c r="E153" s="50">
        <v>6</v>
      </c>
      <c r="F153" s="50">
        <v>9</v>
      </c>
      <c r="G153" s="126">
        <v>0</v>
      </c>
      <c r="L153" s="21">
        <v>1</v>
      </c>
    </row>
    <row r="154" spans="2:12" ht="18">
      <c r="B154" s="50">
        <v>9</v>
      </c>
      <c r="C154" s="50">
        <v>2</v>
      </c>
      <c r="D154" s="50">
        <v>7</v>
      </c>
      <c r="E154" s="50">
        <v>94</v>
      </c>
      <c r="F154" s="50">
        <v>75</v>
      </c>
      <c r="G154" s="126">
        <v>0</v>
      </c>
      <c r="L154" s="21">
        <v>1</v>
      </c>
    </row>
    <row r="155" spans="2:12" ht="18">
      <c r="B155" s="50">
        <v>9</v>
      </c>
      <c r="C155" s="50">
        <v>2</v>
      </c>
      <c r="D155" s="50">
        <v>6</v>
      </c>
      <c r="E155" s="50">
        <v>78</v>
      </c>
      <c r="F155" s="50">
        <v>61</v>
      </c>
      <c r="G155" s="126">
        <v>0</v>
      </c>
      <c r="L155" s="21">
        <v>1</v>
      </c>
    </row>
    <row r="156" spans="2:12" ht="18">
      <c r="B156" s="50">
        <v>9</v>
      </c>
      <c r="C156" s="50">
        <v>2</v>
      </c>
      <c r="D156" s="50">
        <v>5</v>
      </c>
      <c r="E156" s="50">
        <v>46</v>
      </c>
      <c r="F156" s="50">
        <v>39</v>
      </c>
      <c r="G156" s="126">
        <v>0</v>
      </c>
      <c r="L156" s="21">
        <v>1</v>
      </c>
    </row>
    <row r="157" spans="2:12" ht="18">
      <c r="B157" s="50">
        <v>9</v>
      </c>
      <c r="C157" s="50">
        <v>2</v>
      </c>
      <c r="D157" s="50">
        <v>4</v>
      </c>
      <c r="E157" s="50">
        <v>19</v>
      </c>
      <c r="F157" s="50">
        <v>10</v>
      </c>
      <c r="G157" s="126">
        <v>0</v>
      </c>
      <c r="L157" s="21">
        <v>1</v>
      </c>
    </row>
    <row r="158" spans="2:12" ht="18">
      <c r="B158" s="50">
        <v>9</v>
      </c>
      <c r="C158" s="50">
        <v>19</v>
      </c>
      <c r="D158" s="50">
        <v>10</v>
      </c>
      <c r="E158" s="50">
        <v>5</v>
      </c>
      <c r="F158" s="50">
        <v>9</v>
      </c>
      <c r="G158" s="126">
        <v>0</v>
      </c>
      <c r="L158" s="21">
        <v>1</v>
      </c>
    </row>
    <row r="159" spans="2:12" ht="18">
      <c r="B159" s="50">
        <v>9</v>
      </c>
      <c r="C159" s="50">
        <v>19</v>
      </c>
      <c r="D159" s="50">
        <v>4</v>
      </c>
      <c r="E159" s="50">
        <v>7</v>
      </c>
      <c r="F159" s="50">
        <v>12</v>
      </c>
      <c r="G159" s="126">
        <v>0</v>
      </c>
      <c r="L159" s="21">
        <v>1</v>
      </c>
    </row>
    <row r="160" spans="2:12" ht="18">
      <c r="B160" s="50">
        <v>9</v>
      </c>
      <c r="C160" s="50">
        <v>13</v>
      </c>
      <c r="D160" s="50">
        <v>10</v>
      </c>
      <c r="E160" s="50">
        <v>9</v>
      </c>
      <c r="F160" s="50">
        <v>10</v>
      </c>
      <c r="G160" s="126">
        <v>0</v>
      </c>
      <c r="L160" s="21">
        <v>1</v>
      </c>
    </row>
    <row r="161" spans="2:12" ht="18">
      <c r="B161" s="50">
        <v>9</v>
      </c>
      <c r="C161" s="50">
        <v>13</v>
      </c>
      <c r="D161" s="50">
        <v>11</v>
      </c>
      <c r="E161" s="50">
        <v>13</v>
      </c>
      <c r="F161" s="50">
        <v>12</v>
      </c>
      <c r="G161" s="126">
        <v>0</v>
      </c>
      <c r="L161" s="21">
        <v>1</v>
      </c>
    </row>
    <row r="162" spans="2:12" ht="18">
      <c r="B162" s="50">
        <v>9</v>
      </c>
      <c r="C162" s="50">
        <v>3</v>
      </c>
      <c r="D162" s="50">
        <v>5</v>
      </c>
      <c r="E162" s="50">
        <v>20</v>
      </c>
      <c r="F162" s="50">
        <v>45</v>
      </c>
      <c r="G162" s="126">
        <v>0</v>
      </c>
      <c r="L162" s="21">
        <v>1</v>
      </c>
    </row>
    <row r="163" spans="2:12" ht="18">
      <c r="B163" s="50">
        <v>9</v>
      </c>
      <c r="C163" s="50">
        <v>3</v>
      </c>
      <c r="D163" s="50">
        <v>6</v>
      </c>
      <c r="E163" s="50">
        <v>25</v>
      </c>
      <c r="F163" s="50">
        <v>22</v>
      </c>
      <c r="G163" s="126">
        <v>0</v>
      </c>
      <c r="L163" s="21">
        <v>1</v>
      </c>
    </row>
    <row r="164" spans="2:12" ht="18">
      <c r="B164" s="50">
        <v>9</v>
      </c>
      <c r="C164" s="50">
        <v>21</v>
      </c>
      <c r="D164" s="50">
        <v>4</v>
      </c>
      <c r="E164" s="50">
        <v>22</v>
      </c>
      <c r="F164" s="50">
        <v>19</v>
      </c>
      <c r="G164" s="126">
        <v>0</v>
      </c>
      <c r="L164" s="21">
        <v>1</v>
      </c>
    </row>
    <row r="165" spans="2:12" ht="18">
      <c r="B165" s="50">
        <v>9</v>
      </c>
      <c r="C165" s="50">
        <v>11</v>
      </c>
      <c r="D165" s="50">
        <v>9</v>
      </c>
      <c r="E165" s="50">
        <v>96</v>
      </c>
      <c r="F165" s="50">
        <v>58</v>
      </c>
      <c r="G165" s="126">
        <v>0</v>
      </c>
      <c r="L165" s="21">
        <v>1</v>
      </c>
    </row>
    <row r="166" spans="2:12" ht="18">
      <c r="B166" s="50">
        <v>9</v>
      </c>
      <c r="C166" s="50">
        <v>11</v>
      </c>
      <c r="D166" s="50">
        <v>8</v>
      </c>
      <c r="E166" s="50">
        <v>101</v>
      </c>
      <c r="F166" s="50">
        <v>48</v>
      </c>
      <c r="G166" s="126">
        <v>0</v>
      </c>
      <c r="L166" s="21">
        <v>1</v>
      </c>
    </row>
    <row r="167" spans="2:12" ht="18">
      <c r="B167" s="50">
        <v>9</v>
      </c>
      <c r="C167" s="50">
        <v>11</v>
      </c>
      <c r="D167" s="50">
        <v>7</v>
      </c>
      <c r="E167" s="50">
        <v>112</v>
      </c>
      <c r="F167" s="50">
        <v>56</v>
      </c>
      <c r="G167" s="126">
        <v>0</v>
      </c>
      <c r="L167" s="21">
        <v>1</v>
      </c>
    </row>
    <row r="168" spans="2:12" ht="18">
      <c r="B168" s="50">
        <v>9</v>
      </c>
      <c r="C168" s="50">
        <v>11</v>
      </c>
      <c r="D168" s="50">
        <v>6</v>
      </c>
      <c r="E168" s="50">
        <v>100</v>
      </c>
      <c r="F168" s="50">
        <v>59</v>
      </c>
      <c r="G168" s="126">
        <v>0</v>
      </c>
      <c r="L168" s="21">
        <v>1</v>
      </c>
    </row>
    <row r="169" spans="2:12" ht="18">
      <c r="B169" s="50">
        <v>9</v>
      </c>
      <c r="C169" s="50">
        <v>11</v>
      </c>
      <c r="D169" s="50">
        <v>5</v>
      </c>
      <c r="E169" s="50">
        <v>98</v>
      </c>
      <c r="F169" s="50">
        <v>30</v>
      </c>
      <c r="G169" s="126">
        <v>0</v>
      </c>
      <c r="L169" s="21">
        <v>1</v>
      </c>
    </row>
    <row r="170" spans="2:12" ht="18">
      <c r="B170" s="50">
        <v>9</v>
      </c>
      <c r="C170" s="50">
        <v>22</v>
      </c>
      <c r="D170" s="50">
        <v>6</v>
      </c>
      <c r="E170" s="50">
        <v>40</v>
      </c>
      <c r="F170" s="50">
        <v>62</v>
      </c>
      <c r="G170" s="126">
        <v>3</v>
      </c>
      <c r="L170" s="21">
        <v>1</v>
      </c>
    </row>
    <row r="171" spans="2:12" ht="18">
      <c r="B171" s="50">
        <v>9</v>
      </c>
      <c r="C171" s="50">
        <v>20</v>
      </c>
      <c r="D171" s="50">
        <v>10</v>
      </c>
      <c r="E171" s="50">
        <v>8</v>
      </c>
      <c r="F171" s="50">
        <v>12</v>
      </c>
      <c r="G171" s="126">
        <v>3</v>
      </c>
      <c r="L171" s="21">
        <v>1</v>
      </c>
    </row>
    <row r="172" spans="2:12" ht="18">
      <c r="B172" s="50">
        <v>9</v>
      </c>
      <c r="C172" s="50">
        <v>20</v>
      </c>
      <c r="D172" s="50">
        <v>11</v>
      </c>
      <c r="E172" s="50">
        <v>7</v>
      </c>
      <c r="F172" s="50">
        <v>13</v>
      </c>
      <c r="G172" s="126">
        <v>2</v>
      </c>
      <c r="L172" s="21">
        <v>1</v>
      </c>
    </row>
    <row r="173" spans="2:12" ht="18">
      <c r="B173" s="50">
        <v>9</v>
      </c>
      <c r="C173" s="50">
        <v>18</v>
      </c>
      <c r="D173" s="50">
        <v>9</v>
      </c>
      <c r="E173" s="50">
        <v>11</v>
      </c>
      <c r="F173" s="50">
        <v>20</v>
      </c>
      <c r="G173" s="126">
        <v>0</v>
      </c>
      <c r="L173" s="21">
        <v>1</v>
      </c>
    </row>
    <row r="174" spans="2:12" ht="18">
      <c r="B174" s="50">
        <v>9</v>
      </c>
      <c r="C174" s="50">
        <v>18</v>
      </c>
      <c r="D174" s="50">
        <v>10</v>
      </c>
      <c r="E174" s="50">
        <v>7</v>
      </c>
      <c r="F174" s="50">
        <v>21</v>
      </c>
      <c r="G174" s="126">
        <v>2</v>
      </c>
      <c r="L174" s="21">
        <v>1</v>
      </c>
    </row>
    <row r="175" spans="2:12" ht="18">
      <c r="B175" s="50">
        <v>9</v>
      </c>
      <c r="C175" s="50">
        <v>18</v>
      </c>
      <c r="D175" s="50">
        <v>11</v>
      </c>
      <c r="E175" s="50">
        <v>7</v>
      </c>
      <c r="F175" s="50">
        <v>18</v>
      </c>
      <c r="G175" s="126">
        <v>2</v>
      </c>
      <c r="L175" s="21">
        <v>1</v>
      </c>
    </row>
    <row r="176" spans="2:12" ht="18">
      <c r="B176" s="50">
        <v>9</v>
      </c>
      <c r="C176" s="50">
        <v>6</v>
      </c>
      <c r="D176" s="50">
        <v>10</v>
      </c>
      <c r="E176" s="50">
        <v>16</v>
      </c>
      <c r="F176" s="50">
        <v>15</v>
      </c>
      <c r="G176" s="126">
        <v>0</v>
      </c>
      <c r="L176" s="21">
        <v>1</v>
      </c>
    </row>
    <row r="177" spans="2:12" ht="18">
      <c r="B177" s="50">
        <v>9</v>
      </c>
      <c r="C177" s="50">
        <v>6</v>
      </c>
      <c r="D177" s="50">
        <v>11</v>
      </c>
      <c r="E177" s="50">
        <v>9</v>
      </c>
      <c r="F177" s="50">
        <v>7</v>
      </c>
      <c r="G177" s="126">
        <v>0</v>
      </c>
      <c r="L177" s="21">
        <v>1</v>
      </c>
    </row>
    <row r="178" spans="2:12" ht="18">
      <c r="B178" s="50">
        <v>9</v>
      </c>
      <c r="C178" s="50">
        <v>15</v>
      </c>
      <c r="D178" s="50">
        <v>7</v>
      </c>
      <c r="E178" s="50">
        <v>15</v>
      </c>
      <c r="F178" s="50">
        <v>21</v>
      </c>
      <c r="G178" s="126">
        <v>0</v>
      </c>
      <c r="L178" s="21">
        <v>1</v>
      </c>
    </row>
    <row r="179" spans="2:12" ht="18">
      <c r="B179" s="50">
        <v>9</v>
      </c>
      <c r="C179" s="50">
        <v>15</v>
      </c>
      <c r="D179" s="50">
        <v>8</v>
      </c>
      <c r="E179" s="50">
        <v>8</v>
      </c>
      <c r="F179" s="50">
        <v>9</v>
      </c>
      <c r="G179" s="126">
        <v>0</v>
      </c>
      <c r="L179" s="21">
        <v>1</v>
      </c>
    </row>
    <row r="180" spans="2:12" ht="18">
      <c r="B180" s="50">
        <v>9</v>
      </c>
      <c r="C180" s="50">
        <v>1</v>
      </c>
      <c r="D180" s="50">
        <v>8</v>
      </c>
      <c r="E180" s="50">
        <v>10</v>
      </c>
      <c r="F180" s="50">
        <v>15</v>
      </c>
      <c r="G180" s="126">
        <v>0</v>
      </c>
      <c r="L180" s="21">
        <v>1</v>
      </c>
    </row>
    <row r="181" spans="2:12" ht="18">
      <c r="B181" s="50">
        <v>9</v>
      </c>
      <c r="C181" s="50">
        <v>1</v>
      </c>
      <c r="D181" s="50">
        <v>9</v>
      </c>
      <c r="E181" s="50">
        <v>30</v>
      </c>
      <c r="F181" s="50">
        <v>25</v>
      </c>
      <c r="G181" s="126">
        <v>0</v>
      </c>
      <c r="L181" s="21">
        <v>1</v>
      </c>
    </row>
    <row r="182" spans="2:12" ht="18">
      <c r="B182" s="50">
        <v>9</v>
      </c>
      <c r="C182" s="50">
        <v>1</v>
      </c>
      <c r="D182" s="50">
        <v>10</v>
      </c>
      <c r="E182" s="50">
        <v>40</v>
      </c>
      <c r="F182" s="50">
        <v>60</v>
      </c>
      <c r="G182" s="126">
        <v>0</v>
      </c>
      <c r="L182" s="21">
        <v>1</v>
      </c>
    </row>
    <row r="183" spans="2:12" ht="18">
      <c r="B183" s="50">
        <v>9</v>
      </c>
      <c r="C183" s="50">
        <v>9</v>
      </c>
      <c r="D183" s="50">
        <v>11</v>
      </c>
      <c r="E183" s="50">
        <v>7</v>
      </c>
      <c r="F183" s="50">
        <v>4</v>
      </c>
      <c r="G183" s="126">
        <v>0</v>
      </c>
      <c r="L183" s="21">
        <v>1</v>
      </c>
    </row>
    <row r="184" spans="2:12" ht="18">
      <c r="B184" s="50">
        <v>9</v>
      </c>
      <c r="C184" s="50">
        <v>9</v>
      </c>
      <c r="D184" s="50">
        <v>12</v>
      </c>
      <c r="E184" s="50">
        <v>12</v>
      </c>
      <c r="F184" s="50">
        <v>14</v>
      </c>
      <c r="G184" s="126">
        <v>0</v>
      </c>
      <c r="L184" s="21">
        <v>1</v>
      </c>
    </row>
    <row r="185" spans="2:12" ht="18">
      <c r="B185" s="50">
        <v>9</v>
      </c>
      <c r="C185" s="50">
        <v>9</v>
      </c>
      <c r="D185" s="50">
        <v>10</v>
      </c>
      <c r="E185" s="50">
        <v>4</v>
      </c>
      <c r="F185" s="50">
        <v>8</v>
      </c>
      <c r="G185" s="126">
        <v>0</v>
      </c>
      <c r="L185" s="21">
        <v>1</v>
      </c>
    </row>
    <row r="186" spans="2:12" ht="18">
      <c r="B186" s="50">
        <v>9</v>
      </c>
      <c r="C186" s="50">
        <v>13</v>
      </c>
      <c r="D186" s="50">
        <v>12</v>
      </c>
      <c r="E186" s="50">
        <v>15</v>
      </c>
      <c r="F186" s="50">
        <v>9</v>
      </c>
      <c r="G186" s="126">
        <v>0</v>
      </c>
      <c r="L186" s="21">
        <v>1</v>
      </c>
    </row>
    <row r="187" spans="2:12" ht="18">
      <c r="B187" s="50">
        <v>9</v>
      </c>
      <c r="C187" s="50">
        <v>13</v>
      </c>
      <c r="D187" s="50">
        <v>13</v>
      </c>
      <c r="E187" s="50">
        <v>15</v>
      </c>
      <c r="F187" s="50">
        <v>6</v>
      </c>
      <c r="G187" s="126">
        <v>0</v>
      </c>
      <c r="L187" s="21">
        <v>1</v>
      </c>
    </row>
    <row r="188" spans="2:12" ht="18">
      <c r="B188" s="50">
        <v>9</v>
      </c>
      <c r="C188" s="50">
        <v>14</v>
      </c>
      <c r="D188" s="50">
        <v>8</v>
      </c>
      <c r="E188" s="50">
        <v>5</v>
      </c>
      <c r="F188" s="50">
        <v>12</v>
      </c>
      <c r="G188" s="126">
        <v>0</v>
      </c>
      <c r="L188" s="21">
        <v>1</v>
      </c>
    </row>
    <row r="189" spans="2:12" ht="18">
      <c r="B189" s="50">
        <v>9</v>
      </c>
      <c r="C189" s="50">
        <v>14</v>
      </c>
      <c r="D189" s="50">
        <v>9</v>
      </c>
      <c r="E189" s="50">
        <v>8</v>
      </c>
      <c r="F189" s="50">
        <v>9</v>
      </c>
      <c r="G189" s="126">
        <v>0</v>
      </c>
      <c r="L189" s="21">
        <v>1</v>
      </c>
    </row>
    <row r="190" spans="2:12" ht="18">
      <c r="B190" s="50">
        <v>9</v>
      </c>
      <c r="C190" s="50">
        <v>7</v>
      </c>
      <c r="D190" s="50">
        <v>10</v>
      </c>
      <c r="E190" s="50">
        <v>180</v>
      </c>
      <c r="F190" s="50">
        <v>145</v>
      </c>
      <c r="G190" s="126">
        <v>0</v>
      </c>
      <c r="L190" s="21">
        <v>1</v>
      </c>
    </row>
    <row r="191" spans="2:12" ht="18">
      <c r="B191" s="50">
        <v>9</v>
      </c>
      <c r="C191" s="50">
        <v>10</v>
      </c>
      <c r="D191" s="50">
        <v>5</v>
      </c>
      <c r="E191" s="50">
        <v>35</v>
      </c>
      <c r="F191" s="50">
        <v>29</v>
      </c>
      <c r="G191" s="126">
        <v>0</v>
      </c>
      <c r="L191" s="21">
        <v>1</v>
      </c>
    </row>
    <row r="192" spans="2:12" ht="18">
      <c r="B192" s="50">
        <v>9</v>
      </c>
      <c r="C192" s="50">
        <v>10</v>
      </c>
      <c r="D192" s="50">
        <v>4</v>
      </c>
      <c r="E192" s="50">
        <v>20</v>
      </c>
      <c r="F192" s="50">
        <v>60</v>
      </c>
      <c r="G192" s="126">
        <v>0</v>
      </c>
      <c r="L192" s="21">
        <v>1</v>
      </c>
    </row>
    <row r="193" spans="2:12" ht="18">
      <c r="B193" s="50">
        <v>9</v>
      </c>
      <c r="C193" s="50">
        <v>10</v>
      </c>
      <c r="D193" s="50">
        <v>3</v>
      </c>
      <c r="E193" s="50">
        <v>20</v>
      </c>
      <c r="F193" s="50">
        <v>60</v>
      </c>
      <c r="G193" s="126">
        <v>0</v>
      </c>
      <c r="L193" s="21">
        <v>1</v>
      </c>
    </row>
    <row r="194" spans="2:12" ht="18">
      <c r="B194" s="50">
        <v>9</v>
      </c>
      <c r="C194" s="50">
        <v>10</v>
      </c>
      <c r="D194" s="50">
        <v>2</v>
      </c>
      <c r="E194" s="50">
        <v>20</v>
      </c>
      <c r="F194" s="50">
        <v>60</v>
      </c>
      <c r="G194" s="126">
        <v>0</v>
      </c>
      <c r="L194" s="21">
        <v>1</v>
      </c>
    </row>
    <row r="195" spans="2:12" ht="18">
      <c r="B195" s="50">
        <v>9</v>
      </c>
      <c r="C195" s="50">
        <v>10</v>
      </c>
      <c r="D195" s="50">
        <v>1</v>
      </c>
      <c r="E195" s="50">
        <v>20</v>
      </c>
      <c r="F195" s="50">
        <v>60</v>
      </c>
      <c r="G195" s="126">
        <v>0</v>
      </c>
      <c r="L195" s="21">
        <v>1</v>
      </c>
    </row>
    <row r="196" spans="2:12" ht="18">
      <c r="B196" s="50">
        <v>9</v>
      </c>
      <c r="C196" s="50">
        <v>20</v>
      </c>
      <c r="D196" s="50">
        <v>12</v>
      </c>
      <c r="E196" s="50">
        <v>9</v>
      </c>
      <c r="F196" s="50">
        <v>11</v>
      </c>
      <c r="G196" s="126">
        <v>2</v>
      </c>
      <c r="L196" s="21">
        <v>1</v>
      </c>
    </row>
    <row r="197" spans="2:12" ht="18">
      <c r="B197" s="50">
        <v>9</v>
      </c>
      <c r="C197" s="50">
        <v>20</v>
      </c>
      <c r="D197" s="50">
        <v>13</v>
      </c>
      <c r="E197" s="50">
        <v>6</v>
      </c>
      <c r="F197" s="50">
        <v>10</v>
      </c>
      <c r="G197" s="126">
        <v>1</v>
      </c>
      <c r="L197" s="21">
        <v>1</v>
      </c>
    </row>
    <row r="198" spans="2:12" ht="18">
      <c r="B198" s="50">
        <v>9</v>
      </c>
      <c r="C198" s="50">
        <v>6</v>
      </c>
      <c r="D198" s="50">
        <v>12</v>
      </c>
      <c r="E198" s="50">
        <v>19</v>
      </c>
      <c r="F198" s="50">
        <v>22</v>
      </c>
      <c r="G198" s="126">
        <v>0</v>
      </c>
      <c r="L198" s="21">
        <v>1</v>
      </c>
    </row>
    <row r="199" spans="2:12" ht="18">
      <c r="B199" s="50">
        <v>9</v>
      </c>
      <c r="C199" s="50">
        <v>6</v>
      </c>
      <c r="D199" s="50">
        <v>13</v>
      </c>
      <c r="E199" s="50">
        <v>19</v>
      </c>
      <c r="F199" s="50">
        <v>18</v>
      </c>
      <c r="G199" s="126">
        <v>0</v>
      </c>
      <c r="L199" s="21">
        <v>1</v>
      </c>
    </row>
    <row r="200" spans="2:12" ht="18">
      <c r="B200" s="50">
        <v>9</v>
      </c>
      <c r="C200" s="50">
        <v>19</v>
      </c>
      <c r="D200" s="50">
        <v>12</v>
      </c>
      <c r="E200" s="50">
        <v>5</v>
      </c>
      <c r="F200" s="50">
        <v>15</v>
      </c>
      <c r="G200" s="126">
        <v>0</v>
      </c>
      <c r="L200" s="21">
        <v>1</v>
      </c>
    </row>
    <row r="201" spans="2:12" ht="18">
      <c r="B201" s="50">
        <v>9</v>
      </c>
      <c r="C201" s="50">
        <v>19</v>
      </c>
      <c r="D201" s="50">
        <v>13</v>
      </c>
      <c r="E201" s="50">
        <v>8</v>
      </c>
      <c r="F201" s="50">
        <v>15</v>
      </c>
      <c r="G201" s="126">
        <v>2</v>
      </c>
      <c r="L201" s="21">
        <v>1</v>
      </c>
    </row>
    <row r="202" spans="2:12" ht="18">
      <c r="B202" s="50">
        <v>9</v>
      </c>
      <c r="C202" s="50">
        <v>5</v>
      </c>
      <c r="D202" s="50">
        <v>10</v>
      </c>
      <c r="E202" s="50">
        <v>12</v>
      </c>
      <c r="F202" s="50">
        <v>15</v>
      </c>
      <c r="G202" s="126">
        <v>28</v>
      </c>
      <c r="L202" s="21">
        <v>1</v>
      </c>
    </row>
    <row r="203" spans="2:12" ht="18">
      <c r="B203" s="50">
        <v>9</v>
      </c>
      <c r="C203" s="50">
        <v>5</v>
      </c>
      <c r="D203" s="50">
        <v>11</v>
      </c>
      <c r="E203" s="50">
        <v>18</v>
      </c>
      <c r="F203" s="50">
        <v>14</v>
      </c>
      <c r="G203" s="126">
        <v>2</v>
      </c>
      <c r="L203" s="21">
        <v>1</v>
      </c>
    </row>
    <row r="204" spans="2:12" ht="18">
      <c r="B204" s="50">
        <v>9</v>
      </c>
      <c r="C204" s="50">
        <v>5</v>
      </c>
      <c r="D204" s="50">
        <v>12</v>
      </c>
      <c r="E204" s="50">
        <v>16</v>
      </c>
      <c r="F204" s="50">
        <v>19</v>
      </c>
      <c r="G204" s="126">
        <v>8</v>
      </c>
      <c r="L204" s="21">
        <v>1</v>
      </c>
    </row>
    <row r="205" spans="2:12" ht="18">
      <c r="B205" s="50">
        <v>9</v>
      </c>
      <c r="C205" s="50">
        <v>5</v>
      </c>
      <c r="D205" s="50">
        <v>13</v>
      </c>
      <c r="E205" s="50">
        <v>28</v>
      </c>
      <c r="F205" s="50">
        <v>33</v>
      </c>
      <c r="G205" s="126">
        <v>10</v>
      </c>
      <c r="L205" s="21">
        <v>1</v>
      </c>
    </row>
    <row r="206" spans="2:12" ht="18">
      <c r="B206" s="50">
        <v>9</v>
      </c>
      <c r="C206" s="50">
        <v>22</v>
      </c>
      <c r="D206" s="50">
        <v>7</v>
      </c>
      <c r="E206" s="50">
        <v>20</v>
      </c>
      <c r="F206" s="50">
        <v>43</v>
      </c>
      <c r="G206" s="126">
        <v>5</v>
      </c>
      <c r="L206" s="21">
        <v>1</v>
      </c>
    </row>
    <row r="207" spans="2:12" ht="18">
      <c r="B207" s="50">
        <v>9</v>
      </c>
      <c r="C207" s="50">
        <v>13</v>
      </c>
      <c r="D207" s="50">
        <v>14</v>
      </c>
      <c r="E207" s="50">
        <v>8</v>
      </c>
      <c r="F207" s="50">
        <v>10</v>
      </c>
      <c r="G207" s="126">
        <v>0</v>
      </c>
      <c r="L207" s="21">
        <v>1</v>
      </c>
    </row>
    <row r="208" spans="2:12" ht="18">
      <c r="B208" s="50">
        <v>9</v>
      </c>
      <c r="C208" s="50">
        <v>13</v>
      </c>
      <c r="D208" s="50">
        <v>15</v>
      </c>
      <c r="E208" s="50">
        <v>10</v>
      </c>
      <c r="F208" s="50">
        <v>8</v>
      </c>
      <c r="G208" s="126">
        <v>0</v>
      </c>
      <c r="L208" s="21">
        <v>1</v>
      </c>
    </row>
    <row r="209" spans="2:12" ht="18">
      <c r="B209" s="50">
        <v>9</v>
      </c>
      <c r="C209" s="50">
        <v>13</v>
      </c>
      <c r="D209" s="50">
        <v>16</v>
      </c>
      <c r="E209" s="50">
        <v>12</v>
      </c>
      <c r="F209" s="50">
        <v>10</v>
      </c>
      <c r="G209" s="126">
        <v>0</v>
      </c>
      <c r="L209" s="21">
        <v>1</v>
      </c>
    </row>
    <row r="210" spans="2:12" ht="18">
      <c r="B210" s="50">
        <v>9</v>
      </c>
      <c r="C210" s="50">
        <v>8</v>
      </c>
      <c r="D210" s="50">
        <v>11</v>
      </c>
      <c r="E210" s="50">
        <v>64</v>
      </c>
      <c r="F210" s="50">
        <v>44</v>
      </c>
      <c r="G210" s="126">
        <v>0</v>
      </c>
      <c r="L210" s="21">
        <v>1</v>
      </c>
    </row>
    <row r="211" spans="2:12" ht="18">
      <c r="B211" s="50">
        <v>9</v>
      </c>
      <c r="C211" s="50">
        <v>8</v>
      </c>
      <c r="D211" s="50">
        <v>10</v>
      </c>
      <c r="E211" s="50">
        <v>42</v>
      </c>
      <c r="F211" s="50">
        <v>36</v>
      </c>
      <c r="G211" s="126">
        <v>0</v>
      </c>
      <c r="L211" s="21">
        <v>1</v>
      </c>
    </row>
    <row r="212" spans="2:12" ht="18">
      <c r="B212" s="50">
        <v>9</v>
      </c>
      <c r="C212" s="50">
        <v>8</v>
      </c>
      <c r="D212" s="50">
        <v>9</v>
      </c>
      <c r="E212" s="50">
        <v>28</v>
      </c>
      <c r="F212" s="50">
        <v>35</v>
      </c>
      <c r="G212" s="126">
        <v>0</v>
      </c>
      <c r="L212" s="21">
        <v>1</v>
      </c>
    </row>
    <row r="213" spans="2:12" ht="18">
      <c r="B213" s="50">
        <v>9</v>
      </c>
      <c r="C213" s="50">
        <v>2</v>
      </c>
      <c r="D213" s="50">
        <v>11</v>
      </c>
      <c r="E213" s="50">
        <v>210</v>
      </c>
      <c r="F213" s="50">
        <v>198</v>
      </c>
      <c r="G213" s="126">
        <v>0</v>
      </c>
      <c r="L213" s="21">
        <v>1</v>
      </c>
    </row>
    <row r="214" spans="2:12" ht="18">
      <c r="B214" s="50">
        <v>9</v>
      </c>
      <c r="C214" s="50">
        <v>2</v>
      </c>
      <c r="D214" s="50">
        <v>12</v>
      </c>
      <c r="E214" s="50">
        <v>230</v>
      </c>
      <c r="F214" s="50">
        <v>245</v>
      </c>
      <c r="G214" s="126">
        <v>0</v>
      </c>
      <c r="L214" s="21">
        <v>1</v>
      </c>
    </row>
    <row r="215" spans="2:12" ht="18">
      <c r="B215" s="50">
        <v>9</v>
      </c>
      <c r="C215" s="50">
        <v>12</v>
      </c>
      <c r="D215" s="50">
        <v>4</v>
      </c>
      <c r="E215" s="50">
        <v>76</v>
      </c>
      <c r="F215" s="50">
        <v>28</v>
      </c>
      <c r="G215" s="126">
        <v>0</v>
      </c>
      <c r="L215" s="21">
        <v>1</v>
      </c>
    </row>
    <row r="216" spans="2:12" ht="18">
      <c r="B216" s="50">
        <v>9</v>
      </c>
      <c r="C216" s="50">
        <v>12</v>
      </c>
      <c r="D216" s="50">
        <v>5</v>
      </c>
      <c r="E216" s="50">
        <v>32</v>
      </c>
      <c r="F216" s="50">
        <v>21</v>
      </c>
      <c r="G216" s="126">
        <v>0</v>
      </c>
      <c r="L216" s="21">
        <v>1</v>
      </c>
    </row>
    <row r="217" spans="2:12" ht="18">
      <c r="B217" s="50">
        <v>9</v>
      </c>
      <c r="C217" s="50">
        <v>12</v>
      </c>
      <c r="D217" s="50">
        <v>6</v>
      </c>
      <c r="E217" s="50">
        <v>17</v>
      </c>
      <c r="F217" s="50">
        <v>7</v>
      </c>
      <c r="G217" s="126">
        <v>0</v>
      </c>
      <c r="L217" s="21">
        <v>1</v>
      </c>
    </row>
    <row r="218" spans="2:12" ht="18">
      <c r="B218" s="50">
        <v>9</v>
      </c>
      <c r="C218" s="50">
        <v>12</v>
      </c>
      <c r="D218" s="50">
        <v>7</v>
      </c>
      <c r="E218" s="50">
        <v>24</v>
      </c>
      <c r="F218" s="50">
        <v>13</v>
      </c>
      <c r="G218" s="126">
        <v>0</v>
      </c>
      <c r="L218" s="21">
        <v>1</v>
      </c>
    </row>
    <row r="219" spans="2:12" ht="18">
      <c r="B219" s="50">
        <v>9</v>
      </c>
      <c r="C219" s="50">
        <v>12</v>
      </c>
      <c r="D219" s="50">
        <v>8</v>
      </c>
      <c r="E219" s="50">
        <v>36</v>
      </c>
      <c r="F219" s="50">
        <v>23</v>
      </c>
      <c r="G219" s="126">
        <v>0</v>
      </c>
      <c r="L219" s="21">
        <v>1</v>
      </c>
    </row>
    <row r="220" spans="2:12" ht="18">
      <c r="B220" s="50">
        <v>9</v>
      </c>
      <c r="C220" s="50">
        <v>12</v>
      </c>
      <c r="D220" s="50">
        <v>9</v>
      </c>
      <c r="E220" s="50">
        <v>82</v>
      </c>
      <c r="F220" s="50">
        <v>26</v>
      </c>
      <c r="G220" s="126">
        <v>0</v>
      </c>
      <c r="L220" s="21">
        <v>1</v>
      </c>
    </row>
    <row r="221" spans="2:12" ht="18">
      <c r="B221" s="50">
        <v>9</v>
      </c>
      <c r="C221" s="50">
        <v>12</v>
      </c>
      <c r="D221" s="50">
        <v>10</v>
      </c>
      <c r="E221" s="50">
        <v>30</v>
      </c>
      <c r="F221" s="50">
        <v>9</v>
      </c>
      <c r="G221" s="126">
        <v>0</v>
      </c>
      <c r="L221" s="21">
        <v>1</v>
      </c>
    </row>
    <row r="222" spans="2:12" ht="18">
      <c r="B222" s="50">
        <v>9</v>
      </c>
      <c r="C222" s="50">
        <v>9</v>
      </c>
      <c r="D222" s="50">
        <v>11</v>
      </c>
      <c r="E222" s="50">
        <v>7</v>
      </c>
      <c r="F222" s="50">
        <v>4</v>
      </c>
      <c r="G222" s="126">
        <v>0</v>
      </c>
      <c r="L222" s="21">
        <v>1</v>
      </c>
    </row>
    <row r="223" spans="2:12" ht="18">
      <c r="B223" s="50">
        <v>9</v>
      </c>
      <c r="C223" s="50">
        <v>9</v>
      </c>
      <c r="D223" s="50">
        <v>12</v>
      </c>
      <c r="E223" s="50">
        <v>14</v>
      </c>
      <c r="F223" s="50">
        <v>2</v>
      </c>
      <c r="G223" s="126">
        <v>0</v>
      </c>
      <c r="L223" s="21">
        <v>1</v>
      </c>
    </row>
    <row r="224" spans="2:12" ht="18">
      <c r="B224" s="50">
        <v>9</v>
      </c>
      <c r="C224" s="50">
        <v>9</v>
      </c>
      <c r="D224" s="50">
        <v>13</v>
      </c>
      <c r="E224" s="50">
        <v>10</v>
      </c>
      <c r="F224" s="50">
        <v>5</v>
      </c>
      <c r="G224" s="126">
        <v>0</v>
      </c>
      <c r="L224" s="21">
        <v>1</v>
      </c>
    </row>
    <row r="225" spans="2:12" ht="18">
      <c r="B225" s="50">
        <v>9</v>
      </c>
      <c r="C225" s="50">
        <v>9</v>
      </c>
      <c r="D225" s="50">
        <v>14</v>
      </c>
      <c r="E225" s="50">
        <v>2</v>
      </c>
      <c r="F225" s="50">
        <v>0</v>
      </c>
      <c r="G225" s="126">
        <v>0</v>
      </c>
      <c r="L225" s="21">
        <v>1</v>
      </c>
    </row>
    <row r="226" spans="2:12" ht="18">
      <c r="B226" s="50">
        <v>9</v>
      </c>
      <c r="C226" s="50">
        <v>16</v>
      </c>
      <c r="D226" s="50">
        <v>15</v>
      </c>
      <c r="E226" s="50">
        <v>8</v>
      </c>
      <c r="F226" s="50">
        <v>12</v>
      </c>
      <c r="G226" s="126">
        <v>0</v>
      </c>
      <c r="L226" s="21">
        <v>1</v>
      </c>
    </row>
    <row r="227" spans="2:12" ht="18">
      <c r="B227" s="50">
        <v>9</v>
      </c>
      <c r="C227" s="50">
        <v>16</v>
      </c>
      <c r="D227" s="50">
        <v>14</v>
      </c>
      <c r="E227" s="50">
        <v>11</v>
      </c>
      <c r="F227" s="50">
        <v>13</v>
      </c>
      <c r="G227" s="126">
        <v>0</v>
      </c>
      <c r="L227" s="21">
        <v>1</v>
      </c>
    </row>
    <row r="228" spans="2:12" ht="18">
      <c r="B228" s="50">
        <v>9</v>
      </c>
      <c r="C228" s="50">
        <v>16</v>
      </c>
      <c r="D228" s="50">
        <v>13</v>
      </c>
      <c r="E228" s="50">
        <v>10</v>
      </c>
      <c r="F228" s="50">
        <v>11</v>
      </c>
      <c r="G228" s="126">
        <v>0</v>
      </c>
      <c r="L228" s="21">
        <v>1</v>
      </c>
    </row>
    <row r="229" spans="2:12" ht="18">
      <c r="B229" s="50">
        <v>9</v>
      </c>
      <c r="C229" s="50">
        <v>16</v>
      </c>
      <c r="D229" s="50">
        <v>12</v>
      </c>
      <c r="E229" s="50">
        <v>12</v>
      </c>
      <c r="F229" s="50">
        <v>13</v>
      </c>
      <c r="G229" s="126">
        <v>0</v>
      </c>
      <c r="L229" s="21">
        <v>1</v>
      </c>
    </row>
    <row r="230" spans="2:12" ht="18">
      <c r="B230" s="50">
        <v>9</v>
      </c>
      <c r="C230" s="50">
        <v>16</v>
      </c>
      <c r="D230" s="50">
        <v>11</v>
      </c>
      <c r="E230" s="50">
        <v>10</v>
      </c>
      <c r="F230" s="50">
        <v>16</v>
      </c>
      <c r="G230" s="126">
        <v>0</v>
      </c>
      <c r="L230" s="21">
        <v>1</v>
      </c>
    </row>
    <row r="231" spans="2:12" ht="18">
      <c r="B231" s="50">
        <v>9</v>
      </c>
      <c r="C231" s="50">
        <v>16</v>
      </c>
      <c r="D231" s="50">
        <v>10</v>
      </c>
      <c r="E231" s="50">
        <v>7</v>
      </c>
      <c r="F231" s="50">
        <v>13</v>
      </c>
      <c r="G231" s="126">
        <v>0</v>
      </c>
      <c r="L231" s="21">
        <v>1</v>
      </c>
    </row>
    <row r="232" spans="2:12" ht="18">
      <c r="B232" s="50">
        <v>9</v>
      </c>
      <c r="C232" s="50">
        <v>16</v>
      </c>
      <c r="D232" s="50">
        <v>9</v>
      </c>
      <c r="E232" s="50">
        <v>10</v>
      </c>
      <c r="F232" s="50">
        <v>12</v>
      </c>
      <c r="G232" s="126">
        <v>0</v>
      </c>
      <c r="L232" s="21">
        <v>1</v>
      </c>
    </row>
    <row r="233" spans="2:12" ht="18">
      <c r="B233" s="50">
        <v>9</v>
      </c>
      <c r="C233" s="50">
        <v>3</v>
      </c>
      <c r="D233" s="50">
        <v>8</v>
      </c>
      <c r="E233" s="50">
        <v>26</v>
      </c>
      <c r="F233" s="50">
        <v>32</v>
      </c>
      <c r="G233" s="126">
        <v>0</v>
      </c>
      <c r="L233" s="21">
        <v>1</v>
      </c>
    </row>
    <row r="234" spans="2:12" ht="18">
      <c r="B234" s="50">
        <v>9</v>
      </c>
      <c r="C234" s="50">
        <v>3</v>
      </c>
      <c r="D234" s="50">
        <v>7</v>
      </c>
      <c r="E234" s="50">
        <v>40</v>
      </c>
      <c r="F234" s="50">
        <v>29</v>
      </c>
      <c r="G234" s="126">
        <v>0</v>
      </c>
      <c r="L234" s="21">
        <v>1</v>
      </c>
    </row>
    <row r="235" spans="2:12" ht="18">
      <c r="B235" s="50">
        <v>9</v>
      </c>
      <c r="C235" s="50">
        <v>3</v>
      </c>
      <c r="D235" s="50">
        <v>9</v>
      </c>
      <c r="E235" s="50">
        <v>45</v>
      </c>
      <c r="F235" s="50">
        <v>38</v>
      </c>
      <c r="G235" s="126">
        <v>2</v>
      </c>
      <c r="L235" s="21">
        <v>1</v>
      </c>
    </row>
    <row r="236" spans="2:12" ht="18">
      <c r="B236" s="50">
        <v>9</v>
      </c>
      <c r="C236" s="50">
        <v>20</v>
      </c>
      <c r="D236" s="50">
        <v>14</v>
      </c>
      <c r="E236" s="50">
        <v>5</v>
      </c>
      <c r="F236" s="50">
        <v>12</v>
      </c>
      <c r="G236" s="126">
        <v>2</v>
      </c>
      <c r="L236" s="21">
        <v>1</v>
      </c>
    </row>
    <row r="237" spans="2:12" ht="18">
      <c r="B237" s="50">
        <v>9</v>
      </c>
      <c r="C237" s="50">
        <v>20</v>
      </c>
      <c r="D237" s="50">
        <v>15</v>
      </c>
      <c r="E237" s="50">
        <v>7</v>
      </c>
      <c r="F237" s="50">
        <v>11</v>
      </c>
      <c r="G237" s="126">
        <v>1</v>
      </c>
      <c r="L237" s="21">
        <v>1</v>
      </c>
    </row>
    <row r="238" spans="2:12" ht="18">
      <c r="B238" s="50">
        <v>9</v>
      </c>
      <c r="C238" s="50">
        <v>20</v>
      </c>
      <c r="D238" s="50">
        <v>16</v>
      </c>
      <c r="E238" s="50">
        <v>9</v>
      </c>
      <c r="F238" s="50">
        <v>10</v>
      </c>
      <c r="G238" s="126">
        <v>2</v>
      </c>
      <c r="L238" s="21">
        <v>1</v>
      </c>
    </row>
    <row r="239" spans="2:12" ht="18">
      <c r="B239" s="50">
        <v>9</v>
      </c>
      <c r="C239" s="50">
        <v>4</v>
      </c>
      <c r="D239" s="50">
        <v>7</v>
      </c>
      <c r="E239" s="50">
        <v>4</v>
      </c>
      <c r="F239" s="50">
        <v>21</v>
      </c>
      <c r="G239" s="126">
        <v>0</v>
      </c>
      <c r="L239" s="21">
        <v>1</v>
      </c>
    </row>
    <row r="240" spans="2:12" ht="18">
      <c r="B240" s="50">
        <v>9</v>
      </c>
      <c r="C240" s="50">
        <v>4</v>
      </c>
      <c r="D240" s="50">
        <v>8</v>
      </c>
      <c r="E240" s="50">
        <v>19</v>
      </c>
      <c r="F240" s="50">
        <v>32</v>
      </c>
      <c r="G240" s="126">
        <v>0</v>
      </c>
      <c r="L240" s="21">
        <v>1</v>
      </c>
    </row>
    <row r="241" spans="2:12" ht="18">
      <c r="B241" s="50">
        <v>9</v>
      </c>
      <c r="C241" s="50">
        <v>4</v>
      </c>
      <c r="D241" s="50">
        <v>9</v>
      </c>
      <c r="E241" s="50">
        <v>11</v>
      </c>
      <c r="F241" s="50">
        <v>23</v>
      </c>
      <c r="G241" s="126">
        <v>0</v>
      </c>
      <c r="L241" s="21">
        <v>1</v>
      </c>
    </row>
    <row r="242" spans="2:12" ht="18">
      <c r="B242" s="50">
        <v>9</v>
      </c>
      <c r="C242" s="50">
        <v>4</v>
      </c>
      <c r="D242" s="50">
        <v>10</v>
      </c>
      <c r="E242" s="50">
        <v>8</v>
      </c>
      <c r="F242" s="50">
        <v>9</v>
      </c>
      <c r="G242" s="126">
        <v>0</v>
      </c>
      <c r="L242" s="21">
        <v>1</v>
      </c>
    </row>
    <row r="243" spans="2:12" ht="18">
      <c r="B243" s="50">
        <v>9</v>
      </c>
      <c r="C243" s="50">
        <v>13</v>
      </c>
      <c r="D243" s="50">
        <v>17</v>
      </c>
      <c r="E243" s="50">
        <v>11</v>
      </c>
      <c r="F243" s="50">
        <v>13</v>
      </c>
      <c r="G243" s="126">
        <v>0</v>
      </c>
      <c r="L243" s="21">
        <v>1</v>
      </c>
    </row>
    <row r="244" spans="2:12" ht="18">
      <c r="B244" s="50">
        <v>9</v>
      </c>
      <c r="C244" s="50">
        <v>13</v>
      </c>
      <c r="D244" s="50">
        <v>18</v>
      </c>
      <c r="E244" s="50">
        <v>12</v>
      </c>
      <c r="F244" s="50">
        <v>10</v>
      </c>
      <c r="G244" s="126">
        <v>0</v>
      </c>
      <c r="L244" s="21">
        <v>1</v>
      </c>
    </row>
    <row r="245" spans="2:12" ht="18">
      <c r="B245" s="50">
        <v>9</v>
      </c>
      <c r="C245" s="50">
        <v>6</v>
      </c>
      <c r="D245" s="50">
        <v>14</v>
      </c>
      <c r="E245" s="50">
        <v>14</v>
      </c>
      <c r="F245" s="50">
        <v>16</v>
      </c>
      <c r="G245" s="126">
        <v>0</v>
      </c>
      <c r="L245" s="21">
        <v>1</v>
      </c>
    </row>
    <row r="246" spans="2:12" ht="18">
      <c r="B246" s="50">
        <v>9</v>
      </c>
      <c r="C246" s="50">
        <v>20</v>
      </c>
      <c r="D246" s="50">
        <v>17</v>
      </c>
      <c r="E246" s="50">
        <v>12</v>
      </c>
      <c r="F246" s="50">
        <v>6</v>
      </c>
      <c r="G246" s="126">
        <v>1</v>
      </c>
      <c r="L246" s="21">
        <v>1</v>
      </c>
    </row>
    <row r="247" spans="2:12" ht="18">
      <c r="B247" s="50">
        <v>9</v>
      </c>
      <c r="C247" s="50">
        <v>20</v>
      </c>
      <c r="D247" s="50">
        <v>18</v>
      </c>
      <c r="E247" s="50">
        <v>4</v>
      </c>
      <c r="F247" s="50">
        <v>11</v>
      </c>
      <c r="G247" s="126">
        <v>2</v>
      </c>
      <c r="L247" s="21">
        <v>1</v>
      </c>
    </row>
    <row r="248" spans="2:12" ht="18">
      <c r="B248" s="50"/>
      <c r="C248" s="50"/>
      <c r="D248" s="50"/>
      <c r="E248" s="50"/>
      <c r="F248" s="50"/>
      <c r="G248" s="126"/>
      <c r="L248" s="21">
        <v>1</v>
      </c>
    </row>
    <row r="249" spans="2:12" ht="18">
      <c r="B249" s="50"/>
      <c r="C249" s="50"/>
      <c r="D249" s="50"/>
      <c r="E249" s="50"/>
      <c r="F249" s="50"/>
      <c r="G249" s="126"/>
      <c r="L249" s="21">
        <v>1</v>
      </c>
    </row>
    <row r="250" spans="2:12" ht="18">
      <c r="B250" s="50"/>
      <c r="C250" s="50"/>
      <c r="D250" s="50"/>
      <c r="E250" s="50"/>
      <c r="F250" s="50"/>
      <c r="G250" s="126"/>
      <c r="L250" s="21">
        <v>1</v>
      </c>
    </row>
    <row r="251" spans="2:12" ht="18">
      <c r="B251" s="50"/>
      <c r="C251" s="50"/>
      <c r="D251" s="50"/>
      <c r="E251" s="50"/>
      <c r="F251" s="50"/>
      <c r="G251" s="126"/>
      <c r="L251" s="21">
        <v>1</v>
      </c>
    </row>
    <row r="252" spans="2:12" ht="18">
      <c r="B252" s="50"/>
      <c r="C252" s="50"/>
      <c r="D252" s="50"/>
      <c r="E252" s="50"/>
      <c r="F252" s="50"/>
      <c r="G252" s="126"/>
      <c r="L252" s="21">
        <v>1</v>
      </c>
    </row>
    <row r="253" spans="2:12" ht="18">
      <c r="B253" s="50"/>
      <c r="C253" s="50"/>
      <c r="D253" s="50"/>
      <c r="E253" s="50"/>
      <c r="F253" s="50"/>
      <c r="G253" s="126"/>
      <c r="L253" s="21">
        <v>1</v>
      </c>
    </row>
    <row r="254" spans="2:12" ht="18">
      <c r="B254" s="50"/>
      <c r="C254" s="50"/>
      <c r="D254" s="50"/>
      <c r="E254" s="50"/>
      <c r="F254" s="50"/>
      <c r="G254" s="126"/>
      <c r="L254" s="21">
        <v>1</v>
      </c>
    </row>
    <row r="255" spans="2:12" ht="18">
      <c r="B255" s="50"/>
      <c r="C255" s="50"/>
      <c r="D255" s="50"/>
      <c r="E255" s="50"/>
      <c r="F255" s="50"/>
      <c r="G255" s="126"/>
      <c r="L255" s="21">
        <v>1</v>
      </c>
    </row>
    <row r="256" spans="2:12" ht="18">
      <c r="B256" s="50"/>
      <c r="C256" s="50"/>
      <c r="D256" s="50"/>
      <c r="E256" s="50"/>
      <c r="F256" s="50"/>
      <c r="G256" s="126"/>
      <c r="L256" s="21">
        <v>1</v>
      </c>
    </row>
    <row r="257" spans="2:12" ht="18">
      <c r="B257" s="50"/>
      <c r="C257" s="50"/>
      <c r="D257" s="50"/>
      <c r="E257" s="50"/>
      <c r="F257" s="50"/>
      <c r="G257" s="126"/>
      <c r="L257" s="21">
        <v>1</v>
      </c>
    </row>
    <row r="258" spans="2:12" ht="18">
      <c r="B258" s="50"/>
      <c r="C258" s="50"/>
      <c r="D258" s="50"/>
      <c r="E258" s="50"/>
      <c r="F258" s="50"/>
      <c r="G258" s="126"/>
      <c r="L258" s="21">
        <v>1</v>
      </c>
    </row>
    <row r="259" spans="2:12" ht="18">
      <c r="B259" s="50"/>
      <c r="C259" s="50"/>
      <c r="D259" s="50"/>
      <c r="E259" s="50"/>
      <c r="F259" s="50"/>
      <c r="G259" s="126"/>
      <c r="L259" s="21">
        <v>1</v>
      </c>
    </row>
    <row r="260" spans="2:12" ht="18">
      <c r="B260" s="50"/>
      <c r="C260" s="50"/>
      <c r="D260" s="50"/>
      <c r="E260" s="50"/>
      <c r="F260" s="50"/>
      <c r="G260" s="126"/>
      <c r="L260" s="21">
        <v>1</v>
      </c>
    </row>
    <row r="261" spans="2:12" ht="18">
      <c r="B261" s="50"/>
      <c r="C261" s="50"/>
      <c r="D261" s="50"/>
      <c r="E261" s="50"/>
      <c r="F261" s="50"/>
      <c r="G261" s="126"/>
      <c r="L261" s="21">
        <v>1</v>
      </c>
    </row>
    <row r="262" spans="2:12" ht="18">
      <c r="B262" s="50"/>
      <c r="C262" s="50"/>
      <c r="D262" s="50"/>
      <c r="E262" s="50"/>
      <c r="F262" s="50"/>
      <c r="G262" s="126"/>
      <c r="L262" s="21">
        <v>1</v>
      </c>
    </row>
    <row r="263" spans="2:12" ht="18">
      <c r="B263" s="50"/>
      <c r="C263" s="50"/>
      <c r="D263" s="50"/>
      <c r="E263" s="50"/>
      <c r="F263" s="50"/>
      <c r="G263" s="126"/>
      <c r="L263" s="21">
        <v>1</v>
      </c>
    </row>
    <row r="264" spans="2:12" ht="18">
      <c r="B264" s="50"/>
      <c r="C264" s="50"/>
      <c r="D264" s="50"/>
      <c r="E264" s="50"/>
      <c r="F264" s="50"/>
      <c r="G264" s="126"/>
      <c r="L264" s="21">
        <v>1</v>
      </c>
    </row>
    <row r="265" spans="2:12" ht="18">
      <c r="B265" s="50"/>
      <c r="C265" s="50"/>
      <c r="D265" s="50"/>
      <c r="E265" s="50"/>
      <c r="F265" s="50"/>
      <c r="G265" s="126"/>
      <c r="L265" s="21">
        <v>1</v>
      </c>
    </row>
    <row r="266" spans="2:12" ht="18">
      <c r="B266" s="50"/>
      <c r="C266" s="50"/>
      <c r="D266" s="50"/>
      <c r="E266" s="50"/>
      <c r="F266" s="50"/>
      <c r="G266" s="126"/>
      <c r="L266" s="21">
        <v>1</v>
      </c>
    </row>
    <row r="267" spans="2:12" ht="18">
      <c r="B267" s="50"/>
      <c r="C267" s="50"/>
      <c r="D267" s="50"/>
      <c r="E267" s="50"/>
      <c r="F267" s="50"/>
      <c r="G267" s="126"/>
      <c r="L267" s="21">
        <v>1</v>
      </c>
    </row>
    <row r="268" spans="2:12" ht="18">
      <c r="B268" s="50"/>
      <c r="C268" s="50"/>
      <c r="D268" s="50"/>
      <c r="E268" s="50"/>
      <c r="F268" s="50"/>
      <c r="G268" s="126"/>
      <c r="L268" s="21">
        <v>1</v>
      </c>
    </row>
    <row r="269" spans="2:12" ht="18">
      <c r="B269" s="50"/>
      <c r="C269" s="50"/>
      <c r="D269" s="50"/>
      <c r="E269" s="50"/>
      <c r="F269" s="50"/>
      <c r="G269" s="126"/>
      <c r="L269" s="21">
        <v>1</v>
      </c>
    </row>
    <row r="270" spans="2:12" ht="18">
      <c r="B270" s="50"/>
      <c r="C270" s="50"/>
      <c r="D270" s="50"/>
      <c r="E270" s="50"/>
      <c r="F270" s="50"/>
      <c r="G270" s="126"/>
      <c r="L270" s="21">
        <v>1</v>
      </c>
    </row>
    <row r="271" spans="2:12" ht="18">
      <c r="B271" s="50"/>
      <c r="C271" s="50"/>
      <c r="D271" s="50"/>
      <c r="E271" s="50"/>
      <c r="F271" s="50"/>
      <c r="G271" s="126"/>
      <c r="L271" s="21">
        <v>1</v>
      </c>
    </row>
    <row r="272" spans="2:12" ht="18">
      <c r="B272" s="50"/>
      <c r="C272" s="50"/>
      <c r="D272" s="50"/>
      <c r="E272" s="50"/>
      <c r="F272" s="50"/>
      <c r="G272" s="126"/>
      <c r="L272" s="21">
        <v>1</v>
      </c>
    </row>
    <row r="273" spans="2:12" ht="18">
      <c r="B273" s="50"/>
      <c r="C273" s="50"/>
      <c r="D273" s="50"/>
      <c r="E273" s="50"/>
      <c r="F273" s="50"/>
      <c r="G273" s="126"/>
      <c r="L273" s="21">
        <v>1</v>
      </c>
    </row>
    <row r="274" spans="2:12" ht="18">
      <c r="B274" s="50"/>
      <c r="C274" s="50"/>
      <c r="D274" s="50"/>
      <c r="E274" s="50"/>
      <c r="F274" s="50"/>
      <c r="G274" s="126"/>
      <c r="L274" s="21">
        <v>1</v>
      </c>
    </row>
    <row r="275" spans="2:12" ht="18">
      <c r="B275" s="50"/>
      <c r="C275" s="50"/>
      <c r="D275" s="50"/>
      <c r="E275" s="50"/>
      <c r="F275" s="50"/>
      <c r="G275" s="126"/>
      <c r="L275" s="21">
        <v>1</v>
      </c>
    </row>
    <row r="276" spans="2:12" ht="18">
      <c r="B276" s="50"/>
      <c r="C276" s="50"/>
      <c r="D276" s="50"/>
      <c r="E276" s="50"/>
      <c r="F276" s="50"/>
      <c r="G276" s="126"/>
      <c r="L276" s="21">
        <v>1</v>
      </c>
    </row>
    <row r="277" spans="2:12" ht="18">
      <c r="B277" s="50"/>
      <c r="C277" s="50"/>
      <c r="D277" s="50"/>
      <c r="E277" s="50"/>
      <c r="F277" s="50"/>
      <c r="G277" s="126"/>
      <c r="L277" s="21">
        <v>1</v>
      </c>
    </row>
    <row r="278" spans="2:12" ht="18">
      <c r="B278" s="50"/>
      <c r="C278" s="50"/>
      <c r="D278" s="50"/>
      <c r="E278" s="50"/>
      <c r="F278" s="50"/>
      <c r="G278" s="126"/>
      <c r="L278" s="21">
        <v>1</v>
      </c>
    </row>
    <row r="279" spans="2:12" ht="18">
      <c r="B279" s="50"/>
      <c r="C279" s="50"/>
      <c r="D279" s="50"/>
      <c r="E279" s="50"/>
      <c r="F279" s="50"/>
      <c r="G279" s="126"/>
      <c r="L279" s="21">
        <v>1</v>
      </c>
    </row>
    <row r="280" spans="2:12" ht="18">
      <c r="B280" s="50"/>
      <c r="C280" s="50"/>
      <c r="D280" s="50"/>
      <c r="E280" s="50"/>
      <c r="F280" s="50"/>
      <c r="G280" s="126"/>
      <c r="L280" s="21">
        <v>1</v>
      </c>
    </row>
    <row r="281" spans="2:12" ht="18">
      <c r="B281" s="50"/>
      <c r="C281" s="50"/>
      <c r="D281" s="50"/>
      <c r="E281" s="50"/>
      <c r="F281" s="50"/>
      <c r="G281" s="126"/>
      <c r="L281" s="21">
        <v>1</v>
      </c>
    </row>
    <row r="282" spans="2:12" ht="18">
      <c r="B282" s="50"/>
      <c r="C282" s="50"/>
      <c r="D282" s="50"/>
      <c r="E282" s="50"/>
      <c r="F282" s="50"/>
      <c r="G282" s="126"/>
      <c r="L282" s="21">
        <v>1</v>
      </c>
    </row>
    <row r="283" spans="2:12" ht="18">
      <c r="B283" s="50"/>
      <c r="C283" s="50"/>
      <c r="D283" s="50"/>
      <c r="E283" s="50"/>
      <c r="F283" s="50"/>
      <c r="G283" s="126"/>
      <c r="L283" s="21">
        <v>1</v>
      </c>
    </row>
    <row r="284" spans="2:12" ht="18">
      <c r="B284" s="50"/>
      <c r="C284" s="50"/>
      <c r="D284" s="50"/>
      <c r="E284" s="50"/>
      <c r="F284" s="50"/>
      <c r="G284" s="126"/>
      <c r="L284" s="21">
        <v>1</v>
      </c>
    </row>
    <row r="285" spans="2:12" ht="18">
      <c r="B285" s="50"/>
      <c r="C285" s="50"/>
      <c r="D285" s="50"/>
      <c r="E285" s="50"/>
      <c r="F285" s="50"/>
      <c r="G285" s="126"/>
      <c r="L285" s="21">
        <v>1</v>
      </c>
    </row>
    <row r="286" spans="2:12" ht="18">
      <c r="B286" s="50"/>
      <c r="C286" s="50"/>
      <c r="D286" s="50"/>
      <c r="E286" s="50"/>
      <c r="F286" s="50"/>
      <c r="G286" s="126"/>
      <c r="L286" s="21">
        <v>1</v>
      </c>
    </row>
    <row r="287" spans="2:12" ht="18">
      <c r="B287" s="50"/>
      <c r="C287" s="50"/>
      <c r="D287" s="50"/>
      <c r="E287" s="50"/>
      <c r="F287" s="50"/>
      <c r="G287" s="126"/>
      <c r="L287" s="21">
        <v>1</v>
      </c>
    </row>
    <row r="288" spans="2:12" ht="18">
      <c r="B288" s="50"/>
      <c r="C288" s="50"/>
      <c r="D288" s="50"/>
      <c r="E288" s="50"/>
      <c r="F288" s="50"/>
      <c r="G288" s="126"/>
      <c r="L288" s="21">
        <v>1</v>
      </c>
    </row>
    <row r="289" spans="2:12" ht="18">
      <c r="B289" s="50"/>
      <c r="C289" s="50"/>
      <c r="D289" s="50"/>
      <c r="E289" s="50"/>
      <c r="F289" s="50"/>
      <c r="G289" s="126"/>
      <c r="L289" s="21">
        <v>1</v>
      </c>
    </row>
    <row r="290" spans="2:12" ht="18">
      <c r="B290" s="50"/>
      <c r="C290" s="50"/>
      <c r="D290" s="50"/>
      <c r="E290" s="50"/>
      <c r="F290" s="50"/>
      <c r="G290" s="126"/>
      <c r="L290" s="21">
        <v>1</v>
      </c>
    </row>
    <row r="291" spans="2:12" ht="18">
      <c r="B291" s="50"/>
      <c r="C291" s="50"/>
      <c r="D291" s="50"/>
      <c r="E291" s="50"/>
      <c r="F291" s="50"/>
      <c r="G291" s="126"/>
      <c r="L291" s="21">
        <v>1</v>
      </c>
    </row>
    <row r="292" spans="2:12" ht="18">
      <c r="B292" s="50"/>
      <c r="C292" s="50"/>
      <c r="D292" s="50"/>
      <c r="E292" s="50"/>
      <c r="F292" s="50"/>
      <c r="G292" s="126"/>
      <c r="L292" s="21">
        <v>1</v>
      </c>
    </row>
    <row r="293" spans="2:12" ht="18">
      <c r="B293" s="50"/>
      <c r="C293" s="50"/>
      <c r="D293" s="50"/>
      <c r="E293" s="50"/>
      <c r="F293" s="50"/>
      <c r="G293" s="126"/>
      <c r="L293" s="21">
        <v>1</v>
      </c>
    </row>
    <row r="294" spans="2:12" ht="18">
      <c r="B294" s="50"/>
      <c r="C294" s="50"/>
      <c r="D294" s="50"/>
      <c r="E294" s="50"/>
      <c r="F294" s="50"/>
      <c r="G294" s="126"/>
      <c r="L294" s="21">
        <v>1</v>
      </c>
    </row>
    <row r="295" spans="2:12" ht="18">
      <c r="B295" s="50"/>
      <c r="C295" s="50"/>
      <c r="D295" s="50"/>
      <c r="E295" s="50"/>
      <c r="F295" s="50"/>
      <c r="G295" s="126"/>
      <c r="L295" s="21">
        <v>1</v>
      </c>
    </row>
    <row r="296" spans="2:12" ht="18">
      <c r="B296" s="50"/>
      <c r="C296" s="50"/>
      <c r="D296" s="50"/>
      <c r="E296" s="50"/>
      <c r="F296" s="50"/>
      <c r="G296" s="126"/>
      <c r="L296" s="21">
        <v>1</v>
      </c>
    </row>
    <row r="297" spans="2:12" ht="18">
      <c r="B297" s="50"/>
      <c r="C297" s="50"/>
      <c r="D297" s="50"/>
      <c r="E297" s="50"/>
      <c r="F297" s="50"/>
      <c r="G297" s="126"/>
      <c r="L297" s="21">
        <v>1</v>
      </c>
    </row>
    <row r="298" spans="2:12" ht="18">
      <c r="B298" s="50"/>
      <c r="C298" s="50"/>
      <c r="D298" s="50"/>
      <c r="E298" s="50"/>
      <c r="F298" s="50"/>
      <c r="G298" s="126"/>
      <c r="L298" s="21">
        <v>1</v>
      </c>
    </row>
    <row r="299" spans="2:12" ht="18">
      <c r="B299" s="50"/>
      <c r="C299" s="50"/>
      <c r="D299" s="50"/>
      <c r="E299" s="50"/>
      <c r="F299" s="50"/>
      <c r="G299" s="126"/>
      <c r="L299" s="21">
        <v>1</v>
      </c>
    </row>
    <row r="300" spans="2:12" ht="18">
      <c r="B300" s="50"/>
      <c r="C300" s="50"/>
      <c r="D300" s="50"/>
      <c r="E300" s="50"/>
      <c r="F300" s="50"/>
      <c r="G300" s="126"/>
      <c r="L300" s="21">
        <v>1</v>
      </c>
    </row>
    <row r="301" spans="2:12" ht="18">
      <c r="B301" s="50"/>
      <c r="C301" s="50"/>
      <c r="D301" s="50"/>
      <c r="E301" s="50"/>
      <c r="F301" s="50"/>
      <c r="G301" s="126"/>
      <c r="L301" s="21">
        <v>1</v>
      </c>
    </row>
    <row r="302" spans="2:12" ht="18">
      <c r="B302" s="50"/>
      <c r="C302" s="50"/>
      <c r="D302" s="50"/>
      <c r="E302" s="50"/>
      <c r="F302" s="50"/>
      <c r="G302" s="126"/>
      <c r="L302" s="21">
        <v>1</v>
      </c>
    </row>
    <row r="303" spans="2:12" ht="18">
      <c r="B303" s="50"/>
      <c r="C303" s="50"/>
      <c r="D303" s="50"/>
      <c r="E303" s="50"/>
      <c r="F303" s="50"/>
      <c r="G303" s="126"/>
      <c r="L303" s="21">
        <v>1</v>
      </c>
    </row>
    <row r="304" spans="2:12" ht="18">
      <c r="B304" s="50"/>
      <c r="C304" s="50"/>
      <c r="D304" s="50"/>
      <c r="E304" s="50"/>
      <c r="F304" s="50"/>
      <c r="G304" s="126"/>
      <c r="L304" s="21">
        <v>1</v>
      </c>
    </row>
    <row r="305" spans="2:12" ht="18">
      <c r="B305" s="50"/>
      <c r="C305" s="50"/>
      <c r="D305" s="50"/>
      <c r="E305" s="50"/>
      <c r="F305" s="50"/>
      <c r="G305" s="126"/>
      <c r="L305" s="21">
        <v>1</v>
      </c>
    </row>
    <row r="306" spans="2:12" ht="18">
      <c r="B306" s="50"/>
      <c r="C306" s="50"/>
      <c r="D306" s="50"/>
      <c r="E306" s="50"/>
      <c r="F306" s="50"/>
      <c r="G306" s="126"/>
      <c r="L306" s="21">
        <v>1</v>
      </c>
    </row>
    <row r="307" spans="2:12" ht="18">
      <c r="B307" s="50"/>
      <c r="C307" s="50"/>
      <c r="D307" s="50"/>
      <c r="E307" s="50"/>
      <c r="F307" s="50"/>
      <c r="G307" s="126"/>
      <c r="L307" s="21">
        <v>1</v>
      </c>
    </row>
    <row r="308" spans="2:12" ht="18">
      <c r="B308" s="50"/>
      <c r="C308" s="50"/>
      <c r="D308" s="50"/>
      <c r="E308" s="50"/>
      <c r="F308" s="50"/>
      <c r="G308" s="126"/>
      <c r="L308" s="21">
        <v>1</v>
      </c>
    </row>
    <row r="309" spans="2:12" ht="18">
      <c r="B309" s="50"/>
      <c r="C309" s="50"/>
      <c r="D309" s="50"/>
      <c r="E309" s="50"/>
      <c r="F309" s="50"/>
      <c r="G309" s="126"/>
      <c r="L309" s="21">
        <v>1</v>
      </c>
    </row>
    <row r="310" spans="2:12" ht="18">
      <c r="B310" s="50"/>
      <c r="C310" s="50"/>
      <c r="D310" s="50"/>
      <c r="E310" s="50"/>
      <c r="F310" s="50"/>
      <c r="G310" s="126"/>
      <c r="L310" s="21">
        <v>1</v>
      </c>
    </row>
    <row r="311" spans="2:12" ht="18">
      <c r="B311" s="50"/>
      <c r="C311" s="50"/>
      <c r="D311" s="50"/>
      <c r="E311" s="50"/>
      <c r="F311" s="50"/>
      <c r="G311" s="126"/>
      <c r="L311" s="21">
        <v>1</v>
      </c>
    </row>
    <row r="312" spans="2:12" ht="18">
      <c r="B312" s="50"/>
      <c r="C312" s="50"/>
      <c r="D312" s="50"/>
      <c r="E312" s="50"/>
      <c r="F312" s="50"/>
      <c r="G312" s="126"/>
      <c r="L312" s="21">
        <v>1</v>
      </c>
    </row>
    <row r="313" spans="2:12" ht="18">
      <c r="B313" s="50"/>
      <c r="C313" s="50"/>
      <c r="D313" s="50"/>
      <c r="E313" s="50"/>
      <c r="F313" s="50"/>
      <c r="G313" s="126"/>
      <c r="L313" s="21">
        <v>1</v>
      </c>
    </row>
    <row r="314" spans="2:12" ht="18">
      <c r="B314" s="50"/>
      <c r="C314" s="50"/>
      <c r="D314" s="50"/>
      <c r="E314" s="50"/>
      <c r="F314" s="50"/>
      <c r="G314" s="126"/>
      <c r="L314" s="21">
        <v>1</v>
      </c>
    </row>
    <row r="315" spans="2:12" ht="18">
      <c r="B315" s="50"/>
      <c r="C315" s="50"/>
      <c r="D315" s="50"/>
      <c r="E315" s="50"/>
      <c r="F315" s="50"/>
      <c r="G315" s="126"/>
      <c r="L315" s="21">
        <v>1</v>
      </c>
    </row>
    <row r="316" spans="2:12" ht="18">
      <c r="B316" s="50"/>
      <c r="C316" s="50"/>
      <c r="D316" s="50"/>
      <c r="E316" s="50"/>
      <c r="F316" s="50"/>
      <c r="G316" s="126"/>
      <c r="L316" s="21">
        <v>1</v>
      </c>
    </row>
    <row r="317" spans="2:12" ht="18">
      <c r="B317" s="50"/>
      <c r="C317" s="50"/>
      <c r="D317" s="50"/>
      <c r="E317" s="50"/>
      <c r="F317" s="50"/>
      <c r="G317" s="126"/>
      <c r="L317" s="21">
        <v>1</v>
      </c>
    </row>
    <row r="318" spans="2:12" ht="18">
      <c r="B318" s="50"/>
      <c r="C318" s="50"/>
      <c r="D318" s="50"/>
      <c r="E318" s="50"/>
      <c r="F318" s="50"/>
      <c r="G318" s="126"/>
      <c r="L318" s="21">
        <v>1</v>
      </c>
    </row>
    <row r="319" spans="2:12" ht="18">
      <c r="B319" s="50"/>
      <c r="C319" s="50"/>
      <c r="D319" s="50"/>
      <c r="E319" s="50"/>
      <c r="F319" s="50"/>
      <c r="G319" s="126"/>
      <c r="L319" s="21">
        <v>1</v>
      </c>
    </row>
    <row r="320" spans="2:12" ht="18">
      <c r="B320" s="50"/>
      <c r="C320" s="50"/>
      <c r="D320" s="50"/>
      <c r="E320" s="50"/>
      <c r="F320" s="50"/>
      <c r="G320" s="126"/>
      <c r="L320" s="21">
        <v>1</v>
      </c>
    </row>
    <row r="321" spans="2:12" ht="18">
      <c r="B321" s="50"/>
      <c r="C321" s="50"/>
      <c r="D321" s="50"/>
      <c r="E321" s="50"/>
      <c r="F321" s="50"/>
      <c r="G321" s="126"/>
      <c r="L321" s="21">
        <v>1</v>
      </c>
    </row>
    <row r="322" spans="2:12" ht="18">
      <c r="B322" s="50"/>
      <c r="C322" s="50"/>
      <c r="D322" s="50"/>
      <c r="E322" s="50"/>
      <c r="F322" s="50"/>
      <c r="G322" s="126"/>
      <c r="L322" s="21">
        <v>1</v>
      </c>
    </row>
    <row r="323" spans="2:12" ht="18">
      <c r="B323" s="50"/>
      <c r="C323" s="50"/>
      <c r="D323" s="50"/>
      <c r="E323" s="50"/>
      <c r="F323" s="50"/>
      <c r="G323" s="126"/>
      <c r="L323" s="21">
        <v>1</v>
      </c>
    </row>
    <row r="324" spans="2:12" ht="18">
      <c r="B324" s="50"/>
      <c r="C324" s="50"/>
      <c r="D324" s="50"/>
      <c r="E324" s="50"/>
      <c r="F324" s="50"/>
      <c r="G324" s="126"/>
      <c r="L324" s="21">
        <v>1</v>
      </c>
    </row>
    <row r="325" spans="2:12" ht="18">
      <c r="B325" s="50"/>
      <c r="C325" s="50"/>
      <c r="D325" s="50"/>
      <c r="E325" s="50"/>
      <c r="F325" s="50"/>
      <c r="G325" s="126"/>
      <c r="L325" s="21">
        <v>1</v>
      </c>
    </row>
    <row r="326" spans="2:12" ht="18">
      <c r="B326" s="50"/>
      <c r="C326" s="50"/>
      <c r="D326" s="50"/>
      <c r="E326" s="50"/>
      <c r="F326" s="50"/>
      <c r="G326" s="126"/>
      <c r="L326" s="21">
        <v>1</v>
      </c>
    </row>
    <row r="327" spans="2:12" ht="18">
      <c r="B327" s="50"/>
      <c r="C327" s="50"/>
      <c r="D327" s="50"/>
      <c r="E327" s="50"/>
      <c r="F327" s="50"/>
      <c r="G327" s="126"/>
      <c r="L327" s="21">
        <v>1</v>
      </c>
    </row>
    <row r="328" spans="2:12" ht="18">
      <c r="B328" s="50"/>
      <c r="C328" s="50"/>
      <c r="D328" s="50"/>
      <c r="E328" s="50"/>
      <c r="F328" s="50"/>
      <c r="G328" s="126"/>
      <c r="L328" s="21">
        <v>1</v>
      </c>
    </row>
    <row r="329" spans="2:12" ht="18">
      <c r="B329" s="50"/>
      <c r="C329" s="50"/>
      <c r="D329" s="50"/>
      <c r="E329" s="50"/>
      <c r="F329" s="50"/>
      <c r="G329" s="126"/>
      <c r="L329" s="21">
        <v>1</v>
      </c>
    </row>
    <row r="330" spans="2:12" ht="18">
      <c r="B330" s="50"/>
      <c r="C330" s="50"/>
      <c r="D330" s="50"/>
      <c r="E330" s="50"/>
      <c r="F330" s="50"/>
      <c r="G330" s="126"/>
      <c r="L330" s="21">
        <v>1</v>
      </c>
    </row>
    <row r="331" spans="2:12" ht="18">
      <c r="B331" s="50"/>
      <c r="C331" s="50"/>
      <c r="D331" s="50"/>
      <c r="E331" s="50"/>
      <c r="F331" s="50"/>
      <c r="G331" s="126"/>
      <c r="L331" s="21">
        <v>1</v>
      </c>
    </row>
    <row r="332" spans="2:12" ht="18">
      <c r="B332" s="50"/>
      <c r="C332" s="50"/>
      <c r="D332" s="50"/>
      <c r="E332" s="50"/>
      <c r="F332" s="50"/>
      <c r="G332" s="126"/>
      <c r="L332" s="21">
        <v>1</v>
      </c>
    </row>
    <row r="333" spans="2:12" ht="18">
      <c r="B333" s="50"/>
      <c r="C333" s="50"/>
      <c r="D333" s="50"/>
      <c r="E333" s="50"/>
      <c r="F333" s="50"/>
      <c r="G333" s="126"/>
      <c r="L333" s="21">
        <v>1</v>
      </c>
    </row>
    <row r="334" spans="2:12" ht="18">
      <c r="B334" s="50"/>
      <c r="C334" s="50"/>
      <c r="D334" s="50"/>
      <c r="E334" s="50"/>
      <c r="F334" s="50"/>
      <c r="G334" s="126"/>
      <c r="L334" s="21">
        <v>1</v>
      </c>
    </row>
    <row r="335" spans="2:12" ht="18">
      <c r="B335" s="50"/>
      <c r="C335" s="50"/>
      <c r="D335" s="50"/>
      <c r="E335" s="50"/>
      <c r="F335" s="50"/>
      <c r="G335" s="126"/>
      <c r="L335" s="21">
        <v>1</v>
      </c>
    </row>
    <row r="336" spans="2:12" ht="18">
      <c r="B336" s="50"/>
      <c r="C336" s="50"/>
      <c r="D336" s="50"/>
      <c r="E336" s="50"/>
      <c r="F336" s="50"/>
      <c r="G336" s="126"/>
      <c r="L336" s="21">
        <v>1</v>
      </c>
    </row>
    <row r="337" spans="2:12" ht="18">
      <c r="B337" s="50"/>
      <c r="C337" s="50"/>
      <c r="D337" s="50"/>
      <c r="E337" s="50"/>
      <c r="F337" s="50"/>
      <c r="G337" s="126"/>
      <c r="L337" s="21">
        <v>1</v>
      </c>
    </row>
    <row r="338" spans="2:12" ht="18">
      <c r="B338" s="50"/>
      <c r="C338" s="50"/>
      <c r="D338" s="50"/>
      <c r="E338" s="50"/>
      <c r="F338" s="50"/>
      <c r="G338" s="126"/>
      <c r="L338" s="21">
        <v>1</v>
      </c>
    </row>
    <row r="339" spans="2:12" ht="18">
      <c r="B339" s="50"/>
      <c r="C339" s="50"/>
      <c r="D339" s="50"/>
      <c r="E339" s="50"/>
      <c r="F339" s="50"/>
      <c r="G339" s="126"/>
      <c r="L339" s="21">
        <v>1</v>
      </c>
    </row>
    <row r="340" spans="2:12" ht="18">
      <c r="B340" s="50"/>
      <c r="C340" s="50"/>
      <c r="D340" s="50"/>
      <c r="E340" s="50"/>
      <c r="F340" s="50"/>
      <c r="G340" s="126"/>
      <c r="L340" s="21">
        <v>1</v>
      </c>
    </row>
    <row r="341" spans="2:12" ht="18">
      <c r="B341" s="50"/>
      <c r="C341" s="50"/>
      <c r="D341" s="50"/>
      <c r="E341" s="50"/>
      <c r="F341" s="50"/>
      <c r="G341" s="126"/>
      <c r="L341" s="21">
        <v>1</v>
      </c>
    </row>
    <row r="342" spans="2:12" ht="18">
      <c r="B342" s="50"/>
      <c r="C342" s="50"/>
      <c r="D342" s="50"/>
      <c r="E342" s="50"/>
      <c r="F342" s="50"/>
      <c r="G342" s="126"/>
      <c r="L342" s="21">
        <v>1</v>
      </c>
    </row>
    <row r="343" spans="2:12" ht="18">
      <c r="B343" s="50"/>
      <c r="C343" s="50"/>
      <c r="D343" s="50"/>
      <c r="E343" s="50"/>
      <c r="F343" s="50"/>
      <c r="G343" s="126"/>
      <c r="L343" s="21">
        <v>1</v>
      </c>
    </row>
    <row r="344" spans="2:12" ht="18">
      <c r="B344" s="50"/>
      <c r="C344" s="50"/>
      <c r="D344" s="50"/>
      <c r="E344" s="50"/>
      <c r="F344" s="50"/>
      <c r="G344" s="126"/>
      <c r="L344" s="21">
        <v>1</v>
      </c>
    </row>
    <row r="345" spans="2:12" ht="18">
      <c r="B345" s="50"/>
      <c r="C345" s="50"/>
      <c r="D345" s="50"/>
      <c r="E345" s="50"/>
      <c r="F345" s="50"/>
      <c r="G345" s="126"/>
      <c r="L345" s="21">
        <v>1</v>
      </c>
    </row>
    <row r="346" spans="2:12" ht="18">
      <c r="B346" s="50"/>
      <c r="C346" s="50"/>
      <c r="D346" s="50"/>
      <c r="E346" s="50"/>
      <c r="F346" s="50"/>
      <c r="G346" s="126"/>
      <c r="L346" s="21">
        <v>1</v>
      </c>
    </row>
    <row r="347" spans="2:12" ht="18">
      <c r="B347" s="50"/>
      <c r="C347" s="50"/>
      <c r="D347" s="50"/>
      <c r="E347" s="50"/>
      <c r="F347" s="50"/>
      <c r="G347" s="126"/>
      <c r="L347" s="21">
        <v>1</v>
      </c>
    </row>
    <row r="348" spans="2:12" ht="18">
      <c r="B348" s="50"/>
      <c r="C348" s="50"/>
      <c r="D348" s="50"/>
      <c r="E348" s="50"/>
      <c r="F348" s="50"/>
      <c r="G348" s="126"/>
      <c r="L348" s="21">
        <v>1</v>
      </c>
    </row>
    <row r="349" spans="2:12" ht="18">
      <c r="B349" s="50"/>
      <c r="C349" s="50"/>
      <c r="D349" s="50"/>
      <c r="E349" s="50"/>
      <c r="F349" s="50"/>
      <c r="G349" s="126"/>
      <c r="L349" s="21">
        <v>1</v>
      </c>
    </row>
    <row r="350" spans="2:12" ht="18">
      <c r="B350" s="50"/>
      <c r="C350" s="50"/>
      <c r="D350" s="50"/>
      <c r="E350" s="50"/>
      <c r="F350" s="50"/>
      <c r="G350" s="126"/>
      <c r="L350" s="21">
        <v>1</v>
      </c>
    </row>
    <row r="351" spans="2:12" ht="18">
      <c r="B351" s="50"/>
      <c r="C351" s="50"/>
      <c r="D351" s="50"/>
      <c r="E351" s="50"/>
      <c r="F351" s="50"/>
      <c r="G351" s="126"/>
      <c r="L351" s="21">
        <v>1</v>
      </c>
    </row>
    <row r="352" spans="2:12" ht="18">
      <c r="B352" s="50"/>
      <c r="C352" s="50"/>
      <c r="D352" s="50"/>
      <c r="E352" s="50"/>
      <c r="F352" s="50"/>
      <c r="G352" s="126"/>
      <c r="L352" s="21">
        <v>1</v>
      </c>
    </row>
    <row r="353" spans="2:12" ht="18">
      <c r="B353" s="50"/>
      <c r="C353" s="50"/>
      <c r="D353" s="50"/>
      <c r="E353" s="50"/>
      <c r="F353" s="50"/>
      <c r="G353" s="126"/>
      <c r="L353" s="21">
        <v>1</v>
      </c>
    </row>
    <row r="354" spans="2:12" ht="18">
      <c r="B354" s="50"/>
      <c r="C354" s="50"/>
      <c r="D354" s="50"/>
      <c r="E354" s="50"/>
      <c r="F354" s="50"/>
      <c r="G354" s="126"/>
      <c r="L354" s="21">
        <v>1</v>
      </c>
    </row>
    <row r="355" spans="2:12" ht="18">
      <c r="B355" s="50"/>
      <c r="C355" s="50"/>
      <c r="D355" s="50"/>
      <c r="E355" s="50"/>
      <c r="F355" s="50"/>
      <c r="G355" s="126"/>
      <c r="L355" s="21">
        <v>1</v>
      </c>
    </row>
    <row r="356" spans="2:12" ht="18">
      <c r="B356" s="50"/>
      <c r="C356" s="50"/>
      <c r="D356" s="50"/>
      <c r="E356" s="50"/>
      <c r="F356" s="50"/>
      <c r="G356" s="126"/>
      <c r="L356" s="21">
        <v>1</v>
      </c>
    </row>
    <row r="357" spans="2:12" ht="18">
      <c r="B357" s="50"/>
      <c r="C357" s="50"/>
      <c r="D357" s="50"/>
      <c r="E357" s="50"/>
      <c r="F357" s="50"/>
      <c r="G357" s="126"/>
      <c r="L357" s="21">
        <v>1</v>
      </c>
    </row>
    <row r="358" spans="2:12" ht="18">
      <c r="B358" s="50"/>
      <c r="C358" s="50"/>
      <c r="D358" s="50"/>
      <c r="E358" s="50"/>
      <c r="F358" s="50"/>
      <c r="G358" s="126"/>
      <c r="L358" s="21">
        <v>1</v>
      </c>
    </row>
    <row r="359" spans="2:12" ht="18">
      <c r="B359" s="50"/>
      <c r="C359" s="50"/>
      <c r="D359" s="50"/>
      <c r="E359" s="50"/>
      <c r="F359" s="50"/>
      <c r="G359" s="126"/>
      <c r="L359" s="21">
        <v>1</v>
      </c>
    </row>
    <row r="360" spans="2:12" ht="18">
      <c r="B360" s="50"/>
      <c r="C360" s="50"/>
      <c r="D360" s="50"/>
      <c r="E360" s="50"/>
      <c r="F360" s="50"/>
      <c r="G360" s="126"/>
      <c r="L360" s="21">
        <v>1</v>
      </c>
    </row>
    <row r="361" spans="2:12" ht="18">
      <c r="B361" s="50"/>
      <c r="C361" s="50"/>
      <c r="D361" s="50"/>
      <c r="E361" s="50"/>
      <c r="F361" s="50"/>
      <c r="G361" s="126"/>
      <c r="L361" s="21">
        <v>1</v>
      </c>
    </row>
    <row r="362" spans="2:12" ht="18">
      <c r="B362" s="50"/>
      <c r="C362" s="50"/>
      <c r="D362" s="50"/>
      <c r="E362" s="50"/>
      <c r="F362" s="50"/>
      <c r="G362" s="126"/>
      <c r="L362" s="21">
        <v>1</v>
      </c>
    </row>
    <row r="363" spans="2:12" ht="18">
      <c r="B363" s="50"/>
      <c r="C363" s="50"/>
      <c r="D363" s="50"/>
      <c r="E363" s="50"/>
      <c r="F363" s="50"/>
      <c r="G363" s="126"/>
      <c r="L363" s="21">
        <v>1</v>
      </c>
    </row>
    <row r="364" spans="2:12" ht="18">
      <c r="B364" s="50"/>
      <c r="C364" s="50"/>
      <c r="D364" s="50"/>
      <c r="E364" s="50"/>
      <c r="F364" s="50"/>
      <c r="G364" s="126"/>
      <c r="L364" s="21">
        <v>1</v>
      </c>
    </row>
    <row r="365" spans="2:12" ht="18">
      <c r="B365" s="50"/>
      <c r="C365" s="50"/>
      <c r="D365" s="50"/>
      <c r="E365" s="50"/>
      <c r="F365" s="50"/>
      <c r="G365" s="126"/>
      <c r="L365" s="21">
        <v>1</v>
      </c>
    </row>
    <row r="366" spans="2:12" ht="18">
      <c r="B366" s="50"/>
      <c r="C366" s="50"/>
      <c r="D366" s="50"/>
      <c r="E366" s="50"/>
      <c r="F366" s="50"/>
      <c r="G366" s="126"/>
      <c r="L366" s="21">
        <v>1</v>
      </c>
    </row>
    <row r="367" spans="2:12" ht="18">
      <c r="B367" s="50"/>
      <c r="C367" s="50"/>
      <c r="D367" s="50"/>
      <c r="E367" s="50"/>
      <c r="F367" s="50"/>
      <c r="G367" s="126"/>
      <c r="L367" s="21">
        <v>1</v>
      </c>
    </row>
    <row r="368" spans="2:12" ht="18">
      <c r="B368" s="50"/>
      <c r="C368" s="50"/>
      <c r="D368" s="50"/>
      <c r="E368" s="50"/>
      <c r="F368" s="50"/>
      <c r="G368" s="126"/>
      <c r="L368" s="21">
        <v>1</v>
      </c>
    </row>
    <row r="369" spans="2:12" ht="18">
      <c r="B369" s="50"/>
      <c r="C369" s="50"/>
      <c r="D369" s="50"/>
      <c r="E369" s="50"/>
      <c r="F369" s="50"/>
      <c r="G369" s="126"/>
      <c r="L369" s="21">
        <v>1</v>
      </c>
    </row>
    <row r="370" spans="2:12" ht="18">
      <c r="B370" s="50"/>
      <c r="C370" s="50"/>
      <c r="D370" s="50"/>
      <c r="E370" s="50"/>
      <c r="F370" s="50"/>
      <c r="G370" s="126"/>
      <c r="L370" s="21">
        <v>1</v>
      </c>
    </row>
    <row r="371" spans="2:12" ht="18">
      <c r="B371" s="50"/>
      <c r="C371" s="50"/>
      <c r="D371" s="50"/>
      <c r="E371" s="50"/>
      <c r="F371" s="50"/>
      <c r="G371" s="126"/>
      <c r="L371" s="21">
        <v>1</v>
      </c>
    </row>
    <row r="372" spans="2:12" ht="18">
      <c r="B372" s="50"/>
      <c r="C372" s="50"/>
      <c r="D372" s="50"/>
      <c r="E372" s="50"/>
      <c r="F372" s="50"/>
      <c r="G372" s="126"/>
      <c r="L372" s="21">
        <v>1</v>
      </c>
    </row>
    <row r="373" spans="2:12" ht="18">
      <c r="B373" s="50"/>
      <c r="C373" s="50"/>
      <c r="D373" s="50"/>
      <c r="E373" s="50"/>
      <c r="F373" s="50"/>
      <c r="G373" s="126"/>
      <c r="L373" s="21">
        <v>1</v>
      </c>
    </row>
    <row r="374" spans="2:12" ht="18">
      <c r="B374" s="50"/>
      <c r="C374" s="50"/>
      <c r="D374" s="50"/>
      <c r="E374" s="50"/>
      <c r="F374" s="50"/>
      <c r="G374" s="126"/>
      <c r="L374" s="21">
        <v>1</v>
      </c>
    </row>
    <row r="375" spans="2:12" ht="18">
      <c r="B375" s="50"/>
      <c r="C375" s="50"/>
      <c r="D375" s="50"/>
      <c r="E375" s="50"/>
      <c r="F375" s="50"/>
      <c r="G375" s="126"/>
      <c r="L375" s="21">
        <v>1</v>
      </c>
    </row>
    <row r="376" spans="2:12" ht="18">
      <c r="B376" s="50"/>
      <c r="C376" s="50"/>
      <c r="D376" s="50"/>
      <c r="E376" s="50"/>
      <c r="F376" s="50"/>
      <c r="G376" s="126"/>
      <c r="L376" s="21">
        <v>1</v>
      </c>
    </row>
    <row r="377" spans="2:12" ht="18">
      <c r="B377" s="50"/>
      <c r="C377" s="50"/>
      <c r="D377" s="50"/>
      <c r="E377" s="50"/>
      <c r="F377" s="50"/>
      <c r="G377" s="126"/>
      <c r="L377" s="21">
        <v>1</v>
      </c>
    </row>
    <row r="378" spans="2:12" ht="18">
      <c r="B378" s="50"/>
      <c r="C378" s="50"/>
      <c r="D378" s="50"/>
      <c r="E378" s="50"/>
      <c r="F378" s="50"/>
      <c r="G378" s="126"/>
      <c r="L378" s="21">
        <v>1</v>
      </c>
    </row>
    <row r="379" spans="2:12" ht="18">
      <c r="B379" s="50"/>
      <c r="C379" s="50"/>
      <c r="D379" s="50"/>
      <c r="E379" s="50"/>
      <c r="F379" s="50"/>
      <c r="G379" s="126"/>
      <c r="L379" s="21">
        <v>1</v>
      </c>
    </row>
    <row r="380" spans="2:12" ht="18">
      <c r="B380" s="50"/>
      <c r="C380" s="50"/>
      <c r="D380" s="50"/>
      <c r="E380" s="50"/>
      <c r="F380" s="50"/>
      <c r="G380" s="126"/>
      <c r="L380" s="21">
        <v>1</v>
      </c>
    </row>
    <row r="381" spans="2:12" ht="18">
      <c r="B381" s="50"/>
      <c r="C381" s="50"/>
      <c r="D381" s="50"/>
      <c r="E381" s="50"/>
      <c r="F381" s="50"/>
      <c r="G381" s="126"/>
      <c r="L381" s="21">
        <v>1</v>
      </c>
    </row>
    <row r="382" spans="2:12" ht="18">
      <c r="B382" s="50"/>
      <c r="C382" s="50"/>
      <c r="D382" s="50"/>
      <c r="E382" s="50"/>
      <c r="F382" s="50"/>
      <c r="G382" s="126"/>
      <c r="L382" s="21">
        <v>1</v>
      </c>
    </row>
    <row r="383" spans="2:12" ht="18">
      <c r="B383" s="50"/>
      <c r="C383" s="50"/>
      <c r="D383" s="50"/>
      <c r="E383" s="50"/>
      <c r="F383" s="50"/>
      <c r="G383" s="126"/>
      <c r="L383" s="21">
        <v>1</v>
      </c>
    </row>
    <row r="384" spans="2:12" ht="18">
      <c r="B384" s="50"/>
      <c r="C384" s="50"/>
      <c r="D384" s="50"/>
      <c r="E384" s="50"/>
      <c r="F384" s="50"/>
      <c r="G384" s="126"/>
      <c r="L384" s="21">
        <v>1</v>
      </c>
    </row>
    <row r="385" spans="2:12" ht="18">
      <c r="B385" s="50"/>
      <c r="C385" s="50"/>
      <c r="D385" s="50"/>
      <c r="E385" s="50"/>
      <c r="F385" s="50"/>
      <c r="G385" s="126"/>
      <c r="L385" s="21">
        <v>1</v>
      </c>
    </row>
    <row r="386" spans="2:12" ht="18">
      <c r="B386" s="50"/>
      <c r="C386" s="50"/>
      <c r="D386" s="50"/>
      <c r="E386" s="50"/>
      <c r="F386" s="50"/>
      <c r="G386" s="126"/>
      <c r="L386" s="21">
        <v>1</v>
      </c>
    </row>
    <row r="387" spans="2:12" ht="18">
      <c r="B387" s="50"/>
      <c r="C387" s="50"/>
      <c r="D387" s="50"/>
      <c r="E387" s="50"/>
      <c r="F387" s="50"/>
      <c r="G387" s="126"/>
      <c r="L387" s="21">
        <v>1</v>
      </c>
    </row>
    <row r="388" spans="2:12" ht="18">
      <c r="B388" s="50"/>
      <c r="C388" s="50"/>
      <c r="D388" s="50"/>
      <c r="E388" s="50"/>
      <c r="F388" s="50"/>
      <c r="G388" s="126"/>
      <c r="L388" s="21">
        <v>1</v>
      </c>
    </row>
    <row r="389" spans="2:12" ht="18">
      <c r="B389" s="50"/>
      <c r="C389" s="50"/>
      <c r="D389" s="50"/>
      <c r="E389" s="50"/>
      <c r="F389" s="50"/>
      <c r="G389" s="126"/>
      <c r="L389" s="21">
        <v>1</v>
      </c>
    </row>
    <row r="390" spans="2:12" ht="18">
      <c r="B390" s="50"/>
      <c r="C390" s="50"/>
      <c r="D390" s="50"/>
      <c r="E390" s="50"/>
      <c r="F390" s="50"/>
      <c r="G390" s="126"/>
      <c r="L390" s="21">
        <v>1</v>
      </c>
    </row>
    <row r="391" spans="2:12" ht="18">
      <c r="B391" s="50"/>
      <c r="C391" s="50"/>
      <c r="D391" s="50"/>
      <c r="E391" s="50"/>
      <c r="F391" s="50"/>
      <c r="G391" s="126"/>
      <c r="L391" s="21">
        <v>1</v>
      </c>
    </row>
    <row r="392" spans="2:12" ht="18">
      <c r="B392" s="50"/>
      <c r="C392" s="50"/>
      <c r="D392" s="50"/>
      <c r="E392" s="50"/>
      <c r="F392" s="50"/>
      <c r="G392" s="126"/>
      <c r="L392" s="21">
        <v>1</v>
      </c>
    </row>
    <row r="393" spans="2:12" ht="18">
      <c r="B393" s="50"/>
      <c r="C393" s="50"/>
      <c r="D393" s="50"/>
      <c r="E393" s="50"/>
      <c r="F393" s="50"/>
      <c r="G393" s="126"/>
      <c r="L393" s="21">
        <v>1</v>
      </c>
    </row>
    <row r="394" spans="2:12" ht="18">
      <c r="B394" s="50"/>
      <c r="C394" s="50"/>
      <c r="D394" s="50"/>
      <c r="E394" s="50"/>
      <c r="F394" s="50"/>
      <c r="G394" s="126"/>
      <c r="L394" s="21">
        <v>1</v>
      </c>
    </row>
    <row r="395" spans="2:12" ht="18">
      <c r="B395" s="50"/>
      <c r="C395" s="50"/>
      <c r="D395" s="50"/>
      <c r="E395" s="50"/>
      <c r="F395" s="50"/>
      <c r="G395" s="126"/>
      <c r="L395" s="21">
        <v>1</v>
      </c>
    </row>
    <row r="396" spans="2:12" ht="18">
      <c r="B396" s="50"/>
      <c r="C396" s="50"/>
      <c r="D396" s="50"/>
      <c r="E396" s="50"/>
      <c r="F396" s="50"/>
      <c r="G396" s="126"/>
      <c r="L396" s="21">
        <v>1</v>
      </c>
    </row>
    <row r="397" spans="2:12" ht="18">
      <c r="B397" s="50"/>
      <c r="C397" s="50"/>
      <c r="D397" s="50"/>
      <c r="E397" s="50"/>
      <c r="F397" s="50"/>
      <c r="G397" s="126"/>
      <c r="L397" s="21">
        <v>1</v>
      </c>
    </row>
    <row r="398" spans="2:12" ht="18">
      <c r="B398" s="50"/>
      <c r="C398" s="50"/>
      <c r="D398" s="50"/>
      <c r="E398" s="50"/>
      <c r="F398" s="50"/>
      <c r="G398" s="126"/>
      <c r="L398" s="21">
        <v>1</v>
      </c>
    </row>
    <row r="399" spans="2:12" ht="18">
      <c r="B399" s="50"/>
      <c r="C399" s="50"/>
      <c r="D399" s="50"/>
      <c r="E399" s="50"/>
      <c r="F399" s="50"/>
      <c r="G399" s="126"/>
      <c r="L399" s="21">
        <v>1</v>
      </c>
    </row>
    <row r="400" spans="2:12" ht="18">
      <c r="B400" s="50"/>
      <c r="C400" s="50"/>
      <c r="D400" s="50"/>
      <c r="E400" s="50"/>
      <c r="F400" s="50"/>
      <c r="G400" s="126"/>
      <c r="L400" s="21">
        <v>1</v>
      </c>
    </row>
    <row r="401" spans="2:12" ht="18">
      <c r="B401" s="50"/>
      <c r="C401" s="50"/>
      <c r="D401" s="50"/>
      <c r="E401" s="50"/>
      <c r="F401" s="50"/>
      <c r="G401" s="126"/>
      <c r="L401" s="21">
        <v>1</v>
      </c>
    </row>
    <row r="402" spans="2:12" ht="18">
      <c r="B402" s="50"/>
      <c r="C402" s="50"/>
      <c r="D402" s="50"/>
      <c r="E402" s="50"/>
      <c r="F402" s="50"/>
      <c r="G402" s="126"/>
      <c r="L402" s="21">
        <v>1</v>
      </c>
    </row>
    <row r="403" spans="2:12" ht="18">
      <c r="B403" s="50"/>
      <c r="C403" s="50"/>
      <c r="D403" s="50"/>
      <c r="E403" s="50"/>
      <c r="F403" s="50"/>
      <c r="G403" s="126"/>
      <c r="L403" s="21">
        <v>1</v>
      </c>
    </row>
    <row r="404" spans="2:12" ht="18">
      <c r="B404" s="50"/>
      <c r="C404" s="50"/>
      <c r="D404" s="50"/>
      <c r="E404" s="50"/>
      <c r="F404" s="50"/>
      <c r="G404" s="126"/>
      <c r="L404" s="21">
        <v>1</v>
      </c>
    </row>
    <row r="405" spans="2:12" ht="18">
      <c r="B405" s="50"/>
      <c r="C405" s="50"/>
      <c r="D405" s="50"/>
      <c r="E405" s="50"/>
      <c r="F405" s="50"/>
      <c r="G405" s="126"/>
      <c r="L405" s="21">
        <v>1</v>
      </c>
    </row>
    <row r="406" spans="2:12" ht="18">
      <c r="B406" s="50"/>
      <c r="C406" s="50"/>
      <c r="D406" s="50"/>
      <c r="E406" s="50"/>
      <c r="F406" s="50"/>
      <c r="G406" s="126"/>
      <c r="L406" s="21">
        <v>1</v>
      </c>
    </row>
    <row r="407" spans="2:12" ht="18">
      <c r="B407" s="50"/>
      <c r="C407" s="50"/>
      <c r="D407" s="50"/>
      <c r="E407" s="50"/>
      <c r="F407" s="50"/>
      <c r="G407" s="126"/>
      <c r="L407" s="21">
        <v>1</v>
      </c>
    </row>
    <row r="408" spans="2:12" ht="18">
      <c r="B408" s="50"/>
      <c r="C408" s="50"/>
      <c r="D408" s="50"/>
      <c r="E408" s="50"/>
      <c r="F408" s="50"/>
      <c r="G408" s="126"/>
      <c r="L408" s="21">
        <v>1</v>
      </c>
    </row>
    <row r="409" spans="2:12" ht="18">
      <c r="B409" s="50"/>
      <c r="C409" s="50"/>
      <c r="D409" s="50"/>
      <c r="E409" s="50"/>
      <c r="F409" s="50"/>
      <c r="G409" s="126"/>
      <c r="L409" s="21">
        <v>1</v>
      </c>
    </row>
    <row r="410" spans="2:12" ht="18">
      <c r="B410" s="50"/>
      <c r="C410" s="50"/>
      <c r="D410" s="50"/>
      <c r="E410" s="50"/>
      <c r="F410" s="50"/>
      <c r="G410" s="126"/>
      <c r="L410" s="21">
        <v>1</v>
      </c>
    </row>
    <row r="411" spans="2:12" ht="18">
      <c r="B411" s="50"/>
      <c r="C411" s="50"/>
      <c r="D411" s="50"/>
      <c r="E411" s="50"/>
      <c r="F411" s="50"/>
      <c r="G411" s="126"/>
      <c r="L411" s="21">
        <v>1</v>
      </c>
    </row>
    <row r="412" spans="2:12" ht="18">
      <c r="B412" s="50"/>
      <c r="C412" s="50"/>
      <c r="D412" s="50"/>
      <c r="E412" s="50"/>
      <c r="F412" s="50"/>
      <c r="G412" s="126"/>
      <c r="L412" s="21">
        <v>1</v>
      </c>
    </row>
    <row r="413" spans="2:12" ht="18">
      <c r="B413" s="50"/>
      <c r="C413" s="50"/>
      <c r="D413" s="50"/>
      <c r="E413" s="50"/>
      <c r="F413" s="50"/>
      <c r="G413" s="126"/>
      <c r="L413" s="21">
        <v>1</v>
      </c>
    </row>
    <row r="414" spans="2:12" ht="18">
      <c r="B414" s="50"/>
      <c r="C414" s="50"/>
      <c r="D414" s="50"/>
      <c r="E414" s="50"/>
      <c r="F414" s="50"/>
      <c r="G414" s="126"/>
      <c r="L414" s="21">
        <v>1</v>
      </c>
    </row>
    <row r="415" spans="2:12" ht="18">
      <c r="B415" s="50"/>
      <c r="C415" s="50"/>
      <c r="D415" s="50"/>
      <c r="E415" s="50"/>
      <c r="F415" s="50"/>
      <c r="G415" s="126"/>
      <c r="L415" s="21">
        <v>1</v>
      </c>
    </row>
    <row r="416" spans="2:12" ht="18">
      <c r="B416" s="50"/>
      <c r="C416" s="50"/>
      <c r="D416" s="50"/>
      <c r="E416" s="50"/>
      <c r="F416" s="50"/>
      <c r="G416" s="126"/>
      <c r="L416" s="21">
        <v>1</v>
      </c>
    </row>
    <row r="417" spans="2:12" ht="18">
      <c r="B417" s="50"/>
      <c r="C417" s="50"/>
      <c r="D417" s="50"/>
      <c r="E417" s="50"/>
      <c r="F417" s="50"/>
      <c r="G417" s="126"/>
      <c r="L417" s="21">
        <v>1</v>
      </c>
    </row>
    <row r="418" spans="2:12" ht="18">
      <c r="B418" s="50"/>
      <c r="C418" s="50"/>
      <c r="D418" s="50"/>
      <c r="E418" s="50"/>
      <c r="F418" s="50"/>
      <c r="G418" s="126"/>
      <c r="L418" s="21">
        <v>1</v>
      </c>
    </row>
    <row r="419" spans="2:12" ht="18">
      <c r="B419" s="50"/>
      <c r="C419" s="50"/>
      <c r="D419" s="50"/>
      <c r="E419" s="50"/>
      <c r="F419" s="50"/>
      <c r="G419" s="126"/>
      <c r="L419" s="21">
        <v>1</v>
      </c>
    </row>
    <row r="420" spans="2:12" ht="18">
      <c r="B420" s="50"/>
      <c r="C420" s="50"/>
      <c r="D420" s="50"/>
      <c r="E420" s="50"/>
      <c r="F420" s="50"/>
      <c r="G420" s="126"/>
      <c r="L420" s="21">
        <v>1</v>
      </c>
    </row>
    <row r="421" spans="2:12" ht="18">
      <c r="B421" s="50"/>
      <c r="C421" s="50"/>
      <c r="D421" s="50"/>
      <c r="E421" s="50"/>
      <c r="F421" s="50"/>
      <c r="G421" s="126"/>
      <c r="L421" s="21">
        <v>1</v>
      </c>
    </row>
    <row r="422" spans="2:12" ht="18">
      <c r="B422" s="50"/>
      <c r="C422" s="50"/>
      <c r="D422" s="50"/>
      <c r="E422" s="50"/>
      <c r="F422" s="50"/>
      <c r="G422" s="126"/>
      <c r="L422" s="21">
        <v>1</v>
      </c>
    </row>
    <row r="423" spans="2:12" ht="18">
      <c r="B423" s="50"/>
      <c r="C423" s="50"/>
      <c r="D423" s="50"/>
      <c r="E423" s="50"/>
      <c r="F423" s="50"/>
      <c r="G423" s="126"/>
      <c r="L423" s="21">
        <v>1</v>
      </c>
    </row>
    <row r="424" spans="2:12" ht="18">
      <c r="B424" s="50"/>
      <c r="C424" s="50"/>
      <c r="D424" s="50"/>
      <c r="E424" s="50"/>
      <c r="F424" s="50"/>
      <c r="G424" s="126"/>
      <c r="L424" s="21">
        <v>1</v>
      </c>
    </row>
    <row r="425" spans="2:12" ht="18">
      <c r="B425" s="50"/>
      <c r="C425" s="50"/>
      <c r="D425" s="50"/>
      <c r="E425" s="50"/>
      <c r="F425" s="50"/>
      <c r="G425" s="126"/>
      <c r="L425" s="21">
        <v>1</v>
      </c>
    </row>
    <row r="426" spans="2:12" ht="18">
      <c r="B426" s="50"/>
      <c r="C426" s="50"/>
      <c r="D426" s="50"/>
      <c r="E426" s="50"/>
      <c r="F426" s="50"/>
      <c r="G426" s="126"/>
      <c r="L426" s="21">
        <v>1</v>
      </c>
    </row>
    <row r="427" spans="2:12" ht="18">
      <c r="B427" s="50"/>
      <c r="C427" s="50"/>
      <c r="D427" s="50"/>
      <c r="E427" s="50"/>
      <c r="F427" s="50"/>
      <c r="G427" s="126"/>
      <c r="L427" s="21">
        <v>1</v>
      </c>
    </row>
    <row r="428" spans="2:12" ht="18">
      <c r="B428" s="50"/>
      <c r="C428" s="50"/>
      <c r="D428" s="50"/>
      <c r="E428" s="50"/>
      <c r="F428" s="50"/>
      <c r="G428" s="126"/>
      <c r="L428" s="21">
        <v>1</v>
      </c>
    </row>
    <row r="429" spans="2:12" ht="18">
      <c r="B429" s="50"/>
      <c r="C429" s="50"/>
      <c r="D429" s="50"/>
      <c r="E429" s="50"/>
      <c r="F429" s="50"/>
      <c r="G429" s="126"/>
      <c r="L429" s="21">
        <v>1</v>
      </c>
    </row>
    <row r="430" spans="2:12" ht="18">
      <c r="B430" s="50"/>
      <c r="C430" s="50"/>
      <c r="D430" s="50"/>
      <c r="E430" s="50"/>
      <c r="F430" s="50"/>
      <c r="G430" s="126"/>
      <c r="L430" s="21">
        <v>1</v>
      </c>
    </row>
    <row r="431" spans="2:12" ht="18">
      <c r="B431" s="50"/>
      <c r="C431" s="50"/>
      <c r="D431" s="50"/>
      <c r="E431" s="50"/>
      <c r="F431" s="50"/>
      <c r="G431" s="126"/>
      <c r="L431" s="21">
        <v>1</v>
      </c>
    </row>
    <row r="432" spans="2:12" ht="18">
      <c r="B432" s="50"/>
      <c r="C432" s="50"/>
      <c r="D432" s="50"/>
      <c r="E432" s="50"/>
      <c r="F432" s="50"/>
      <c r="G432" s="126"/>
      <c r="L432" s="21">
        <v>1</v>
      </c>
    </row>
    <row r="433" spans="2:12" ht="18">
      <c r="B433" s="50"/>
      <c r="C433" s="50"/>
      <c r="D433" s="50"/>
      <c r="E433" s="50"/>
      <c r="F433" s="50"/>
      <c r="G433" s="126"/>
      <c r="L433" s="21">
        <v>1</v>
      </c>
    </row>
    <row r="434" spans="2:12" ht="18">
      <c r="B434" s="50"/>
      <c r="C434" s="50"/>
      <c r="D434" s="50"/>
      <c r="E434" s="50"/>
      <c r="F434" s="50"/>
      <c r="G434" s="126"/>
      <c r="L434" s="21">
        <v>1</v>
      </c>
    </row>
    <row r="435" spans="2:12" ht="18">
      <c r="B435" s="50"/>
      <c r="C435" s="50"/>
      <c r="D435" s="50"/>
      <c r="E435" s="50"/>
      <c r="F435" s="50"/>
      <c r="G435" s="126"/>
      <c r="L435" s="21">
        <v>1</v>
      </c>
    </row>
    <row r="436" spans="2:12" ht="18">
      <c r="B436" s="50"/>
      <c r="C436" s="50"/>
      <c r="D436" s="50"/>
      <c r="E436" s="50"/>
      <c r="F436" s="50"/>
      <c r="G436" s="126"/>
      <c r="L436" s="21">
        <v>1</v>
      </c>
    </row>
    <row r="437" spans="2:12" ht="18">
      <c r="B437" s="50"/>
      <c r="C437" s="50"/>
      <c r="D437" s="50"/>
      <c r="E437" s="50"/>
      <c r="F437" s="50"/>
      <c r="G437" s="126"/>
      <c r="L437" s="21">
        <v>1</v>
      </c>
    </row>
    <row r="438" spans="2:12" ht="18">
      <c r="B438" s="50"/>
      <c r="C438" s="50"/>
      <c r="D438" s="50"/>
      <c r="E438" s="50"/>
      <c r="F438" s="50"/>
      <c r="G438" s="126"/>
      <c r="L438" s="21">
        <v>1</v>
      </c>
    </row>
    <row r="439" spans="2:12" ht="18">
      <c r="B439" s="50"/>
      <c r="C439" s="50"/>
      <c r="D439" s="50"/>
      <c r="E439" s="50"/>
      <c r="F439" s="50"/>
      <c r="G439" s="126"/>
      <c r="L439" s="21">
        <v>1</v>
      </c>
    </row>
    <row r="440" spans="2:12" ht="18">
      <c r="B440" s="50"/>
      <c r="C440" s="50"/>
      <c r="D440" s="50"/>
      <c r="E440" s="50"/>
      <c r="F440" s="50"/>
      <c r="G440" s="126"/>
      <c r="L440" s="21">
        <v>1</v>
      </c>
    </row>
    <row r="441" spans="2:12" ht="18">
      <c r="B441" s="50"/>
      <c r="C441" s="50"/>
      <c r="D441" s="50"/>
      <c r="E441" s="50"/>
      <c r="F441" s="50"/>
      <c r="G441" s="126"/>
      <c r="L441" s="21">
        <v>1</v>
      </c>
    </row>
    <row r="442" spans="2:12" ht="18">
      <c r="B442" s="50"/>
      <c r="C442" s="50"/>
      <c r="D442" s="50"/>
      <c r="E442" s="50"/>
      <c r="F442" s="50"/>
      <c r="G442" s="126"/>
      <c r="L442" s="21">
        <v>1</v>
      </c>
    </row>
    <row r="443" spans="2:12" ht="18">
      <c r="B443" s="50"/>
      <c r="C443" s="50"/>
      <c r="D443" s="50"/>
      <c r="E443" s="50"/>
      <c r="F443" s="50"/>
      <c r="G443" s="126"/>
      <c r="L443" s="21">
        <v>1</v>
      </c>
    </row>
    <row r="444" spans="2:12" ht="18">
      <c r="B444" s="50"/>
      <c r="C444" s="50"/>
      <c r="D444" s="50"/>
      <c r="E444" s="50"/>
      <c r="F444" s="50"/>
      <c r="G444" s="126"/>
      <c r="L444" s="21">
        <v>1</v>
      </c>
    </row>
    <row r="445" spans="2:12" ht="18">
      <c r="B445" s="50"/>
      <c r="C445" s="50"/>
      <c r="D445" s="50"/>
      <c r="E445" s="50"/>
      <c r="F445" s="50"/>
      <c r="G445" s="126"/>
      <c r="L445" s="21">
        <v>1</v>
      </c>
    </row>
    <row r="446" spans="2:12" ht="18">
      <c r="B446" s="50"/>
      <c r="C446" s="50"/>
      <c r="D446" s="50"/>
      <c r="E446" s="50"/>
      <c r="F446" s="50"/>
      <c r="G446" s="126"/>
      <c r="L446" s="21">
        <v>1</v>
      </c>
    </row>
    <row r="447" spans="2:12" ht="18">
      <c r="B447" s="50"/>
      <c r="C447" s="50"/>
      <c r="D447" s="50"/>
      <c r="E447" s="50"/>
      <c r="F447" s="50"/>
      <c r="G447" s="126"/>
      <c r="L447" s="21">
        <v>1</v>
      </c>
    </row>
    <row r="448" spans="2:12" ht="18">
      <c r="B448" s="50"/>
      <c r="C448" s="50"/>
      <c r="D448" s="50"/>
      <c r="E448" s="50"/>
      <c r="F448" s="50"/>
      <c r="G448" s="126"/>
      <c r="L448" s="21">
        <v>1</v>
      </c>
    </row>
    <row r="449" spans="2:12" ht="27.75" thickBot="1">
      <c r="B449" s="127" t="s">
        <v>3</v>
      </c>
      <c r="C449" s="127" t="s">
        <v>3</v>
      </c>
      <c r="D449" s="127" t="s">
        <v>3</v>
      </c>
      <c r="E449" s="128" t="s">
        <v>3</v>
      </c>
      <c r="F449" s="128" t="s">
        <v>3</v>
      </c>
      <c r="G449" s="129" t="s">
        <v>3</v>
      </c>
      <c r="K449" s="54" t="s">
        <v>6</v>
      </c>
      <c r="L449" s="55" t="s">
        <v>3</v>
      </c>
    </row>
  </sheetData>
  <sheetProtection sheet="1" objects="1" scenarios="1" selectLockedCells="1"/>
  <customSheetViews>
    <customSheetView guid="{E103CAA9-E8FB-4228-A076-3C3E3EEEC109}" showGridLines="0" showRowCol="0">
      <pane ySplit="7" topLeftCell="A9" activePane="bottomLeft" state="frozen"/>
      <selection pane="bottomLeft" activeCell="I4" sqref="I4"/>
      <pageMargins left="0.7" right="0.7" top="0.75" bottom="0.75" header="0.3" footer="0.3"/>
      <pageSetup paperSize="9" orientation="portrait" r:id="rId1"/>
    </customSheetView>
    <customSheetView guid="{37EA6283-F051-4D0B-81C6-34EEB84CCDF0}" showGridLines="0" showRowCol="0">
      <pane ySplit="8" topLeftCell="A12" activePane="bottomLeft" state="frozen"/>
      <selection pane="bottomLeft" activeCell="B10" sqref="B10"/>
      <pageMargins left="0.7" right="0.7" top="0.75" bottom="0.75" header="0.3" footer="0.3"/>
      <pageSetup paperSize="9" orientation="portrait" r:id="rId2"/>
    </customSheetView>
    <customSheetView guid="{A6A06E36-D96E-4193-B19F-8D7934C6230C}" showGridLines="0" showRowCol="0">
      <pane ySplit="8" topLeftCell="A9" activePane="bottomLeft" state="frozen"/>
      <selection pane="bottomLeft" activeCell="I4" sqref="I4"/>
      <pageMargins left="0.7" right="0.7" top="0.75" bottom="0.75" header="0.3" footer="0.3"/>
      <pageSetup paperSize="9" orientation="portrait" r:id="rId3"/>
    </customSheetView>
  </customSheetViews>
  <mergeCells count="4">
    <mergeCell ref="M9:N9"/>
    <mergeCell ref="O8:Q8"/>
    <mergeCell ref="R8:T8"/>
    <mergeCell ref="U8:W8"/>
  </mergeCells>
  <dataValidations count="4">
    <dataValidation type="list" allowBlank="1" showDropDown="1" showInputMessage="1" showErrorMessage="1" sqref="D9:D448">
      <formula1>$N$10:$N$29</formula1>
    </dataValidation>
    <dataValidation type="list" allowBlank="1" showDropDown="1" showInputMessage="1" showErrorMessage="1" sqref="B9:B448">
      <formula1>$C$6</formula1>
    </dataValidation>
    <dataValidation allowBlank="1" showInputMessage="1" showErrorMessage="1" errorTitle="Dato no valido" error="El valor esta fuera de rango [0,30] o No es un numero" sqref="E9:G448"/>
    <dataValidation type="list" allowBlank="1" showDropDown="1" showInputMessage="1" showErrorMessage="1" sqref="C9:C448">
      <formula1>$N$32:$N$53</formula1>
    </dataValidation>
  </dataValidations>
  <hyperlinks>
    <hyperlink ref="I2" location="PPrincipal!A1" display="* Pagina Principal"/>
    <hyperlink ref="I3" location="Lara!A1" display="Lara"/>
    <hyperlink ref="I4" location="Portuguesa!A1" display="Portuguesa"/>
    <hyperlink ref="I5" location="Yaracuy!A1" display="Yaracuy"/>
  </hyperlinks>
  <pageMargins left="0.7" right="0.7" top="0.75" bottom="0.75" header="0.3" footer="0.3"/>
  <pageSetup paperSize="9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>
  <dimension ref="B1:K46"/>
  <sheetViews>
    <sheetView showGridLines="0" showRowColHeaders="0" workbookViewId="0">
      <selection activeCell="J2" sqref="J2"/>
    </sheetView>
  </sheetViews>
  <sheetFormatPr baseColWidth="10" defaultColWidth="15.7109375" defaultRowHeight="22.5" customHeight="1"/>
  <cols>
    <col min="1" max="16384" width="15.7109375" style="53"/>
  </cols>
  <sheetData>
    <row r="1" spans="2:11" ht="15" customHeight="1">
      <c r="J1" s="87"/>
      <c r="K1" s="104"/>
    </row>
    <row r="2" spans="2:11" ht="15" customHeight="1">
      <c r="I2" s="13"/>
      <c r="J2" s="80" t="s">
        <v>8</v>
      </c>
      <c r="K2" s="104"/>
    </row>
    <row r="3" spans="2:11" ht="15" customHeight="1">
      <c r="I3" s="13"/>
      <c r="J3" s="80" t="s">
        <v>34</v>
      </c>
      <c r="K3" s="104"/>
    </row>
    <row r="4" spans="2:11" ht="15" customHeight="1">
      <c r="I4" s="13"/>
      <c r="J4" s="80" t="s">
        <v>78</v>
      </c>
      <c r="K4" s="104"/>
    </row>
    <row r="5" spans="2:11" ht="15" customHeight="1">
      <c r="G5" s="56"/>
      <c r="I5" s="13"/>
      <c r="J5" s="80" t="s">
        <v>79</v>
      </c>
      <c r="K5" s="104"/>
    </row>
    <row r="6" spans="2:11" ht="15" customHeight="1">
      <c r="B6" s="168" t="s">
        <v>43</v>
      </c>
      <c r="C6" s="168"/>
      <c r="D6" s="168"/>
      <c r="E6" s="168"/>
      <c r="F6" s="168"/>
      <c r="G6" s="168"/>
    </row>
    <row r="27" spans="2:7" ht="22.5" customHeight="1">
      <c r="B27" s="168"/>
      <c r="C27" s="168"/>
      <c r="D27" s="168"/>
      <c r="E27" s="168"/>
      <c r="F27" s="168"/>
      <c r="G27" s="168"/>
    </row>
    <row r="46" spans="7:7" ht="22.5" customHeight="1">
      <c r="G46" s="56"/>
    </row>
  </sheetData>
  <customSheetViews>
    <customSheetView guid="{E103CAA9-E8FB-4228-A076-3C3E3EEEC109}" showGridLines="0" showRowCol="0">
      <pageMargins left="0.7" right="0.7" top="0.75" bottom="0.75" header="0.3" footer="0.3"/>
    </customSheetView>
    <customSheetView guid="{37EA6283-F051-4D0B-81C6-34EEB84CCDF0}" showGridLines="0" showRowCol="0">
      <selection activeCell="J2" sqref="J2"/>
      <pageMargins left="0.7" right="0.7" top="0.75" bottom="0.75" header="0.3" footer="0.3"/>
    </customSheetView>
    <customSheetView guid="{A6A06E36-D96E-4193-B19F-8D7934C6230C}" showGridLines="0" showRowCol="0">
      <selection activeCell="J2" sqref="J2"/>
      <pageMargins left="0.7" right="0.7" top="0.75" bottom="0.75" header="0.3" footer="0.3"/>
    </customSheetView>
  </customSheetViews>
  <mergeCells count="2">
    <mergeCell ref="B6:G6"/>
    <mergeCell ref="B27:G27"/>
  </mergeCells>
  <hyperlinks>
    <hyperlink ref="J2" location="PPrincipal!A1" display="* Pagina Principal"/>
    <hyperlink ref="J3" location="GLara!A1" display="Lara"/>
    <hyperlink ref="J4" location="GPortuguesa!A1" display="Portuguesa"/>
    <hyperlink ref="J5" location="GYaracuy!A1" display="Yaracuy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5"/>
  <sheetViews>
    <sheetView showGridLines="0" showRowColHeaders="0" workbookViewId="0">
      <selection activeCell="Y4" sqref="Y4"/>
    </sheetView>
  </sheetViews>
  <sheetFormatPr baseColWidth="10" defaultColWidth="5.85546875" defaultRowHeight="15" customHeight="1"/>
  <cols>
    <col min="1" max="1" width="1.7109375" style="67" customWidth="1"/>
    <col min="2" max="2" width="7.28515625" style="67" customWidth="1"/>
    <col min="3" max="3" width="5.5703125" style="67" customWidth="1"/>
    <col min="4" max="4" width="5.42578125" style="67" customWidth="1"/>
    <col min="5" max="5" width="5.5703125" style="67" bestFit="1" customWidth="1"/>
    <col min="6" max="6" width="5.42578125" style="67" customWidth="1"/>
    <col min="7" max="13" width="5.5703125" style="67" bestFit="1" customWidth="1"/>
    <col min="14" max="14" width="5.5703125" style="68" bestFit="1" customWidth="1"/>
    <col min="15" max="22" width="5.5703125" style="67" bestFit="1" customWidth="1"/>
    <col min="23" max="23" width="1.42578125" style="67" customWidth="1"/>
    <col min="24" max="24" width="14" style="120" bestFit="1" customWidth="1"/>
    <col min="25" max="27" width="10.42578125" style="67" customWidth="1"/>
    <col min="28" max="16384" width="5.85546875" style="67"/>
  </cols>
  <sheetData>
    <row r="1" spans="1:27" ht="31.5" customHeight="1">
      <c r="B1" s="169" t="s">
        <v>33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</row>
    <row r="2" spans="1:27" ht="15" customHeight="1">
      <c r="C2" s="85"/>
      <c r="F2" s="86"/>
      <c r="G2" s="86"/>
      <c r="H2" s="86"/>
      <c r="I2" s="79"/>
      <c r="J2" s="79"/>
      <c r="X2" s="13"/>
      <c r="Y2" s="80" t="s">
        <v>8</v>
      </c>
      <c r="Z2" s="85"/>
    </row>
    <row r="3" spans="1:27" ht="15" customHeight="1">
      <c r="C3" s="85"/>
      <c r="F3" s="86"/>
      <c r="G3" s="86"/>
      <c r="H3" s="86"/>
      <c r="I3" s="79"/>
      <c r="J3" s="79"/>
      <c r="X3" s="13"/>
      <c r="Y3" s="80" t="s">
        <v>34</v>
      </c>
      <c r="Z3" s="85"/>
    </row>
    <row r="4" spans="1:27" ht="15" customHeight="1">
      <c r="C4" s="85"/>
      <c r="F4" s="86"/>
      <c r="G4" s="86"/>
      <c r="H4" s="86"/>
      <c r="I4" s="79"/>
      <c r="J4" s="79"/>
      <c r="X4" s="13"/>
      <c r="Y4" s="80" t="s">
        <v>78</v>
      </c>
      <c r="Z4" s="85"/>
    </row>
    <row r="5" spans="1:27" ht="15" customHeight="1">
      <c r="C5" s="85"/>
      <c r="F5" s="86"/>
      <c r="G5" s="86"/>
      <c r="H5" s="86"/>
      <c r="I5" s="79"/>
      <c r="J5" s="79"/>
      <c r="X5" s="13"/>
      <c r="Y5" s="80" t="s">
        <v>79</v>
      </c>
      <c r="Z5" s="85"/>
    </row>
    <row r="6" spans="1:27" s="1" customFormat="1" ht="15" customHeight="1" thickBot="1">
      <c r="A6" s="57"/>
      <c r="B6" s="64"/>
      <c r="C6" s="64"/>
      <c r="D6" s="64"/>
      <c r="E6" s="64"/>
      <c r="F6" s="64"/>
      <c r="G6" s="64"/>
      <c r="H6" s="64"/>
      <c r="I6" s="64"/>
      <c r="J6" s="64"/>
      <c r="K6" s="64"/>
      <c r="L6" s="67"/>
      <c r="M6" s="67"/>
      <c r="N6" s="68"/>
      <c r="O6" s="67"/>
      <c r="P6" s="67"/>
      <c r="Q6" s="67"/>
      <c r="R6" s="67"/>
      <c r="S6" s="67"/>
      <c r="T6" s="67"/>
      <c r="U6" s="67"/>
      <c r="V6" s="67"/>
      <c r="X6" s="121"/>
    </row>
    <row r="7" spans="1:27" s="65" customFormat="1" ht="15" customHeight="1" thickBot="1">
      <c r="A7" s="58"/>
      <c r="B7" s="89" t="s">
        <v>0</v>
      </c>
      <c r="C7" s="114">
        <v>0.3125</v>
      </c>
      <c r="D7" s="115">
        <v>0.33333333333333298</v>
      </c>
      <c r="E7" s="115">
        <v>0.35416666666666702</v>
      </c>
      <c r="F7" s="115">
        <v>0.375</v>
      </c>
      <c r="G7" s="115">
        <v>0.39583333333333298</v>
      </c>
      <c r="H7" s="115">
        <v>0.41666666666666702</v>
      </c>
      <c r="I7" s="115">
        <v>0.4375</v>
      </c>
      <c r="J7" s="115">
        <v>0.45833333333333298</v>
      </c>
      <c r="K7" s="115">
        <v>0.47916666666666702</v>
      </c>
      <c r="L7" s="115">
        <v>0.5</v>
      </c>
      <c r="M7" s="115">
        <v>0.52083333333333304</v>
      </c>
      <c r="N7" s="115">
        <v>4.1666666666666664E-2</v>
      </c>
      <c r="O7" s="115">
        <v>6.25E-2</v>
      </c>
      <c r="P7" s="115">
        <v>8.3333333333333329E-2</v>
      </c>
      <c r="Q7" s="115">
        <v>0.104166666666667</v>
      </c>
      <c r="R7" s="115">
        <v>0.125</v>
      </c>
      <c r="S7" s="115">
        <v>0.14583333333333301</v>
      </c>
      <c r="T7" s="115">
        <v>0.16666666666666599</v>
      </c>
      <c r="U7" s="115">
        <v>0.187499999999999</v>
      </c>
      <c r="V7" s="116">
        <v>0.20833333333333201</v>
      </c>
      <c r="X7" s="170" t="s">
        <v>7</v>
      </c>
      <c r="Y7" s="170" t="s">
        <v>45</v>
      </c>
      <c r="Z7" s="170" t="s">
        <v>46</v>
      </c>
      <c r="AA7" s="172" t="s">
        <v>4</v>
      </c>
    </row>
    <row r="8" spans="1:27" ht="15" customHeight="1" thickBot="1">
      <c r="A8" s="66"/>
      <c r="B8" s="135" t="s">
        <v>2</v>
      </c>
      <c r="C8" s="134">
        <v>1</v>
      </c>
      <c r="D8" s="117">
        <v>2</v>
      </c>
      <c r="E8" s="117">
        <v>3</v>
      </c>
      <c r="F8" s="117">
        <v>4</v>
      </c>
      <c r="G8" s="117">
        <v>5</v>
      </c>
      <c r="H8" s="117">
        <v>6</v>
      </c>
      <c r="I8" s="117">
        <v>7</v>
      </c>
      <c r="J8" s="117">
        <v>8</v>
      </c>
      <c r="K8" s="117">
        <v>9</v>
      </c>
      <c r="L8" s="117">
        <v>10</v>
      </c>
      <c r="M8" s="117">
        <v>11</v>
      </c>
      <c r="N8" s="117">
        <v>12</v>
      </c>
      <c r="O8" s="117">
        <v>13</v>
      </c>
      <c r="P8" s="117">
        <v>14</v>
      </c>
      <c r="Q8" s="117">
        <v>15</v>
      </c>
      <c r="R8" s="117">
        <v>16</v>
      </c>
      <c r="S8" s="117">
        <v>17</v>
      </c>
      <c r="T8" s="117">
        <v>18</v>
      </c>
      <c r="U8" s="117">
        <v>19</v>
      </c>
      <c r="V8" s="118">
        <v>20</v>
      </c>
      <c r="X8" s="171"/>
      <c r="Y8" s="171"/>
      <c r="Z8" s="171"/>
      <c r="AA8" s="173"/>
    </row>
    <row r="9" spans="1:27" ht="15" customHeight="1">
      <c r="A9" s="66"/>
      <c r="B9" s="112">
        <v>1</v>
      </c>
      <c r="C9" s="119">
        <f t="shared" ref="C9:L18" si="0">SUMIFS(SumaFA,CentroFA,$B9,TurnoFA,C$8)</f>
        <v>0</v>
      </c>
      <c r="D9" s="119">
        <f t="shared" si="0"/>
        <v>1</v>
      </c>
      <c r="E9" s="119">
        <f t="shared" si="0"/>
        <v>1</v>
      </c>
      <c r="F9" s="119">
        <f t="shared" si="0"/>
        <v>1</v>
      </c>
      <c r="G9" s="119">
        <f t="shared" si="0"/>
        <v>1</v>
      </c>
      <c r="H9" s="119">
        <f t="shared" si="0"/>
        <v>1</v>
      </c>
      <c r="I9" s="119">
        <f t="shared" si="0"/>
        <v>1</v>
      </c>
      <c r="J9" s="119">
        <f t="shared" si="0"/>
        <v>1</v>
      </c>
      <c r="K9" s="119">
        <f t="shared" si="0"/>
        <v>1</v>
      </c>
      <c r="L9" s="119">
        <f t="shared" si="0"/>
        <v>1</v>
      </c>
      <c r="M9" s="119">
        <f t="shared" ref="M9:V18" si="1">SUMIFS(SumaFA,CentroFA,$B9,TurnoFA,M$8)</f>
        <v>0</v>
      </c>
      <c r="N9" s="119">
        <f t="shared" si="1"/>
        <v>0</v>
      </c>
      <c r="O9" s="119">
        <f t="shared" si="1"/>
        <v>0</v>
      </c>
      <c r="P9" s="119">
        <f t="shared" si="1"/>
        <v>0</v>
      </c>
      <c r="Q9" s="119">
        <f t="shared" si="1"/>
        <v>0</v>
      </c>
      <c r="R9" s="119">
        <f t="shared" si="1"/>
        <v>0</v>
      </c>
      <c r="S9" s="119">
        <f t="shared" si="1"/>
        <v>0</v>
      </c>
      <c r="T9" s="119">
        <f t="shared" si="1"/>
        <v>0</v>
      </c>
      <c r="U9" s="119">
        <f t="shared" si="1"/>
        <v>0</v>
      </c>
      <c r="V9" s="119">
        <f t="shared" si="1"/>
        <v>0</v>
      </c>
      <c r="X9" s="130" t="s">
        <v>48</v>
      </c>
      <c r="Y9" s="113">
        <f t="shared" ref="Y9:Y30" si="2">SUMIF(CentroFA,$B9,Stella_Lugo)</f>
        <v>119</v>
      </c>
      <c r="Z9" s="113">
        <f t="shared" ref="Z9:Z30" si="3">SUMIF(CentroFA,$B9,Gregorio_Graterol)</f>
        <v>159</v>
      </c>
      <c r="AA9" s="132">
        <f t="shared" ref="AA9:AA30" si="4">SUMIF(CentroFA,$B9,OtroFA)</f>
        <v>0</v>
      </c>
    </row>
    <row r="10" spans="1:27" ht="15" customHeight="1">
      <c r="A10" s="66"/>
      <c r="B10" s="70">
        <v>2</v>
      </c>
      <c r="C10" s="119">
        <f t="shared" si="0"/>
        <v>0</v>
      </c>
      <c r="D10" s="119">
        <f t="shared" si="0"/>
        <v>1</v>
      </c>
      <c r="E10" s="119">
        <f t="shared" si="0"/>
        <v>2</v>
      </c>
      <c r="F10" s="119">
        <f t="shared" si="0"/>
        <v>2</v>
      </c>
      <c r="G10" s="119">
        <f t="shared" si="0"/>
        <v>1</v>
      </c>
      <c r="H10" s="119">
        <f t="shared" si="0"/>
        <v>1</v>
      </c>
      <c r="I10" s="119">
        <f t="shared" si="0"/>
        <v>1</v>
      </c>
      <c r="J10" s="119">
        <f t="shared" si="0"/>
        <v>1</v>
      </c>
      <c r="K10" s="119">
        <f t="shared" si="0"/>
        <v>1</v>
      </c>
      <c r="L10" s="119">
        <f t="shared" si="0"/>
        <v>0</v>
      </c>
      <c r="M10" s="119">
        <f t="shared" si="1"/>
        <v>1</v>
      </c>
      <c r="N10" s="119">
        <f t="shared" si="1"/>
        <v>1</v>
      </c>
      <c r="O10" s="119">
        <f t="shared" si="1"/>
        <v>0</v>
      </c>
      <c r="P10" s="119">
        <f t="shared" si="1"/>
        <v>0</v>
      </c>
      <c r="Q10" s="119">
        <f t="shared" si="1"/>
        <v>0</v>
      </c>
      <c r="R10" s="119">
        <f t="shared" si="1"/>
        <v>0</v>
      </c>
      <c r="S10" s="119">
        <f t="shared" si="1"/>
        <v>0</v>
      </c>
      <c r="T10" s="119">
        <f t="shared" si="1"/>
        <v>0</v>
      </c>
      <c r="U10" s="119">
        <f t="shared" si="1"/>
        <v>0</v>
      </c>
      <c r="V10" s="119">
        <f t="shared" si="1"/>
        <v>0</v>
      </c>
      <c r="X10" s="130" t="s">
        <v>48</v>
      </c>
      <c r="Y10" s="113">
        <f t="shared" si="2"/>
        <v>1043</v>
      </c>
      <c r="Z10" s="113">
        <f t="shared" si="3"/>
        <v>900</v>
      </c>
      <c r="AA10" s="132">
        <f t="shared" si="4"/>
        <v>0</v>
      </c>
    </row>
    <row r="11" spans="1:27" ht="15" customHeight="1">
      <c r="A11" s="66"/>
      <c r="B11" s="70">
        <v>3</v>
      </c>
      <c r="C11" s="119">
        <f t="shared" si="0"/>
        <v>1</v>
      </c>
      <c r="D11" s="119">
        <f t="shared" si="0"/>
        <v>1</v>
      </c>
      <c r="E11" s="119">
        <f t="shared" si="0"/>
        <v>1</v>
      </c>
      <c r="F11" s="119">
        <f t="shared" si="0"/>
        <v>1</v>
      </c>
      <c r="G11" s="119">
        <f t="shared" si="0"/>
        <v>1</v>
      </c>
      <c r="H11" s="119">
        <f t="shared" si="0"/>
        <v>1</v>
      </c>
      <c r="I11" s="119">
        <f t="shared" si="0"/>
        <v>1</v>
      </c>
      <c r="J11" s="119">
        <f t="shared" si="0"/>
        <v>1</v>
      </c>
      <c r="K11" s="119">
        <f t="shared" si="0"/>
        <v>1</v>
      </c>
      <c r="L11" s="119">
        <f t="shared" si="0"/>
        <v>0</v>
      </c>
      <c r="M11" s="119">
        <f t="shared" si="1"/>
        <v>0</v>
      </c>
      <c r="N11" s="119">
        <f t="shared" si="1"/>
        <v>0</v>
      </c>
      <c r="O11" s="119">
        <f t="shared" si="1"/>
        <v>0</v>
      </c>
      <c r="P11" s="119">
        <f t="shared" si="1"/>
        <v>0</v>
      </c>
      <c r="Q11" s="119">
        <f t="shared" si="1"/>
        <v>0</v>
      </c>
      <c r="R11" s="119">
        <f t="shared" si="1"/>
        <v>0</v>
      </c>
      <c r="S11" s="119">
        <f t="shared" si="1"/>
        <v>0</v>
      </c>
      <c r="T11" s="119">
        <f t="shared" si="1"/>
        <v>0</v>
      </c>
      <c r="U11" s="119">
        <f t="shared" si="1"/>
        <v>0</v>
      </c>
      <c r="V11" s="119">
        <f t="shared" si="1"/>
        <v>0</v>
      </c>
      <c r="X11" s="130" t="s">
        <v>48</v>
      </c>
      <c r="Y11" s="113">
        <f t="shared" si="2"/>
        <v>215</v>
      </c>
      <c r="Z11" s="113">
        <f t="shared" si="3"/>
        <v>245</v>
      </c>
      <c r="AA11" s="132">
        <f t="shared" si="4"/>
        <v>2</v>
      </c>
    </row>
    <row r="12" spans="1:27" ht="15" customHeight="1">
      <c r="A12" s="66"/>
      <c r="B12" s="70">
        <v>4</v>
      </c>
      <c r="C12" s="119">
        <f t="shared" si="0"/>
        <v>0</v>
      </c>
      <c r="D12" s="119">
        <f t="shared" si="0"/>
        <v>1</v>
      </c>
      <c r="E12" s="119">
        <f t="shared" si="0"/>
        <v>1</v>
      </c>
      <c r="F12" s="119">
        <f t="shared" si="0"/>
        <v>1</v>
      </c>
      <c r="G12" s="119">
        <f t="shared" si="0"/>
        <v>1</v>
      </c>
      <c r="H12" s="119">
        <f t="shared" si="0"/>
        <v>1</v>
      </c>
      <c r="I12" s="119">
        <f t="shared" si="0"/>
        <v>1</v>
      </c>
      <c r="J12" s="119">
        <f t="shared" si="0"/>
        <v>1</v>
      </c>
      <c r="K12" s="119">
        <f t="shared" si="0"/>
        <v>1</v>
      </c>
      <c r="L12" s="119">
        <f t="shared" si="0"/>
        <v>1</v>
      </c>
      <c r="M12" s="119">
        <f t="shared" si="1"/>
        <v>0</v>
      </c>
      <c r="N12" s="119">
        <f t="shared" si="1"/>
        <v>0</v>
      </c>
      <c r="O12" s="119">
        <f t="shared" si="1"/>
        <v>0</v>
      </c>
      <c r="P12" s="119">
        <f t="shared" si="1"/>
        <v>0</v>
      </c>
      <c r="Q12" s="119">
        <f t="shared" si="1"/>
        <v>0</v>
      </c>
      <c r="R12" s="119">
        <f t="shared" si="1"/>
        <v>0</v>
      </c>
      <c r="S12" s="119">
        <f t="shared" si="1"/>
        <v>0</v>
      </c>
      <c r="T12" s="119">
        <f t="shared" si="1"/>
        <v>0</v>
      </c>
      <c r="U12" s="119">
        <f t="shared" si="1"/>
        <v>0</v>
      </c>
      <c r="V12" s="119">
        <f t="shared" si="1"/>
        <v>0</v>
      </c>
      <c r="X12" s="130" t="s">
        <v>48</v>
      </c>
      <c r="Y12" s="113">
        <f t="shared" si="2"/>
        <v>87</v>
      </c>
      <c r="Z12" s="113">
        <f t="shared" si="3"/>
        <v>165</v>
      </c>
      <c r="AA12" s="132">
        <f t="shared" si="4"/>
        <v>0</v>
      </c>
    </row>
    <row r="13" spans="1:27" ht="15" customHeight="1">
      <c r="A13" s="66"/>
      <c r="B13" s="70">
        <v>5</v>
      </c>
      <c r="C13" s="119">
        <f t="shared" si="0"/>
        <v>1</v>
      </c>
      <c r="D13" s="119">
        <f t="shared" si="0"/>
        <v>1</v>
      </c>
      <c r="E13" s="119">
        <f t="shared" si="0"/>
        <v>1</v>
      </c>
      <c r="F13" s="119">
        <f t="shared" si="0"/>
        <v>1</v>
      </c>
      <c r="G13" s="119">
        <f t="shared" si="0"/>
        <v>0</v>
      </c>
      <c r="H13" s="119">
        <f t="shared" si="0"/>
        <v>1</v>
      </c>
      <c r="I13" s="119">
        <f t="shared" si="0"/>
        <v>1</v>
      </c>
      <c r="J13" s="119">
        <f t="shared" si="0"/>
        <v>1</v>
      </c>
      <c r="K13" s="119">
        <f t="shared" si="0"/>
        <v>1</v>
      </c>
      <c r="L13" s="119">
        <f t="shared" si="0"/>
        <v>1</v>
      </c>
      <c r="M13" s="119">
        <f t="shared" si="1"/>
        <v>1</v>
      </c>
      <c r="N13" s="119">
        <f t="shared" si="1"/>
        <v>1</v>
      </c>
      <c r="O13" s="119">
        <f t="shared" si="1"/>
        <v>1</v>
      </c>
      <c r="P13" s="119">
        <f t="shared" si="1"/>
        <v>0</v>
      </c>
      <c r="Q13" s="119">
        <f t="shared" si="1"/>
        <v>0</v>
      </c>
      <c r="R13" s="119">
        <f t="shared" si="1"/>
        <v>0</v>
      </c>
      <c r="S13" s="119">
        <f t="shared" si="1"/>
        <v>0</v>
      </c>
      <c r="T13" s="119">
        <f t="shared" si="1"/>
        <v>0</v>
      </c>
      <c r="U13" s="119">
        <f t="shared" si="1"/>
        <v>0</v>
      </c>
      <c r="V13" s="119">
        <f t="shared" si="1"/>
        <v>0</v>
      </c>
      <c r="X13" s="130" t="s">
        <v>48</v>
      </c>
      <c r="Y13" s="113">
        <f t="shared" si="2"/>
        <v>162</v>
      </c>
      <c r="Z13" s="113">
        <f t="shared" si="3"/>
        <v>178</v>
      </c>
      <c r="AA13" s="132">
        <f t="shared" si="4"/>
        <v>144</v>
      </c>
    </row>
    <row r="14" spans="1:27" ht="15" customHeight="1">
      <c r="B14" s="70">
        <v>6</v>
      </c>
      <c r="C14" s="119">
        <f t="shared" si="0"/>
        <v>1</v>
      </c>
      <c r="D14" s="119">
        <f t="shared" si="0"/>
        <v>1</v>
      </c>
      <c r="E14" s="119">
        <f t="shared" si="0"/>
        <v>1</v>
      </c>
      <c r="F14" s="119">
        <f t="shared" si="0"/>
        <v>1</v>
      </c>
      <c r="G14" s="119">
        <f t="shared" si="0"/>
        <v>1</v>
      </c>
      <c r="H14" s="119">
        <f t="shared" si="0"/>
        <v>1</v>
      </c>
      <c r="I14" s="119">
        <f t="shared" si="0"/>
        <v>1</v>
      </c>
      <c r="J14" s="119">
        <f t="shared" si="0"/>
        <v>1</v>
      </c>
      <c r="K14" s="119">
        <f t="shared" si="0"/>
        <v>1</v>
      </c>
      <c r="L14" s="119">
        <f t="shared" si="0"/>
        <v>1</v>
      </c>
      <c r="M14" s="119">
        <f t="shared" si="1"/>
        <v>1</v>
      </c>
      <c r="N14" s="119">
        <f t="shared" si="1"/>
        <v>1</v>
      </c>
      <c r="O14" s="119">
        <f t="shared" si="1"/>
        <v>1</v>
      </c>
      <c r="P14" s="119">
        <f t="shared" si="1"/>
        <v>1</v>
      </c>
      <c r="Q14" s="119">
        <f t="shared" si="1"/>
        <v>0</v>
      </c>
      <c r="R14" s="119">
        <f t="shared" si="1"/>
        <v>0</v>
      </c>
      <c r="S14" s="119">
        <f t="shared" si="1"/>
        <v>0</v>
      </c>
      <c r="T14" s="119">
        <f t="shared" si="1"/>
        <v>0</v>
      </c>
      <c r="U14" s="119">
        <f t="shared" si="1"/>
        <v>0</v>
      </c>
      <c r="V14" s="119">
        <f t="shared" si="1"/>
        <v>0</v>
      </c>
      <c r="X14" s="130" t="s">
        <v>48</v>
      </c>
      <c r="Y14" s="113">
        <f t="shared" si="2"/>
        <v>174</v>
      </c>
      <c r="Z14" s="113">
        <f t="shared" si="3"/>
        <v>126</v>
      </c>
      <c r="AA14" s="132">
        <f t="shared" si="4"/>
        <v>3</v>
      </c>
    </row>
    <row r="15" spans="1:27" ht="15" customHeight="1">
      <c r="B15" s="70">
        <v>7</v>
      </c>
      <c r="C15" s="119">
        <f t="shared" si="0"/>
        <v>1</v>
      </c>
      <c r="D15" s="119">
        <f t="shared" si="0"/>
        <v>1</v>
      </c>
      <c r="E15" s="119">
        <f t="shared" si="0"/>
        <v>1</v>
      </c>
      <c r="F15" s="119">
        <f t="shared" si="0"/>
        <v>1</v>
      </c>
      <c r="G15" s="119">
        <f t="shared" si="0"/>
        <v>0</v>
      </c>
      <c r="H15" s="119">
        <f t="shared" si="0"/>
        <v>0</v>
      </c>
      <c r="I15" s="119">
        <f t="shared" si="0"/>
        <v>0</v>
      </c>
      <c r="J15" s="119">
        <f t="shared" si="0"/>
        <v>0</v>
      </c>
      <c r="K15" s="119">
        <f t="shared" si="0"/>
        <v>0</v>
      </c>
      <c r="L15" s="119">
        <f t="shared" si="0"/>
        <v>1</v>
      </c>
      <c r="M15" s="119">
        <f t="shared" si="1"/>
        <v>0</v>
      </c>
      <c r="N15" s="119">
        <f t="shared" si="1"/>
        <v>0</v>
      </c>
      <c r="O15" s="119">
        <f t="shared" si="1"/>
        <v>0</v>
      </c>
      <c r="P15" s="119">
        <f t="shared" si="1"/>
        <v>0</v>
      </c>
      <c r="Q15" s="119">
        <f t="shared" si="1"/>
        <v>0</v>
      </c>
      <c r="R15" s="119">
        <f t="shared" si="1"/>
        <v>0</v>
      </c>
      <c r="S15" s="119">
        <f t="shared" si="1"/>
        <v>0</v>
      </c>
      <c r="T15" s="119">
        <f t="shared" si="1"/>
        <v>0</v>
      </c>
      <c r="U15" s="119">
        <f t="shared" si="1"/>
        <v>0</v>
      </c>
      <c r="V15" s="119">
        <f t="shared" si="1"/>
        <v>0</v>
      </c>
      <c r="X15" s="130" t="s">
        <v>48</v>
      </c>
      <c r="Y15" s="113">
        <f t="shared" si="2"/>
        <v>263</v>
      </c>
      <c r="Z15" s="113">
        <f t="shared" si="3"/>
        <v>361</v>
      </c>
      <c r="AA15" s="132">
        <f t="shared" si="4"/>
        <v>7</v>
      </c>
    </row>
    <row r="16" spans="1:27" ht="15" customHeight="1">
      <c r="B16" s="70">
        <v>8</v>
      </c>
      <c r="C16" s="119">
        <f t="shared" si="0"/>
        <v>1</v>
      </c>
      <c r="D16" s="119">
        <f t="shared" si="0"/>
        <v>1</v>
      </c>
      <c r="E16" s="119">
        <f t="shared" si="0"/>
        <v>1</v>
      </c>
      <c r="F16" s="119">
        <f t="shared" si="0"/>
        <v>1</v>
      </c>
      <c r="G16" s="119">
        <f t="shared" si="0"/>
        <v>1</v>
      </c>
      <c r="H16" s="119">
        <f t="shared" si="0"/>
        <v>1</v>
      </c>
      <c r="I16" s="119">
        <f t="shared" si="0"/>
        <v>1</v>
      </c>
      <c r="J16" s="119">
        <f t="shared" si="0"/>
        <v>1</v>
      </c>
      <c r="K16" s="119">
        <f t="shared" si="0"/>
        <v>1</v>
      </c>
      <c r="L16" s="119">
        <f t="shared" si="0"/>
        <v>1</v>
      </c>
      <c r="M16" s="119">
        <f t="shared" si="1"/>
        <v>1</v>
      </c>
      <c r="N16" s="119">
        <f t="shared" si="1"/>
        <v>0</v>
      </c>
      <c r="O16" s="119">
        <f t="shared" si="1"/>
        <v>0</v>
      </c>
      <c r="P16" s="119">
        <f t="shared" si="1"/>
        <v>0</v>
      </c>
      <c r="Q16" s="119">
        <f t="shared" si="1"/>
        <v>0</v>
      </c>
      <c r="R16" s="119">
        <f t="shared" si="1"/>
        <v>0</v>
      </c>
      <c r="S16" s="119">
        <f t="shared" si="1"/>
        <v>0</v>
      </c>
      <c r="T16" s="119">
        <f t="shared" si="1"/>
        <v>0</v>
      </c>
      <c r="U16" s="119">
        <f t="shared" si="1"/>
        <v>0</v>
      </c>
      <c r="V16" s="119">
        <f t="shared" si="1"/>
        <v>0</v>
      </c>
      <c r="X16" s="130" t="s">
        <v>48</v>
      </c>
      <c r="Y16" s="113">
        <f t="shared" si="2"/>
        <v>228</v>
      </c>
      <c r="Z16" s="113">
        <f t="shared" si="3"/>
        <v>203</v>
      </c>
      <c r="AA16" s="132">
        <f t="shared" si="4"/>
        <v>0</v>
      </c>
    </row>
    <row r="17" spans="2:27" ht="15" customHeight="1">
      <c r="B17" s="70">
        <v>9</v>
      </c>
      <c r="C17" s="119">
        <f t="shared" si="0"/>
        <v>1</v>
      </c>
      <c r="D17" s="119">
        <f t="shared" si="0"/>
        <v>1</v>
      </c>
      <c r="E17" s="119">
        <f t="shared" si="0"/>
        <v>1</v>
      </c>
      <c r="F17" s="119">
        <f t="shared" si="0"/>
        <v>1</v>
      </c>
      <c r="G17" s="119">
        <f t="shared" si="0"/>
        <v>1</v>
      </c>
      <c r="H17" s="119">
        <f t="shared" si="0"/>
        <v>1</v>
      </c>
      <c r="I17" s="119">
        <f t="shared" si="0"/>
        <v>1</v>
      </c>
      <c r="J17" s="119">
        <f t="shared" si="0"/>
        <v>1</v>
      </c>
      <c r="K17" s="119">
        <f t="shared" si="0"/>
        <v>1</v>
      </c>
      <c r="L17" s="119">
        <f t="shared" si="0"/>
        <v>2</v>
      </c>
      <c r="M17" s="119">
        <f t="shared" si="1"/>
        <v>2</v>
      </c>
      <c r="N17" s="119">
        <f t="shared" si="1"/>
        <v>2</v>
      </c>
      <c r="O17" s="119">
        <f t="shared" si="1"/>
        <v>1</v>
      </c>
      <c r="P17" s="119">
        <f t="shared" si="1"/>
        <v>1</v>
      </c>
      <c r="Q17" s="119">
        <f t="shared" si="1"/>
        <v>0</v>
      </c>
      <c r="R17" s="119">
        <f t="shared" si="1"/>
        <v>0</v>
      </c>
      <c r="S17" s="119">
        <f t="shared" si="1"/>
        <v>0</v>
      </c>
      <c r="T17" s="119">
        <f t="shared" si="1"/>
        <v>0</v>
      </c>
      <c r="U17" s="119">
        <f t="shared" si="1"/>
        <v>0</v>
      </c>
      <c r="V17" s="119">
        <f t="shared" si="1"/>
        <v>0</v>
      </c>
      <c r="X17" s="130" t="s">
        <v>48</v>
      </c>
      <c r="Y17" s="113">
        <f t="shared" si="2"/>
        <v>98</v>
      </c>
      <c r="Z17" s="113">
        <f t="shared" si="3"/>
        <v>71</v>
      </c>
      <c r="AA17" s="132">
        <f t="shared" si="4"/>
        <v>2</v>
      </c>
    </row>
    <row r="18" spans="2:27" ht="15" customHeight="1">
      <c r="B18" s="70">
        <v>10</v>
      </c>
      <c r="C18" s="119">
        <f t="shared" si="0"/>
        <v>1</v>
      </c>
      <c r="D18" s="119">
        <f t="shared" si="0"/>
        <v>1</v>
      </c>
      <c r="E18" s="119">
        <f t="shared" si="0"/>
        <v>1</v>
      </c>
      <c r="F18" s="119">
        <f t="shared" si="0"/>
        <v>1</v>
      </c>
      <c r="G18" s="119">
        <f t="shared" si="0"/>
        <v>1</v>
      </c>
      <c r="H18" s="119">
        <f t="shared" si="0"/>
        <v>0</v>
      </c>
      <c r="I18" s="119">
        <f t="shared" si="0"/>
        <v>0</v>
      </c>
      <c r="J18" s="119">
        <f t="shared" si="0"/>
        <v>0</v>
      </c>
      <c r="K18" s="119">
        <f t="shared" si="0"/>
        <v>0</v>
      </c>
      <c r="L18" s="119">
        <f t="shared" si="0"/>
        <v>0</v>
      </c>
      <c r="M18" s="119">
        <f t="shared" si="1"/>
        <v>0</v>
      </c>
      <c r="N18" s="119">
        <f t="shared" si="1"/>
        <v>0</v>
      </c>
      <c r="O18" s="119">
        <f t="shared" si="1"/>
        <v>0</v>
      </c>
      <c r="P18" s="119">
        <f t="shared" si="1"/>
        <v>0</v>
      </c>
      <c r="Q18" s="119">
        <f t="shared" si="1"/>
        <v>0</v>
      </c>
      <c r="R18" s="119">
        <f t="shared" si="1"/>
        <v>0</v>
      </c>
      <c r="S18" s="119">
        <f t="shared" si="1"/>
        <v>0</v>
      </c>
      <c r="T18" s="119">
        <f t="shared" si="1"/>
        <v>0</v>
      </c>
      <c r="U18" s="119">
        <f t="shared" si="1"/>
        <v>0</v>
      </c>
      <c r="V18" s="119">
        <f t="shared" si="1"/>
        <v>0</v>
      </c>
      <c r="X18" s="130" t="s">
        <v>48</v>
      </c>
      <c r="Y18" s="113">
        <f t="shared" si="2"/>
        <v>115</v>
      </c>
      <c r="Z18" s="113">
        <f t="shared" si="3"/>
        <v>269</v>
      </c>
      <c r="AA18" s="132">
        <f t="shared" si="4"/>
        <v>0</v>
      </c>
    </row>
    <row r="19" spans="2:27" ht="15" customHeight="1">
      <c r="B19" s="70">
        <v>11</v>
      </c>
      <c r="C19" s="119">
        <f t="shared" ref="C19:L28" si="5">SUMIFS(SumaFA,CentroFA,$B19,TurnoFA,C$8)</f>
        <v>1</v>
      </c>
      <c r="D19" s="119">
        <f t="shared" si="5"/>
        <v>1</v>
      </c>
      <c r="E19" s="119">
        <f t="shared" si="5"/>
        <v>1</v>
      </c>
      <c r="F19" s="119">
        <f t="shared" si="5"/>
        <v>1</v>
      </c>
      <c r="G19" s="119">
        <f t="shared" si="5"/>
        <v>1</v>
      </c>
      <c r="H19" s="119">
        <f t="shared" si="5"/>
        <v>1</v>
      </c>
      <c r="I19" s="119">
        <f t="shared" si="5"/>
        <v>1</v>
      </c>
      <c r="J19" s="119">
        <f t="shared" si="5"/>
        <v>1</v>
      </c>
      <c r="K19" s="119">
        <f t="shared" si="5"/>
        <v>1</v>
      </c>
      <c r="L19" s="119">
        <f t="shared" si="5"/>
        <v>0</v>
      </c>
      <c r="M19" s="119">
        <f t="shared" ref="M19:V28" si="6">SUMIFS(SumaFA,CentroFA,$B19,TurnoFA,M$8)</f>
        <v>0</v>
      </c>
      <c r="N19" s="119">
        <f t="shared" si="6"/>
        <v>0</v>
      </c>
      <c r="O19" s="119">
        <f t="shared" si="6"/>
        <v>0</v>
      </c>
      <c r="P19" s="119">
        <f t="shared" si="6"/>
        <v>0</v>
      </c>
      <c r="Q19" s="119">
        <f t="shared" si="6"/>
        <v>0</v>
      </c>
      <c r="R19" s="119">
        <f t="shared" si="6"/>
        <v>0</v>
      </c>
      <c r="S19" s="119">
        <f t="shared" si="6"/>
        <v>0</v>
      </c>
      <c r="T19" s="119">
        <f t="shared" si="6"/>
        <v>0</v>
      </c>
      <c r="U19" s="119">
        <f t="shared" si="6"/>
        <v>0</v>
      </c>
      <c r="V19" s="119">
        <f t="shared" si="6"/>
        <v>0</v>
      </c>
      <c r="X19" s="130" t="s">
        <v>32</v>
      </c>
      <c r="Y19" s="113">
        <f t="shared" si="2"/>
        <v>858</v>
      </c>
      <c r="Z19" s="113">
        <f t="shared" si="3"/>
        <v>401</v>
      </c>
      <c r="AA19" s="132">
        <f t="shared" si="4"/>
        <v>0</v>
      </c>
    </row>
    <row r="20" spans="2:27" ht="15" customHeight="1">
      <c r="B20" s="70">
        <v>12</v>
      </c>
      <c r="C20" s="119">
        <f t="shared" si="5"/>
        <v>1</v>
      </c>
      <c r="D20" s="119">
        <f t="shared" si="5"/>
        <v>1</v>
      </c>
      <c r="E20" s="119">
        <f t="shared" si="5"/>
        <v>1</v>
      </c>
      <c r="F20" s="119">
        <f t="shared" si="5"/>
        <v>1</v>
      </c>
      <c r="G20" s="119">
        <f t="shared" si="5"/>
        <v>1</v>
      </c>
      <c r="H20" s="119">
        <f t="shared" si="5"/>
        <v>1</v>
      </c>
      <c r="I20" s="119">
        <f t="shared" si="5"/>
        <v>1</v>
      </c>
      <c r="J20" s="119">
        <f t="shared" si="5"/>
        <v>1</v>
      </c>
      <c r="K20" s="119">
        <f t="shared" si="5"/>
        <v>1</v>
      </c>
      <c r="L20" s="119">
        <f t="shared" si="5"/>
        <v>1</v>
      </c>
      <c r="M20" s="119">
        <f t="shared" si="6"/>
        <v>0</v>
      </c>
      <c r="N20" s="119">
        <f t="shared" si="6"/>
        <v>0</v>
      </c>
      <c r="O20" s="119">
        <f t="shared" si="6"/>
        <v>0</v>
      </c>
      <c r="P20" s="119">
        <f t="shared" si="6"/>
        <v>0</v>
      </c>
      <c r="Q20" s="119">
        <f t="shared" si="6"/>
        <v>0</v>
      </c>
      <c r="R20" s="119">
        <f t="shared" si="6"/>
        <v>0</v>
      </c>
      <c r="S20" s="119">
        <f t="shared" si="6"/>
        <v>0</v>
      </c>
      <c r="T20" s="119">
        <f t="shared" si="6"/>
        <v>0</v>
      </c>
      <c r="U20" s="119">
        <f t="shared" si="6"/>
        <v>0</v>
      </c>
      <c r="V20" s="119">
        <f t="shared" si="6"/>
        <v>0</v>
      </c>
      <c r="X20" s="130" t="s">
        <v>32</v>
      </c>
      <c r="Y20" s="113">
        <f t="shared" si="2"/>
        <v>376</v>
      </c>
      <c r="Z20" s="113">
        <f t="shared" si="3"/>
        <v>166</v>
      </c>
      <c r="AA20" s="132">
        <f t="shared" si="4"/>
        <v>0</v>
      </c>
    </row>
    <row r="21" spans="2:27" ht="15" customHeight="1">
      <c r="B21" s="70">
        <v>13</v>
      </c>
      <c r="C21" s="119">
        <f t="shared" si="5"/>
        <v>1</v>
      </c>
      <c r="D21" s="119">
        <f t="shared" si="5"/>
        <v>1</v>
      </c>
      <c r="E21" s="119">
        <f t="shared" si="5"/>
        <v>1</v>
      </c>
      <c r="F21" s="119">
        <f t="shared" si="5"/>
        <v>1</v>
      </c>
      <c r="G21" s="119">
        <f t="shared" si="5"/>
        <v>1</v>
      </c>
      <c r="H21" s="119">
        <f t="shared" si="5"/>
        <v>1</v>
      </c>
      <c r="I21" s="119">
        <f t="shared" si="5"/>
        <v>1</v>
      </c>
      <c r="J21" s="119">
        <f t="shared" si="5"/>
        <v>1</v>
      </c>
      <c r="K21" s="119">
        <f t="shared" si="5"/>
        <v>1</v>
      </c>
      <c r="L21" s="119">
        <f t="shared" si="5"/>
        <v>1</v>
      </c>
      <c r="M21" s="119">
        <f t="shared" si="6"/>
        <v>1</v>
      </c>
      <c r="N21" s="119">
        <f t="shared" si="6"/>
        <v>1</v>
      </c>
      <c r="O21" s="119">
        <f t="shared" si="6"/>
        <v>1</v>
      </c>
      <c r="P21" s="119">
        <f t="shared" si="6"/>
        <v>1</v>
      </c>
      <c r="Q21" s="119">
        <f t="shared" si="6"/>
        <v>1</v>
      </c>
      <c r="R21" s="119">
        <f t="shared" si="6"/>
        <v>1</v>
      </c>
      <c r="S21" s="119">
        <f t="shared" si="6"/>
        <v>1</v>
      </c>
      <c r="T21" s="119">
        <f t="shared" si="6"/>
        <v>1</v>
      </c>
      <c r="U21" s="119">
        <f t="shared" si="6"/>
        <v>0</v>
      </c>
      <c r="V21" s="119">
        <f t="shared" si="6"/>
        <v>0</v>
      </c>
      <c r="X21" s="130" t="s">
        <v>9</v>
      </c>
      <c r="Y21" s="113">
        <f t="shared" si="2"/>
        <v>212</v>
      </c>
      <c r="Z21" s="113">
        <f t="shared" si="3"/>
        <v>161</v>
      </c>
      <c r="AA21" s="132">
        <f t="shared" si="4"/>
        <v>0</v>
      </c>
    </row>
    <row r="22" spans="2:27" ht="15" customHeight="1">
      <c r="B22" s="70">
        <v>14</v>
      </c>
      <c r="C22" s="119">
        <f t="shared" si="5"/>
        <v>1</v>
      </c>
      <c r="D22" s="119">
        <f t="shared" si="5"/>
        <v>1</v>
      </c>
      <c r="E22" s="119">
        <f t="shared" si="5"/>
        <v>1</v>
      </c>
      <c r="F22" s="119">
        <f t="shared" si="5"/>
        <v>1</v>
      </c>
      <c r="G22" s="119">
        <f t="shared" si="5"/>
        <v>2</v>
      </c>
      <c r="H22" s="119">
        <f t="shared" si="5"/>
        <v>2</v>
      </c>
      <c r="I22" s="119">
        <f t="shared" si="5"/>
        <v>1</v>
      </c>
      <c r="J22" s="119">
        <f t="shared" si="5"/>
        <v>1</v>
      </c>
      <c r="K22" s="119">
        <f t="shared" si="5"/>
        <v>1</v>
      </c>
      <c r="L22" s="119">
        <f t="shared" si="5"/>
        <v>0</v>
      </c>
      <c r="M22" s="119">
        <f t="shared" si="6"/>
        <v>0</v>
      </c>
      <c r="N22" s="119">
        <f t="shared" si="6"/>
        <v>0</v>
      </c>
      <c r="O22" s="119">
        <f t="shared" si="6"/>
        <v>0</v>
      </c>
      <c r="P22" s="119">
        <f t="shared" si="6"/>
        <v>0</v>
      </c>
      <c r="Q22" s="119">
        <f t="shared" si="6"/>
        <v>0</v>
      </c>
      <c r="R22" s="119">
        <f t="shared" si="6"/>
        <v>0</v>
      </c>
      <c r="S22" s="119">
        <f t="shared" si="6"/>
        <v>0</v>
      </c>
      <c r="T22" s="119">
        <f t="shared" si="6"/>
        <v>0</v>
      </c>
      <c r="U22" s="119">
        <f t="shared" si="6"/>
        <v>0</v>
      </c>
      <c r="V22" s="119">
        <f t="shared" si="6"/>
        <v>0</v>
      </c>
      <c r="X22" s="130" t="s">
        <v>9</v>
      </c>
      <c r="Y22" s="113">
        <f t="shared" si="2"/>
        <v>55</v>
      </c>
      <c r="Z22" s="113">
        <f t="shared" si="3"/>
        <v>78</v>
      </c>
      <c r="AA22" s="132">
        <f t="shared" si="4"/>
        <v>0</v>
      </c>
    </row>
    <row r="23" spans="2:27" ht="15" customHeight="1">
      <c r="B23" s="70">
        <v>15</v>
      </c>
      <c r="C23" s="119">
        <f t="shared" si="5"/>
        <v>1</v>
      </c>
      <c r="D23" s="119">
        <f t="shared" si="5"/>
        <v>1</v>
      </c>
      <c r="E23" s="119">
        <f t="shared" si="5"/>
        <v>1</v>
      </c>
      <c r="F23" s="119">
        <f t="shared" si="5"/>
        <v>1</v>
      </c>
      <c r="G23" s="119">
        <f t="shared" si="5"/>
        <v>1</v>
      </c>
      <c r="H23" s="119">
        <f t="shared" si="5"/>
        <v>1</v>
      </c>
      <c r="I23" s="119">
        <f t="shared" si="5"/>
        <v>1</v>
      </c>
      <c r="J23" s="119">
        <f t="shared" si="5"/>
        <v>1</v>
      </c>
      <c r="K23" s="119">
        <f t="shared" si="5"/>
        <v>0</v>
      </c>
      <c r="L23" s="119">
        <f t="shared" si="5"/>
        <v>0</v>
      </c>
      <c r="M23" s="119">
        <f t="shared" si="6"/>
        <v>0</v>
      </c>
      <c r="N23" s="119">
        <f t="shared" si="6"/>
        <v>0</v>
      </c>
      <c r="O23" s="119">
        <f t="shared" si="6"/>
        <v>0</v>
      </c>
      <c r="P23" s="119">
        <f t="shared" si="6"/>
        <v>0</v>
      </c>
      <c r="Q23" s="119">
        <f t="shared" si="6"/>
        <v>0</v>
      </c>
      <c r="R23" s="119">
        <f t="shared" si="6"/>
        <v>0</v>
      </c>
      <c r="S23" s="119">
        <f t="shared" si="6"/>
        <v>0</v>
      </c>
      <c r="T23" s="119">
        <f t="shared" si="6"/>
        <v>0</v>
      </c>
      <c r="U23" s="119">
        <f t="shared" si="6"/>
        <v>0</v>
      </c>
      <c r="V23" s="119">
        <f t="shared" si="6"/>
        <v>0</v>
      </c>
      <c r="X23" s="130" t="s">
        <v>9</v>
      </c>
      <c r="Y23" s="113">
        <f t="shared" si="2"/>
        <v>96</v>
      </c>
      <c r="Z23" s="113">
        <f t="shared" si="3"/>
        <v>108</v>
      </c>
      <c r="AA23" s="132">
        <f t="shared" si="4"/>
        <v>1</v>
      </c>
    </row>
    <row r="24" spans="2:27" ht="15" customHeight="1">
      <c r="B24" s="70">
        <v>16</v>
      </c>
      <c r="C24" s="119">
        <f t="shared" si="5"/>
        <v>0</v>
      </c>
      <c r="D24" s="119">
        <f t="shared" si="5"/>
        <v>1</v>
      </c>
      <c r="E24" s="119">
        <f t="shared" si="5"/>
        <v>1</v>
      </c>
      <c r="F24" s="119">
        <f t="shared" si="5"/>
        <v>1</v>
      </c>
      <c r="G24" s="119">
        <f t="shared" si="5"/>
        <v>1</v>
      </c>
      <c r="H24" s="119">
        <f t="shared" si="5"/>
        <v>2</v>
      </c>
      <c r="I24" s="119">
        <f t="shared" si="5"/>
        <v>1</v>
      </c>
      <c r="J24" s="119">
        <f t="shared" si="5"/>
        <v>1</v>
      </c>
      <c r="K24" s="119">
        <f t="shared" si="5"/>
        <v>2</v>
      </c>
      <c r="L24" s="119">
        <f t="shared" si="5"/>
        <v>2</v>
      </c>
      <c r="M24" s="119">
        <f t="shared" si="6"/>
        <v>1</v>
      </c>
      <c r="N24" s="119">
        <f t="shared" si="6"/>
        <v>1</v>
      </c>
      <c r="O24" s="119">
        <f t="shared" si="6"/>
        <v>1</v>
      </c>
      <c r="P24" s="119">
        <f t="shared" si="6"/>
        <v>1</v>
      </c>
      <c r="Q24" s="119">
        <f t="shared" si="6"/>
        <v>1</v>
      </c>
      <c r="R24" s="119">
        <f t="shared" si="6"/>
        <v>0</v>
      </c>
      <c r="S24" s="119">
        <f t="shared" si="6"/>
        <v>0</v>
      </c>
      <c r="T24" s="119">
        <f t="shared" si="6"/>
        <v>0</v>
      </c>
      <c r="U24" s="119">
        <f t="shared" si="6"/>
        <v>0</v>
      </c>
      <c r="V24" s="119">
        <f t="shared" si="6"/>
        <v>0</v>
      </c>
      <c r="X24" s="130" t="s">
        <v>9</v>
      </c>
      <c r="Y24" s="113">
        <f t="shared" si="2"/>
        <v>187</v>
      </c>
      <c r="Z24" s="113">
        <f t="shared" si="3"/>
        <v>250</v>
      </c>
      <c r="AA24" s="132">
        <f t="shared" si="4"/>
        <v>4</v>
      </c>
    </row>
    <row r="25" spans="2:27" ht="15" customHeight="1">
      <c r="B25" s="70">
        <v>17</v>
      </c>
      <c r="C25" s="119">
        <f t="shared" si="5"/>
        <v>1</v>
      </c>
      <c r="D25" s="119">
        <f t="shared" si="5"/>
        <v>1</v>
      </c>
      <c r="E25" s="119">
        <f t="shared" si="5"/>
        <v>1</v>
      </c>
      <c r="F25" s="119">
        <f t="shared" si="5"/>
        <v>1</v>
      </c>
      <c r="G25" s="119">
        <f t="shared" si="5"/>
        <v>1</v>
      </c>
      <c r="H25" s="119">
        <f t="shared" si="5"/>
        <v>1</v>
      </c>
      <c r="I25" s="119">
        <f t="shared" si="5"/>
        <v>1</v>
      </c>
      <c r="J25" s="119">
        <f t="shared" si="5"/>
        <v>1</v>
      </c>
      <c r="K25" s="119">
        <f t="shared" si="5"/>
        <v>1</v>
      </c>
      <c r="L25" s="119">
        <f t="shared" si="5"/>
        <v>0</v>
      </c>
      <c r="M25" s="119">
        <f t="shared" si="6"/>
        <v>0</v>
      </c>
      <c r="N25" s="119">
        <f t="shared" si="6"/>
        <v>0</v>
      </c>
      <c r="O25" s="119">
        <f t="shared" si="6"/>
        <v>0</v>
      </c>
      <c r="P25" s="119">
        <f t="shared" si="6"/>
        <v>0</v>
      </c>
      <c r="Q25" s="119">
        <f t="shared" si="6"/>
        <v>0</v>
      </c>
      <c r="R25" s="119">
        <f t="shared" si="6"/>
        <v>0</v>
      </c>
      <c r="S25" s="119">
        <f t="shared" si="6"/>
        <v>0</v>
      </c>
      <c r="T25" s="119">
        <f t="shared" si="6"/>
        <v>0</v>
      </c>
      <c r="U25" s="119">
        <f t="shared" si="6"/>
        <v>0</v>
      </c>
      <c r="V25" s="119">
        <f t="shared" si="6"/>
        <v>0</v>
      </c>
      <c r="X25" s="130" t="s">
        <v>9</v>
      </c>
      <c r="Y25" s="113">
        <f t="shared" si="2"/>
        <v>174</v>
      </c>
      <c r="Z25" s="113">
        <f t="shared" si="3"/>
        <v>214</v>
      </c>
      <c r="AA25" s="132">
        <f t="shared" si="4"/>
        <v>1</v>
      </c>
    </row>
    <row r="26" spans="2:27" ht="15" customHeight="1">
      <c r="B26" s="70">
        <v>18</v>
      </c>
      <c r="C26" s="119">
        <f t="shared" si="5"/>
        <v>1</v>
      </c>
      <c r="D26" s="119">
        <f t="shared" si="5"/>
        <v>1</v>
      </c>
      <c r="E26" s="119">
        <f t="shared" si="5"/>
        <v>1</v>
      </c>
      <c r="F26" s="119">
        <f t="shared" si="5"/>
        <v>1</v>
      </c>
      <c r="G26" s="119">
        <f t="shared" si="5"/>
        <v>1</v>
      </c>
      <c r="H26" s="119">
        <f t="shared" si="5"/>
        <v>1</v>
      </c>
      <c r="I26" s="119">
        <f t="shared" si="5"/>
        <v>1</v>
      </c>
      <c r="J26" s="119">
        <f t="shared" si="5"/>
        <v>1</v>
      </c>
      <c r="K26" s="119">
        <f t="shared" si="5"/>
        <v>1</v>
      </c>
      <c r="L26" s="119">
        <f t="shared" si="5"/>
        <v>1</v>
      </c>
      <c r="M26" s="119">
        <f t="shared" si="6"/>
        <v>1</v>
      </c>
      <c r="N26" s="119">
        <f t="shared" si="6"/>
        <v>0</v>
      </c>
      <c r="O26" s="119">
        <f t="shared" si="6"/>
        <v>0</v>
      </c>
      <c r="P26" s="119">
        <f t="shared" si="6"/>
        <v>0</v>
      </c>
      <c r="Q26" s="119">
        <f t="shared" si="6"/>
        <v>0</v>
      </c>
      <c r="R26" s="119">
        <f t="shared" si="6"/>
        <v>0</v>
      </c>
      <c r="S26" s="119">
        <f t="shared" si="6"/>
        <v>0</v>
      </c>
      <c r="T26" s="119">
        <f t="shared" si="6"/>
        <v>0</v>
      </c>
      <c r="U26" s="119">
        <f t="shared" si="6"/>
        <v>0</v>
      </c>
      <c r="V26" s="119">
        <f t="shared" si="6"/>
        <v>0</v>
      </c>
      <c r="X26" s="130" t="s">
        <v>9</v>
      </c>
      <c r="Y26" s="113">
        <f t="shared" si="2"/>
        <v>58</v>
      </c>
      <c r="Z26" s="113">
        <f t="shared" si="3"/>
        <v>172</v>
      </c>
      <c r="AA26" s="132">
        <f t="shared" si="4"/>
        <v>4</v>
      </c>
    </row>
    <row r="27" spans="2:27" ht="15" customHeight="1">
      <c r="B27" s="70">
        <v>19</v>
      </c>
      <c r="C27" s="119">
        <f t="shared" si="5"/>
        <v>1</v>
      </c>
      <c r="D27" s="119">
        <f t="shared" si="5"/>
        <v>1</v>
      </c>
      <c r="E27" s="119">
        <f t="shared" si="5"/>
        <v>1</v>
      </c>
      <c r="F27" s="119">
        <f t="shared" si="5"/>
        <v>2</v>
      </c>
      <c r="G27" s="119">
        <f t="shared" si="5"/>
        <v>1</v>
      </c>
      <c r="H27" s="119">
        <f t="shared" si="5"/>
        <v>1</v>
      </c>
      <c r="I27" s="119">
        <f t="shared" si="5"/>
        <v>1</v>
      </c>
      <c r="J27" s="119">
        <f t="shared" si="5"/>
        <v>1</v>
      </c>
      <c r="K27" s="119">
        <f t="shared" si="5"/>
        <v>1</v>
      </c>
      <c r="L27" s="119">
        <f t="shared" si="5"/>
        <v>1</v>
      </c>
      <c r="M27" s="119">
        <f t="shared" si="6"/>
        <v>0</v>
      </c>
      <c r="N27" s="119">
        <f t="shared" si="6"/>
        <v>1</v>
      </c>
      <c r="O27" s="119">
        <f t="shared" si="6"/>
        <v>1</v>
      </c>
      <c r="P27" s="119">
        <f t="shared" si="6"/>
        <v>0</v>
      </c>
      <c r="Q27" s="119">
        <f t="shared" si="6"/>
        <v>0</v>
      </c>
      <c r="R27" s="119">
        <f t="shared" si="6"/>
        <v>0</v>
      </c>
      <c r="S27" s="119">
        <f t="shared" si="6"/>
        <v>0</v>
      </c>
      <c r="T27" s="119">
        <f t="shared" si="6"/>
        <v>0</v>
      </c>
      <c r="U27" s="119">
        <f t="shared" si="6"/>
        <v>0</v>
      </c>
      <c r="V27" s="119">
        <f t="shared" si="6"/>
        <v>0</v>
      </c>
      <c r="X27" s="130" t="s">
        <v>9</v>
      </c>
      <c r="Y27" s="113">
        <f t="shared" si="2"/>
        <v>107</v>
      </c>
      <c r="Z27" s="113">
        <f t="shared" si="3"/>
        <v>167</v>
      </c>
      <c r="AA27" s="132">
        <f t="shared" si="4"/>
        <v>8</v>
      </c>
    </row>
    <row r="28" spans="2:27" ht="15" customHeight="1">
      <c r="B28" s="70">
        <v>20</v>
      </c>
      <c r="C28" s="119">
        <f t="shared" si="5"/>
        <v>1</v>
      </c>
      <c r="D28" s="119">
        <f t="shared" si="5"/>
        <v>1</v>
      </c>
      <c r="E28" s="119">
        <f t="shared" si="5"/>
        <v>1</v>
      </c>
      <c r="F28" s="119">
        <f t="shared" si="5"/>
        <v>1</v>
      </c>
      <c r="G28" s="119">
        <f t="shared" si="5"/>
        <v>1</v>
      </c>
      <c r="H28" s="119">
        <f t="shared" si="5"/>
        <v>1</v>
      </c>
      <c r="I28" s="119">
        <f t="shared" si="5"/>
        <v>1</v>
      </c>
      <c r="J28" s="119">
        <f t="shared" si="5"/>
        <v>1</v>
      </c>
      <c r="K28" s="119">
        <f t="shared" si="5"/>
        <v>1</v>
      </c>
      <c r="L28" s="119">
        <f t="shared" si="5"/>
        <v>1</v>
      </c>
      <c r="M28" s="119">
        <f t="shared" si="6"/>
        <v>1</v>
      </c>
      <c r="N28" s="119">
        <f t="shared" si="6"/>
        <v>1</v>
      </c>
      <c r="O28" s="119">
        <f t="shared" si="6"/>
        <v>1</v>
      </c>
      <c r="P28" s="119">
        <f t="shared" si="6"/>
        <v>1</v>
      </c>
      <c r="Q28" s="119">
        <f t="shared" si="6"/>
        <v>1</v>
      </c>
      <c r="R28" s="119">
        <f t="shared" si="6"/>
        <v>1</v>
      </c>
      <c r="S28" s="119">
        <f t="shared" si="6"/>
        <v>1</v>
      </c>
      <c r="T28" s="119">
        <f t="shared" si="6"/>
        <v>1</v>
      </c>
      <c r="U28" s="119">
        <f t="shared" si="6"/>
        <v>0</v>
      </c>
      <c r="V28" s="119">
        <f t="shared" si="6"/>
        <v>0</v>
      </c>
      <c r="X28" s="130" t="s">
        <v>9</v>
      </c>
      <c r="Y28" s="113">
        <f t="shared" si="2"/>
        <v>203</v>
      </c>
      <c r="Z28" s="113">
        <f t="shared" si="3"/>
        <v>234</v>
      </c>
      <c r="AA28" s="132">
        <f t="shared" si="4"/>
        <v>34</v>
      </c>
    </row>
    <row r="29" spans="2:27" ht="15" customHeight="1">
      <c r="B29" s="70">
        <v>21</v>
      </c>
      <c r="C29" s="119">
        <f t="shared" ref="C29:L30" si="7">SUMIFS(SumaFA,CentroFA,$B29,TurnoFA,C$8)</f>
        <v>1</v>
      </c>
      <c r="D29" s="119">
        <f t="shared" si="7"/>
        <v>1</v>
      </c>
      <c r="E29" s="119">
        <f t="shared" si="7"/>
        <v>1</v>
      </c>
      <c r="F29" s="119">
        <f t="shared" si="7"/>
        <v>1</v>
      </c>
      <c r="G29" s="119">
        <f t="shared" si="7"/>
        <v>0</v>
      </c>
      <c r="H29" s="119">
        <f t="shared" si="7"/>
        <v>0</v>
      </c>
      <c r="I29" s="119">
        <f t="shared" si="7"/>
        <v>0</v>
      </c>
      <c r="J29" s="119">
        <f t="shared" si="7"/>
        <v>0</v>
      </c>
      <c r="K29" s="119">
        <f t="shared" si="7"/>
        <v>0</v>
      </c>
      <c r="L29" s="119">
        <f t="shared" si="7"/>
        <v>0</v>
      </c>
      <c r="M29" s="119">
        <f t="shared" ref="M29:V30" si="8">SUMIFS(SumaFA,CentroFA,$B29,TurnoFA,M$8)</f>
        <v>0</v>
      </c>
      <c r="N29" s="119">
        <f t="shared" si="8"/>
        <v>0</v>
      </c>
      <c r="O29" s="119">
        <f t="shared" si="8"/>
        <v>0</v>
      </c>
      <c r="P29" s="119">
        <f t="shared" si="8"/>
        <v>0</v>
      </c>
      <c r="Q29" s="119">
        <f t="shared" si="8"/>
        <v>0</v>
      </c>
      <c r="R29" s="119">
        <f t="shared" si="8"/>
        <v>0</v>
      </c>
      <c r="S29" s="119">
        <f t="shared" si="8"/>
        <v>0</v>
      </c>
      <c r="T29" s="119">
        <f t="shared" si="8"/>
        <v>0</v>
      </c>
      <c r="U29" s="119">
        <f t="shared" si="8"/>
        <v>0</v>
      </c>
      <c r="V29" s="119">
        <f t="shared" si="8"/>
        <v>0</v>
      </c>
      <c r="X29" s="130" t="s">
        <v>12</v>
      </c>
      <c r="Y29" s="113">
        <f t="shared" si="2"/>
        <v>105</v>
      </c>
      <c r="Z29" s="113">
        <f t="shared" si="3"/>
        <v>91</v>
      </c>
      <c r="AA29" s="132">
        <f t="shared" si="4"/>
        <v>0</v>
      </c>
    </row>
    <row r="30" spans="2:27" ht="15" customHeight="1">
      <c r="B30" s="70">
        <v>22</v>
      </c>
      <c r="C30" s="119">
        <f t="shared" si="7"/>
        <v>2</v>
      </c>
      <c r="D30" s="119">
        <f t="shared" si="7"/>
        <v>1</v>
      </c>
      <c r="E30" s="119">
        <f t="shared" si="7"/>
        <v>1</v>
      </c>
      <c r="F30" s="119">
        <f t="shared" si="7"/>
        <v>1</v>
      </c>
      <c r="G30" s="119">
        <f t="shared" si="7"/>
        <v>1</v>
      </c>
      <c r="H30" s="119">
        <f t="shared" si="7"/>
        <v>1</v>
      </c>
      <c r="I30" s="119">
        <f t="shared" si="7"/>
        <v>1</v>
      </c>
      <c r="J30" s="119">
        <f t="shared" si="7"/>
        <v>0</v>
      </c>
      <c r="K30" s="119">
        <f t="shared" si="7"/>
        <v>0</v>
      </c>
      <c r="L30" s="119">
        <f t="shared" si="7"/>
        <v>0</v>
      </c>
      <c r="M30" s="119">
        <f t="shared" si="8"/>
        <v>0</v>
      </c>
      <c r="N30" s="119">
        <f t="shared" si="8"/>
        <v>0</v>
      </c>
      <c r="O30" s="119">
        <f t="shared" si="8"/>
        <v>0</v>
      </c>
      <c r="P30" s="119">
        <f t="shared" si="8"/>
        <v>0</v>
      </c>
      <c r="Q30" s="119">
        <f t="shared" si="8"/>
        <v>0</v>
      </c>
      <c r="R30" s="119">
        <f t="shared" si="8"/>
        <v>0</v>
      </c>
      <c r="S30" s="119">
        <f t="shared" si="8"/>
        <v>0</v>
      </c>
      <c r="T30" s="119">
        <f t="shared" si="8"/>
        <v>0</v>
      </c>
      <c r="U30" s="119">
        <f t="shared" si="8"/>
        <v>0</v>
      </c>
      <c r="V30" s="119">
        <f t="shared" si="8"/>
        <v>0</v>
      </c>
      <c r="X30" s="130" t="s">
        <v>12</v>
      </c>
      <c r="Y30" s="113">
        <f t="shared" si="2"/>
        <v>263</v>
      </c>
      <c r="Z30" s="113">
        <f t="shared" si="3"/>
        <v>397</v>
      </c>
      <c r="AA30" s="132">
        <f t="shared" si="4"/>
        <v>25</v>
      </c>
    </row>
    <row r="32" spans="2:27" ht="15" customHeight="1">
      <c r="X32" s="130" t="s">
        <v>48</v>
      </c>
      <c r="Y32" s="69">
        <f t="shared" ref="Y32:AA35" si="9">SUMIF(MunicipiosFA,$X32,Y$9:Y$30)</f>
        <v>2504</v>
      </c>
      <c r="Z32" s="69">
        <f t="shared" si="9"/>
        <v>2677</v>
      </c>
      <c r="AA32" s="69">
        <f t="shared" si="9"/>
        <v>158</v>
      </c>
    </row>
    <row r="33" spans="24:27" ht="15" customHeight="1">
      <c r="X33" s="130" t="s">
        <v>32</v>
      </c>
      <c r="Y33" s="69">
        <f t="shared" si="9"/>
        <v>1234</v>
      </c>
      <c r="Z33" s="69">
        <f t="shared" si="9"/>
        <v>567</v>
      </c>
      <c r="AA33" s="69">
        <f t="shared" si="9"/>
        <v>0</v>
      </c>
    </row>
    <row r="34" spans="24:27" ht="15" customHeight="1">
      <c r="X34" s="130" t="s">
        <v>9</v>
      </c>
      <c r="Y34" s="69">
        <f t="shared" si="9"/>
        <v>1092</v>
      </c>
      <c r="Z34" s="69">
        <f t="shared" si="9"/>
        <v>1384</v>
      </c>
      <c r="AA34" s="69">
        <f t="shared" si="9"/>
        <v>52</v>
      </c>
    </row>
    <row r="35" spans="24:27" ht="15" customHeight="1">
      <c r="X35" s="130" t="s">
        <v>12</v>
      </c>
      <c r="Y35" s="69">
        <f t="shared" si="9"/>
        <v>368</v>
      </c>
      <c r="Z35" s="69">
        <f t="shared" si="9"/>
        <v>488</v>
      </c>
      <c r="AA35" s="69">
        <f t="shared" si="9"/>
        <v>25</v>
      </c>
    </row>
  </sheetData>
  <sheetProtection selectLockedCells="1"/>
  <customSheetViews>
    <customSheetView guid="{E103CAA9-E8FB-4228-A076-3C3E3EEEC109}" showGridLines="0" showRowCol="0">
      <selection activeCell="Y2" sqref="Y2"/>
      <pageMargins left="0.75" right="0.75" top="1" bottom="1" header="0" footer="0"/>
      <pageSetup paperSize="9" orientation="portrait" r:id="rId1"/>
      <headerFooter alignWithMargins="0"/>
    </customSheetView>
    <customSheetView guid="{A77EC4ED-03BF-4540-A476-D8F99E900844}" showRuler="0">
      <selection activeCell="J24" sqref="J24"/>
      <pageMargins left="0.75" right="0.75" top="1" bottom="1" header="0" footer="0"/>
      <headerFooter alignWithMargins="0"/>
    </customSheetView>
    <customSheetView guid="{71ABA865-EF8A-4EB3-AA45-9433D0EFFA82}" showRuler="0">
      <selection activeCell="J24" sqref="J24"/>
      <pageMargins left="0.75" right="0.75" top="1" bottom="1" header="0" footer="0"/>
      <headerFooter alignWithMargins="0"/>
    </customSheetView>
    <customSheetView guid="{C985031D-D85E-4FDB-AC65-62493A942234}" showRuler="0">
      <selection activeCell="J24" sqref="J24"/>
      <pageMargins left="0.75" right="0.75" top="1" bottom="1" header="0" footer="0"/>
      <headerFooter alignWithMargins="0"/>
    </customSheetView>
    <customSheetView guid="{9FEEFF71-DB18-450A-9C46-2600DEBD4C2F}" showRuler="0">
      <selection activeCell="J24" sqref="J24"/>
      <pageMargins left="0.75" right="0.75" top="1" bottom="1" header="0" footer="0"/>
      <headerFooter alignWithMargins="0"/>
    </customSheetView>
    <customSheetView guid="{CA2040AE-62FD-482F-B99E-D7687506BEE4}" showRuler="0">
      <selection activeCell="J24" sqref="J24"/>
      <pageMargins left="0.75" right="0.75" top="1" bottom="1" header="0" footer="0"/>
      <headerFooter alignWithMargins="0"/>
    </customSheetView>
    <customSheetView guid="{8533A692-1FDC-4EF0-90A0-99C037A6D79B}" showPageBreaks="1" showRuler="0" topLeftCell="C1">
      <selection activeCell="C16" sqref="C16"/>
      <pageMargins left="0.75" right="0.75" top="1" bottom="1" header="0" footer="0"/>
      <headerFooter alignWithMargins="0"/>
    </customSheetView>
    <customSheetView guid="{57DF099C-2F69-48FA-8FC1-A9D4BE3C4B9B}" showRuler="0">
      <selection activeCell="J24" sqref="J24"/>
      <pageMargins left="0.75" right="0.75" top="1" bottom="1" header="0" footer="0"/>
      <headerFooter alignWithMargins="0"/>
    </customSheetView>
    <customSheetView guid="{6E31FC92-C3FF-4227-932A-BABD82E820B9}" showRuler="0">
      <selection activeCell="J24" sqref="J24"/>
      <pageMargins left="0.75" right="0.75" top="1" bottom="1" header="0" footer="0"/>
      <headerFooter alignWithMargins="0"/>
    </customSheetView>
    <customSheetView guid="{37EA6283-F051-4D0B-81C6-34EEB84CCDF0}" showGridLines="0" showRowCol="0">
      <selection activeCell="Y4" sqref="Y4"/>
      <pageMargins left="0.75" right="0.75" top="1" bottom="1" header="0" footer="0"/>
      <pageSetup paperSize="9" orientation="portrait" r:id="rId2"/>
      <headerFooter alignWithMargins="0"/>
    </customSheetView>
    <customSheetView guid="{A6A06E36-D96E-4193-B19F-8D7934C6230C}" showGridLines="0" showRowCol="0">
      <selection activeCell="Y4" sqref="Y4"/>
      <pageMargins left="0.75" right="0.75" top="1" bottom="1" header="0" footer="0"/>
      <pageSetup paperSize="9" orientation="portrait" r:id="rId3"/>
      <headerFooter alignWithMargins="0"/>
    </customSheetView>
  </customSheetViews>
  <mergeCells count="5">
    <mergeCell ref="B1:V1"/>
    <mergeCell ref="Y7:Y8"/>
    <mergeCell ref="Z7:Z8"/>
    <mergeCell ref="AA7:AA8"/>
    <mergeCell ref="X7:X8"/>
  </mergeCells>
  <phoneticPr fontId="0" type="noConversion"/>
  <conditionalFormatting sqref="C8:V8 B6:K6">
    <cfRule type="cellIs" dxfId="23" priority="6" stopIfTrue="1" operator="equal">
      <formula>"F"</formula>
    </cfRule>
    <cfRule type="cellIs" dxfId="22" priority="7" stopIfTrue="1" operator="equal">
      <formula>"C"</formula>
    </cfRule>
    <cfRule type="cellIs" dxfId="21" priority="8" stopIfTrue="1" operator="equal">
      <formula>"C"</formula>
    </cfRule>
  </conditionalFormatting>
  <conditionalFormatting sqref="C9:V30">
    <cfRule type="cellIs" dxfId="20" priority="3" stopIfTrue="1" operator="equal">
      <formula>0</formula>
    </cfRule>
    <cfRule type="cellIs" dxfId="19" priority="4" stopIfTrue="1" operator="equal">
      <formula>1</formula>
    </cfRule>
    <cfRule type="cellIs" dxfId="18" priority="5" stopIfTrue="1" operator="greaterThan">
      <formula>1</formula>
    </cfRule>
  </conditionalFormatting>
  <hyperlinks>
    <hyperlink ref="Y2" location="PPrincipal!A1" display="* Pagina Principal"/>
    <hyperlink ref="Y3" location="CLara!A1" display="Lara"/>
    <hyperlink ref="Y4" location="CPortuguesa!A1" display="Portuguesa"/>
    <hyperlink ref="Y5" location="CYaracuy!A1" display="Yaracuy"/>
  </hyperlinks>
  <pageMargins left="0.75" right="0.75" top="1" bottom="1" header="0" footer="0"/>
  <pageSetup paperSize="9" orientation="portrait" r:id="rId4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B1:W850"/>
  <sheetViews>
    <sheetView showGridLines="0" showRowColHeaders="0" workbookViewId="0">
      <pane ySplit="8" topLeftCell="A12" activePane="bottomLeft" state="frozen"/>
      <selection pane="bottomLeft" activeCell="I3" sqref="I3"/>
    </sheetView>
  </sheetViews>
  <sheetFormatPr baseColWidth="10" defaultRowHeight="12.75"/>
  <cols>
    <col min="1" max="1" width="42.7109375" customWidth="1"/>
    <col min="2" max="7" width="13.7109375" customWidth="1"/>
    <col min="8" max="8" width="13.7109375" style="157" customWidth="1"/>
    <col min="9" max="10" width="13.7109375" customWidth="1"/>
    <col min="11" max="11" width="13.7109375" style="21" customWidth="1"/>
    <col min="12" max="24" width="13.7109375" customWidth="1"/>
  </cols>
  <sheetData>
    <row r="1" spans="2:23" s="13" customFormat="1">
      <c r="H1" s="154"/>
      <c r="I1" s="107"/>
      <c r="K1" s="26"/>
    </row>
    <row r="2" spans="2:23" s="13" customFormat="1">
      <c r="H2" s="155"/>
      <c r="I2" s="153" t="s">
        <v>8</v>
      </c>
      <c r="K2" s="26"/>
      <c r="O2" s="61" t="s">
        <v>49</v>
      </c>
      <c r="P2" s="62">
        <f>Q9</f>
        <v>0.63667095943335483</v>
      </c>
      <c r="Q2" s="59"/>
    </row>
    <row r="3" spans="2:23" s="13" customFormat="1">
      <c r="H3" s="155"/>
      <c r="I3" s="153">
        <v>11</v>
      </c>
      <c r="K3" s="26"/>
      <c r="O3" s="61" t="s">
        <v>50</v>
      </c>
      <c r="P3" s="62">
        <f>T9</f>
        <v>0.22778493238892467</v>
      </c>
      <c r="Q3" s="59"/>
    </row>
    <row r="4" spans="2:23" s="13" customFormat="1">
      <c r="H4" s="155"/>
      <c r="I4" s="153" t="s">
        <v>78</v>
      </c>
      <c r="K4" s="26"/>
      <c r="O4" s="61" t="s">
        <v>4</v>
      </c>
      <c r="P4" s="62">
        <f>W9</f>
        <v>0.13554410817772053</v>
      </c>
      <c r="Q4" s="59"/>
    </row>
    <row r="5" spans="2:23" s="13" customFormat="1">
      <c r="H5" s="155"/>
      <c r="I5" s="153" t="s">
        <v>79</v>
      </c>
      <c r="K5" s="26"/>
      <c r="O5" s="61"/>
      <c r="P5" s="62"/>
      <c r="Q5" s="59"/>
    </row>
    <row r="6" spans="2:23" s="13" customFormat="1" ht="33">
      <c r="C6" s="22">
        <v>11</v>
      </c>
      <c r="D6" s="18" t="s">
        <v>42</v>
      </c>
      <c r="E6" s="14"/>
      <c r="F6" s="14"/>
      <c r="H6" s="156"/>
      <c r="I6" s="80"/>
      <c r="K6" s="26"/>
    </row>
    <row r="7" spans="2:23" ht="13.5" thickBot="1"/>
    <row r="8" spans="2:23" ht="30.75" thickBot="1">
      <c r="B8" s="23" t="s">
        <v>1</v>
      </c>
      <c r="C8" s="24" t="s">
        <v>2</v>
      </c>
      <c r="D8" s="25" t="s">
        <v>0</v>
      </c>
      <c r="E8" s="12" t="s">
        <v>49</v>
      </c>
      <c r="F8" s="12" t="s">
        <v>50</v>
      </c>
      <c r="G8" s="12" t="s">
        <v>4</v>
      </c>
      <c r="H8" s="158"/>
      <c r="J8" s="21"/>
      <c r="L8" s="73" t="s">
        <v>51</v>
      </c>
      <c r="O8" s="165" t="s">
        <v>49</v>
      </c>
      <c r="P8" s="166"/>
      <c r="Q8" s="167"/>
      <c r="R8" s="165" t="s">
        <v>50</v>
      </c>
      <c r="S8" s="166"/>
      <c r="T8" s="167"/>
      <c r="U8" s="165" t="s">
        <v>4</v>
      </c>
      <c r="V8" s="166"/>
      <c r="W8" s="167"/>
    </row>
    <row r="9" spans="2:23" ht="18">
      <c r="B9" s="29">
        <v>11</v>
      </c>
      <c r="C9" s="29">
        <v>30</v>
      </c>
      <c r="D9" s="29">
        <v>1</v>
      </c>
      <c r="E9" s="29">
        <v>1</v>
      </c>
      <c r="F9" s="29">
        <v>1</v>
      </c>
      <c r="G9" s="29">
        <v>1</v>
      </c>
      <c r="H9" s="159"/>
      <c r="L9" s="21">
        <v>1</v>
      </c>
      <c r="M9" s="163" t="s">
        <v>0</v>
      </c>
      <c r="N9" s="163"/>
      <c r="O9" s="31">
        <f>SUM(Henri_Falcon)</f>
        <v>7910</v>
      </c>
      <c r="P9" s="32">
        <f>O9</f>
        <v>7910</v>
      </c>
      <c r="Q9" s="33">
        <f>O9/($O$9+$R$9+$U$9)</f>
        <v>0.63667095943335483</v>
      </c>
      <c r="R9" s="31">
        <f>SUM(Pedro_Pablo_Alcantara)</f>
        <v>2830</v>
      </c>
      <c r="S9" s="32">
        <f>R9</f>
        <v>2830</v>
      </c>
      <c r="T9" s="33">
        <f>R9/($O$9+$R$9+$U$9)</f>
        <v>0.22778493238892467</v>
      </c>
      <c r="U9" s="31">
        <f>SUM(OtroLA)</f>
        <v>1684</v>
      </c>
      <c r="V9" s="32">
        <f>U9</f>
        <v>1684</v>
      </c>
      <c r="W9" s="34">
        <f>U9/($O$9+$R$9+$U$9)</f>
        <v>0.13554410817772053</v>
      </c>
    </row>
    <row r="10" spans="2:23" ht="18">
      <c r="B10" s="30"/>
      <c r="C10" s="30"/>
      <c r="D10" s="30"/>
      <c r="E10" s="30"/>
      <c r="F10" s="30"/>
      <c r="G10" s="30"/>
      <c r="H10" s="159"/>
      <c r="L10" s="21">
        <v>1</v>
      </c>
      <c r="M10" s="6">
        <v>0.3125</v>
      </c>
      <c r="N10" s="2">
        <v>1</v>
      </c>
      <c r="O10" s="4">
        <f t="shared" ref="O10:O29" si="0">SUMIF(TurnoLA,$N10,Henri_Falcon)</f>
        <v>488</v>
      </c>
      <c r="P10" s="5">
        <f>O10</f>
        <v>488</v>
      </c>
      <c r="Q10" s="10">
        <f>IF(O10&lt;&gt;0,P10/($P10+$S10+$V10),LOOKUP(2121,$Q$3:$Q$6))</f>
        <v>0.62644415917843388</v>
      </c>
      <c r="R10" s="4">
        <f t="shared" ref="R10:R29" si="1">SUMIF(TurnoLA,$N10,Pedro_Pablo_Alcantara)</f>
        <v>175</v>
      </c>
      <c r="S10" s="5">
        <f>R10</f>
        <v>175</v>
      </c>
      <c r="T10" s="10">
        <f>IF(R10&lt;&gt;0,S10/($P10+$S10+$V10),LOOKUP(2121,$Q$3:$Q$6))</f>
        <v>0.22464698331193839</v>
      </c>
      <c r="U10" s="4">
        <f t="shared" ref="U10:U29" si="2">SUMIF(TurnoLA,$N10,OtroLA)</f>
        <v>116</v>
      </c>
      <c r="V10" s="5">
        <f>U10</f>
        <v>116</v>
      </c>
      <c r="W10" s="3">
        <f>IF(U10&lt;&gt;0,V10/($P10+$S10+$V10),LOOKUP(2121,$Q$3:$Q$6))</f>
        <v>0.14890885750962773</v>
      </c>
    </row>
    <row r="11" spans="2:23" ht="18">
      <c r="B11" s="30"/>
      <c r="C11" s="30"/>
      <c r="D11" s="30"/>
      <c r="E11" s="30"/>
      <c r="F11" s="30"/>
      <c r="G11" s="30"/>
      <c r="H11" s="159"/>
      <c r="L11" s="21">
        <v>1</v>
      </c>
      <c r="M11" s="6">
        <v>0.33333333333333298</v>
      </c>
      <c r="N11" s="2">
        <v>2</v>
      </c>
      <c r="O11" s="4">
        <f t="shared" si="0"/>
        <v>602</v>
      </c>
      <c r="P11" s="5">
        <f>P10+O11</f>
        <v>1090</v>
      </c>
      <c r="Q11" s="10">
        <f t="shared" ref="Q11:Q29" si="3">IF(O11&lt;&gt;0,P11/($P11+$S11+$V11),LOOKUP(2121,$Q$3:$Q$6))</f>
        <v>0.65152420800956368</v>
      </c>
      <c r="R11" s="4">
        <f t="shared" si="1"/>
        <v>198</v>
      </c>
      <c r="S11" s="5">
        <f>S10+R11</f>
        <v>373</v>
      </c>
      <c r="T11" s="10">
        <f t="shared" ref="T11:T29" si="4">IF(R11&lt;&gt;0,S11/($P11+$S11+$V11),LOOKUP(2121,$Q$3:$Q$6))</f>
        <v>0.22295277943813507</v>
      </c>
      <c r="U11" s="4">
        <f t="shared" si="2"/>
        <v>94</v>
      </c>
      <c r="V11" s="5">
        <f>V10+U11</f>
        <v>210</v>
      </c>
      <c r="W11" s="3">
        <f t="shared" ref="W11:W29" si="5">IF(U11&lt;&gt;0,V11/($P11+$S11+$V11),LOOKUP(2121,$Q$3:$Q$6))</f>
        <v>0.12552301255230125</v>
      </c>
    </row>
    <row r="12" spans="2:23" ht="18">
      <c r="B12" s="30">
        <v>11</v>
      </c>
      <c r="C12" s="30">
        <v>45</v>
      </c>
      <c r="D12" s="30">
        <v>1</v>
      </c>
      <c r="E12" s="30">
        <v>8</v>
      </c>
      <c r="F12" s="30">
        <v>28</v>
      </c>
      <c r="G12" s="30">
        <v>8</v>
      </c>
      <c r="H12" s="159"/>
      <c r="L12" s="21">
        <v>1</v>
      </c>
      <c r="M12" s="6">
        <v>0.35416666666666702</v>
      </c>
      <c r="N12" s="2">
        <v>3</v>
      </c>
      <c r="O12" s="4">
        <f t="shared" si="0"/>
        <v>648</v>
      </c>
      <c r="P12" s="5">
        <f t="shared" ref="P12:P29" si="6">P11+O12</f>
        <v>1738</v>
      </c>
      <c r="Q12" s="10">
        <f t="shared" si="3"/>
        <v>0.66058532877232989</v>
      </c>
      <c r="R12" s="4">
        <f t="shared" si="1"/>
        <v>212</v>
      </c>
      <c r="S12" s="5">
        <f t="shared" ref="S12:S29" si="7">S11+R12</f>
        <v>585</v>
      </c>
      <c r="T12" s="10">
        <f t="shared" si="4"/>
        <v>0.22234891676168758</v>
      </c>
      <c r="U12" s="4">
        <f t="shared" si="2"/>
        <v>98</v>
      </c>
      <c r="V12" s="5">
        <f t="shared" ref="V12:V29" si="8">V11+U12</f>
        <v>308</v>
      </c>
      <c r="W12" s="3">
        <f t="shared" si="5"/>
        <v>0.11706575446598251</v>
      </c>
    </row>
    <row r="13" spans="2:23" ht="18">
      <c r="B13" s="30">
        <v>11</v>
      </c>
      <c r="C13" s="30">
        <v>33</v>
      </c>
      <c r="D13" s="30">
        <v>1</v>
      </c>
      <c r="E13" s="30">
        <v>20</v>
      </c>
      <c r="F13" s="30">
        <v>0</v>
      </c>
      <c r="G13" s="30">
        <v>13</v>
      </c>
      <c r="H13" s="159"/>
      <c r="L13" s="21">
        <v>1</v>
      </c>
      <c r="M13" s="6">
        <v>0.375</v>
      </c>
      <c r="N13" s="2">
        <v>4</v>
      </c>
      <c r="O13" s="4">
        <f t="shared" si="0"/>
        <v>648</v>
      </c>
      <c r="P13" s="5">
        <f t="shared" si="6"/>
        <v>2386</v>
      </c>
      <c r="Q13" s="10">
        <f t="shared" si="3"/>
        <v>0.67003650659926983</v>
      </c>
      <c r="R13" s="4">
        <f t="shared" si="1"/>
        <v>176</v>
      </c>
      <c r="S13" s="5">
        <f t="shared" si="7"/>
        <v>761</v>
      </c>
      <c r="T13" s="10">
        <f t="shared" si="4"/>
        <v>0.21370401572591968</v>
      </c>
      <c r="U13" s="4">
        <f t="shared" si="2"/>
        <v>106</v>
      </c>
      <c r="V13" s="5">
        <f t="shared" si="8"/>
        <v>414</v>
      </c>
      <c r="W13" s="3">
        <f t="shared" si="5"/>
        <v>0.11625947767481044</v>
      </c>
    </row>
    <row r="14" spans="2:23" ht="18">
      <c r="B14" s="30">
        <v>11</v>
      </c>
      <c r="C14" s="30">
        <v>61</v>
      </c>
      <c r="D14" s="30">
        <v>1</v>
      </c>
      <c r="E14" s="30">
        <v>8</v>
      </c>
      <c r="F14" s="30">
        <v>2</v>
      </c>
      <c r="G14" s="30">
        <v>0</v>
      </c>
      <c r="H14" s="159"/>
      <c r="L14" s="21">
        <v>1</v>
      </c>
      <c r="M14" s="6">
        <v>0.39583333333333298</v>
      </c>
      <c r="N14" s="2">
        <v>5</v>
      </c>
      <c r="O14" s="4">
        <f t="shared" si="0"/>
        <v>618</v>
      </c>
      <c r="P14" s="5">
        <f t="shared" si="6"/>
        <v>3004</v>
      </c>
      <c r="Q14" s="10">
        <f t="shared" si="3"/>
        <v>0.66357411089021423</v>
      </c>
      <c r="R14" s="4">
        <f t="shared" si="1"/>
        <v>210</v>
      </c>
      <c r="S14" s="5">
        <f t="shared" si="7"/>
        <v>971</v>
      </c>
      <c r="T14" s="10">
        <f t="shared" si="4"/>
        <v>0.21449083278109124</v>
      </c>
      <c r="U14" s="4">
        <f t="shared" si="2"/>
        <v>138</v>
      </c>
      <c r="V14" s="5">
        <f t="shared" si="8"/>
        <v>552</v>
      </c>
      <c r="W14" s="3">
        <f t="shared" si="5"/>
        <v>0.1219350563286945</v>
      </c>
    </row>
    <row r="15" spans="2:23" ht="18">
      <c r="B15" s="30">
        <v>11</v>
      </c>
      <c r="C15" s="30">
        <v>36</v>
      </c>
      <c r="D15" s="30">
        <v>1</v>
      </c>
      <c r="E15" s="30">
        <v>6</v>
      </c>
      <c r="F15" s="30">
        <v>0</v>
      </c>
      <c r="G15" s="30">
        <v>0</v>
      </c>
      <c r="H15" s="159"/>
      <c r="L15" s="21">
        <v>1</v>
      </c>
      <c r="M15" s="6">
        <v>0.41666666666666702</v>
      </c>
      <c r="N15" s="2">
        <v>6</v>
      </c>
      <c r="O15" s="4">
        <f t="shared" si="0"/>
        <v>560</v>
      </c>
      <c r="P15" s="5">
        <f t="shared" si="6"/>
        <v>3564</v>
      </c>
      <c r="Q15" s="10">
        <f t="shared" si="3"/>
        <v>0.66306976744186041</v>
      </c>
      <c r="R15" s="4">
        <f t="shared" si="1"/>
        <v>174</v>
      </c>
      <c r="S15" s="5">
        <f t="shared" si="7"/>
        <v>1145</v>
      </c>
      <c r="T15" s="10">
        <f t="shared" si="4"/>
        <v>0.21302325581395348</v>
      </c>
      <c r="U15" s="4">
        <f t="shared" si="2"/>
        <v>114</v>
      </c>
      <c r="V15" s="5">
        <f t="shared" si="8"/>
        <v>666</v>
      </c>
      <c r="W15" s="3">
        <f t="shared" si="5"/>
        <v>0.12390697674418605</v>
      </c>
    </row>
    <row r="16" spans="2:23" ht="18">
      <c r="B16" s="30">
        <v>11</v>
      </c>
      <c r="C16" s="30">
        <v>53</v>
      </c>
      <c r="D16" s="30">
        <v>1</v>
      </c>
      <c r="E16" s="30">
        <v>30</v>
      </c>
      <c r="F16" s="30">
        <v>15</v>
      </c>
      <c r="G16" s="30">
        <v>10</v>
      </c>
      <c r="H16" s="159"/>
      <c r="L16" s="21">
        <v>1</v>
      </c>
      <c r="M16" s="6">
        <v>0.4375</v>
      </c>
      <c r="N16" s="2">
        <v>7</v>
      </c>
      <c r="O16" s="4">
        <f t="shared" si="0"/>
        <v>607</v>
      </c>
      <c r="P16" s="5">
        <f t="shared" si="6"/>
        <v>4171</v>
      </c>
      <c r="Q16" s="10">
        <f t="shared" si="3"/>
        <v>0.66090952305498341</v>
      </c>
      <c r="R16" s="4">
        <f t="shared" si="1"/>
        <v>189</v>
      </c>
      <c r="S16" s="5">
        <f t="shared" si="7"/>
        <v>1334</v>
      </c>
      <c r="T16" s="10">
        <f t="shared" si="4"/>
        <v>0.21137696086198701</v>
      </c>
      <c r="U16" s="4">
        <f t="shared" si="2"/>
        <v>140</v>
      </c>
      <c r="V16" s="5">
        <f t="shared" si="8"/>
        <v>806</v>
      </c>
      <c r="W16" s="3">
        <f t="shared" si="5"/>
        <v>0.12771351608302964</v>
      </c>
    </row>
    <row r="17" spans="2:23" ht="18">
      <c r="B17" s="30">
        <v>11</v>
      </c>
      <c r="C17" s="30">
        <v>39</v>
      </c>
      <c r="D17" s="30">
        <v>1</v>
      </c>
      <c r="E17" s="30">
        <v>10</v>
      </c>
      <c r="F17" s="30">
        <v>9</v>
      </c>
      <c r="G17" s="30">
        <v>6</v>
      </c>
      <c r="H17" s="159"/>
      <c r="L17" s="21">
        <v>1</v>
      </c>
      <c r="M17" s="6">
        <v>0.45833333333333298</v>
      </c>
      <c r="N17" s="2">
        <v>8</v>
      </c>
      <c r="O17" s="4">
        <f t="shared" si="0"/>
        <v>605</v>
      </c>
      <c r="P17" s="5">
        <f t="shared" si="6"/>
        <v>4776</v>
      </c>
      <c r="Q17" s="10">
        <f t="shared" si="3"/>
        <v>0.65857694429123004</v>
      </c>
      <c r="R17" s="4">
        <f t="shared" si="1"/>
        <v>209</v>
      </c>
      <c r="S17" s="5">
        <f t="shared" si="7"/>
        <v>1543</v>
      </c>
      <c r="T17" s="10">
        <f t="shared" si="4"/>
        <v>0.2127688913403199</v>
      </c>
      <c r="U17" s="4">
        <f t="shared" si="2"/>
        <v>127</v>
      </c>
      <c r="V17" s="5">
        <f t="shared" si="8"/>
        <v>933</v>
      </c>
      <c r="W17" s="3">
        <f t="shared" si="5"/>
        <v>0.12865416436845009</v>
      </c>
    </row>
    <row r="18" spans="2:23" ht="18">
      <c r="B18" s="30">
        <v>11</v>
      </c>
      <c r="C18" s="30">
        <v>39</v>
      </c>
      <c r="D18" s="30">
        <v>2</v>
      </c>
      <c r="E18" s="30">
        <v>8</v>
      </c>
      <c r="F18" s="30">
        <v>3</v>
      </c>
      <c r="G18" s="30">
        <v>2</v>
      </c>
      <c r="H18" s="159"/>
      <c r="L18" s="21">
        <v>1</v>
      </c>
      <c r="M18" s="6">
        <v>0.47916666666666702</v>
      </c>
      <c r="N18" s="2">
        <v>9</v>
      </c>
      <c r="O18" s="4">
        <f t="shared" si="0"/>
        <v>566</v>
      </c>
      <c r="P18" s="5">
        <f t="shared" si="6"/>
        <v>5342</v>
      </c>
      <c r="Q18" s="10">
        <f t="shared" si="3"/>
        <v>0.65562101129111439</v>
      </c>
      <c r="R18" s="4">
        <f t="shared" si="1"/>
        <v>193</v>
      </c>
      <c r="S18" s="5">
        <f t="shared" si="7"/>
        <v>1736</v>
      </c>
      <c r="T18" s="10">
        <f t="shared" si="4"/>
        <v>0.21305841924398625</v>
      </c>
      <c r="U18" s="4">
        <f t="shared" si="2"/>
        <v>137</v>
      </c>
      <c r="V18" s="5">
        <f t="shared" si="8"/>
        <v>1070</v>
      </c>
      <c r="W18" s="3">
        <f t="shared" si="5"/>
        <v>0.13132056946489937</v>
      </c>
    </row>
    <row r="19" spans="2:23" ht="18">
      <c r="B19" s="30">
        <v>11</v>
      </c>
      <c r="C19" s="30">
        <v>51</v>
      </c>
      <c r="D19" s="30">
        <v>1</v>
      </c>
      <c r="E19" s="30">
        <v>6</v>
      </c>
      <c r="F19" s="30">
        <v>1</v>
      </c>
      <c r="G19" s="30">
        <v>0</v>
      </c>
      <c r="H19" s="159"/>
      <c r="L19" s="21">
        <v>1</v>
      </c>
      <c r="M19" s="6">
        <v>0.5</v>
      </c>
      <c r="N19" s="2">
        <v>10</v>
      </c>
      <c r="O19" s="4">
        <f t="shared" si="0"/>
        <v>558</v>
      </c>
      <c r="P19" s="5">
        <f t="shared" si="6"/>
        <v>5900</v>
      </c>
      <c r="Q19" s="10">
        <f t="shared" si="3"/>
        <v>0.64949361514751214</v>
      </c>
      <c r="R19" s="4">
        <f t="shared" si="1"/>
        <v>209</v>
      </c>
      <c r="S19" s="5">
        <f t="shared" si="7"/>
        <v>1945</v>
      </c>
      <c r="T19" s="10">
        <f t="shared" si="4"/>
        <v>0.21411272567151035</v>
      </c>
      <c r="U19" s="4">
        <f t="shared" si="2"/>
        <v>169</v>
      </c>
      <c r="V19" s="5">
        <f t="shared" si="8"/>
        <v>1239</v>
      </c>
      <c r="W19" s="3">
        <f t="shared" si="5"/>
        <v>0.13639365918097754</v>
      </c>
    </row>
    <row r="20" spans="2:23" ht="18">
      <c r="B20" s="30">
        <v>11</v>
      </c>
      <c r="C20" s="30">
        <v>58</v>
      </c>
      <c r="D20" s="30">
        <v>1</v>
      </c>
      <c r="E20" s="30">
        <v>19</v>
      </c>
      <c r="F20" s="30">
        <v>3</v>
      </c>
      <c r="G20" s="30">
        <v>6</v>
      </c>
      <c r="H20" s="159"/>
      <c r="L20" s="21">
        <v>1</v>
      </c>
      <c r="M20" s="6">
        <v>0.52083333333333304</v>
      </c>
      <c r="N20" s="2">
        <v>11</v>
      </c>
      <c r="O20" s="4">
        <f t="shared" si="0"/>
        <v>531</v>
      </c>
      <c r="P20" s="5">
        <f t="shared" si="6"/>
        <v>6431</v>
      </c>
      <c r="Q20" s="10">
        <f t="shared" si="3"/>
        <v>0.64665661136249375</v>
      </c>
      <c r="R20" s="4">
        <f t="shared" si="1"/>
        <v>202</v>
      </c>
      <c r="S20" s="5">
        <f t="shared" si="7"/>
        <v>2147</v>
      </c>
      <c r="T20" s="10">
        <f t="shared" si="4"/>
        <v>0.21588738059326296</v>
      </c>
      <c r="U20" s="4">
        <f t="shared" si="2"/>
        <v>128</v>
      </c>
      <c r="V20" s="5">
        <f t="shared" si="8"/>
        <v>1367</v>
      </c>
      <c r="W20" s="3">
        <f t="shared" si="5"/>
        <v>0.13745600804424335</v>
      </c>
    </row>
    <row r="21" spans="2:23" ht="18">
      <c r="B21" s="30">
        <v>11</v>
      </c>
      <c r="C21" s="30">
        <v>47</v>
      </c>
      <c r="D21" s="30">
        <v>1</v>
      </c>
      <c r="E21" s="30">
        <v>17</v>
      </c>
      <c r="F21" s="30">
        <v>4</v>
      </c>
      <c r="G21" s="30">
        <v>2</v>
      </c>
      <c r="H21" s="159"/>
      <c r="L21" s="21">
        <v>1</v>
      </c>
      <c r="M21" s="6">
        <v>4.1666666666666664E-2</v>
      </c>
      <c r="N21" s="2">
        <v>12</v>
      </c>
      <c r="O21" s="4">
        <f t="shared" si="0"/>
        <v>462</v>
      </c>
      <c r="P21" s="5">
        <f t="shared" si="6"/>
        <v>6893</v>
      </c>
      <c r="Q21" s="10">
        <f t="shared" si="3"/>
        <v>0.64330377974801678</v>
      </c>
      <c r="R21" s="4">
        <f t="shared" si="1"/>
        <v>204</v>
      </c>
      <c r="S21" s="5">
        <f t="shared" si="7"/>
        <v>2351</v>
      </c>
      <c r="T21" s="10">
        <f t="shared" si="4"/>
        <v>0.21941203919738683</v>
      </c>
      <c r="U21" s="4">
        <f t="shared" si="2"/>
        <v>104</v>
      </c>
      <c r="V21" s="5">
        <f t="shared" si="8"/>
        <v>1471</v>
      </c>
      <c r="W21" s="3">
        <f t="shared" si="5"/>
        <v>0.13728418105459636</v>
      </c>
    </row>
    <row r="22" spans="2:23" ht="18">
      <c r="B22" s="30">
        <v>11</v>
      </c>
      <c r="C22" s="30">
        <v>54</v>
      </c>
      <c r="D22" s="30">
        <v>1</v>
      </c>
      <c r="E22" s="30">
        <v>5</v>
      </c>
      <c r="F22" s="30">
        <v>1</v>
      </c>
      <c r="G22" s="30">
        <v>0</v>
      </c>
      <c r="H22" s="159"/>
      <c r="L22" s="21">
        <v>1</v>
      </c>
      <c r="M22" s="6">
        <v>6.25E-2</v>
      </c>
      <c r="N22" s="2">
        <v>13</v>
      </c>
      <c r="O22" s="4">
        <f t="shared" si="0"/>
        <v>398</v>
      </c>
      <c r="P22" s="5">
        <f t="shared" si="6"/>
        <v>7291</v>
      </c>
      <c r="Q22" s="10">
        <f t="shared" si="3"/>
        <v>0.64040404040404042</v>
      </c>
      <c r="R22" s="4">
        <f t="shared" si="1"/>
        <v>172</v>
      </c>
      <c r="S22" s="5">
        <f t="shared" si="7"/>
        <v>2523</v>
      </c>
      <c r="T22" s="10">
        <f t="shared" si="4"/>
        <v>0.22160737812911727</v>
      </c>
      <c r="U22" s="4">
        <f t="shared" si="2"/>
        <v>100</v>
      </c>
      <c r="V22" s="5">
        <f t="shared" si="8"/>
        <v>1571</v>
      </c>
      <c r="W22" s="3">
        <f t="shared" si="5"/>
        <v>0.13798858146684234</v>
      </c>
    </row>
    <row r="23" spans="2:23" ht="18">
      <c r="B23" s="30">
        <v>11</v>
      </c>
      <c r="C23" s="30">
        <v>62</v>
      </c>
      <c r="D23" s="30">
        <v>1</v>
      </c>
      <c r="E23" s="30">
        <v>14</v>
      </c>
      <c r="F23" s="30">
        <v>11</v>
      </c>
      <c r="G23" s="30">
        <v>0</v>
      </c>
      <c r="H23" s="159"/>
      <c r="L23" s="21">
        <v>1</v>
      </c>
      <c r="M23" s="6">
        <v>8.3333333333333329E-2</v>
      </c>
      <c r="N23" s="2">
        <v>14</v>
      </c>
      <c r="O23" s="4">
        <f t="shared" si="0"/>
        <v>341</v>
      </c>
      <c r="P23" s="5">
        <f t="shared" si="6"/>
        <v>7632</v>
      </c>
      <c r="Q23" s="10">
        <f t="shared" si="3"/>
        <v>0.63898191560616213</v>
      </c>
      <c r="R23" s="4">
        <f t="shared" si="1"/>
        <v>164</v>
      </c>
      <c r="S23" s="5">
        <f t="shared" si="7"/>
        <v>2687</v>
      </c>
      <c r="T23" s="10">
        <f t="shared" si="4"/>
        <v>0.22496651038178164</v>
      </c>
      <c r="U23" s="4">
        <f t="shared" si="2"/>
        <v>54</v>
      </c>
      <c r="V23" s="5">
        <f t="shared" si="8"/>
        <v>1625</v>
      </c>
      <c r="W23" s="3">
        <f t="shared" si="5"/>
        <v>0.13605157401205625</v>
      </c>
    </row>
    <row r="24" spans="2:23" ht="18">
      <c r="B24" s="30">
        <v>11</v>
      </c>
      <c r="C24" s="30">
        <v>48</v>
      </c>
      <c r="D24" s="30">
        <v>1</v>
      </c>
      <c r="E24" s="30">
        <v>6</v>
      </c>
      <c r="F24" s="30">
        <v>2</v>
      </c>
      <c r="G24" s="30">
        <v>5</v>
      </c>
      <c r="H24" s="159"/>
      <c r="L24" s="21">
        <v>1</v>
      </c>
      <c r="M24" s="6">
        <v>0.104166666666667</v>
      </c>
      <c r="N24" s="2">
        <v>15</v>
      </c>
      <c r="O24" s="4">
        <f t="shared" si="0"/>
        <v>201</v>
      </c>
      <c r="P24" s="5">
        <f t="shared" si="6"/>
        <v>7833</v>
      </c>
      <c r="Q24" s="10">
        <f t="shared" si="3"/>
        <v>0.63755494058277717</v>
      </c>
      <c r="R24" s="4">
        <f t="shared" si="1"/>
        <v>98</v>
      </c>
      <c r="S24" s="5">
        <f t="shared" si="7"/>
        <v>2785</v>
      </c>
      <c r="T24" s="10">
        <f t="shared" si="4"/>
        <v>0.22668077486570079</v>
      </c>
      <c r="U24" s="4">
        <f t="shared" si="2"/>
        <v>43</v>
      </c>
      <c r="V24" s="5">
        <f t="shared" si="8"/>
        <v>1668</v>
      </c>
      <c r="W24" s="3">
        <f t="shared" si="5"/>
        <v>0.13576428455152206</v>
      </c>
    </row>
    <row r="25" spans="2:23" ht="18">
      <c r="B25" s="30">
        <v>11</v>
      </c>
      <c r="C25" s="30">
        <v>41</v>
      </c>
      <c r="D25" s="30">
        <v>1</v>
      </c>
      <c r="E25" s="30">
        <v>11</v>
      </c>
      <c r="F25" s="30">
        <v>3</v>
      </c>
      <c r="G25" s="30">
        <v>2</v>
      </c>
      <c r="H25" s="159"/>
      <c r="L25" s="21">
        <v>1</v>
      </c>
      <c r="M25" s="6">
        <v>0.125</v>
      </c>
      <c r="N25" s="2">
        <v>16</v>
      </c>
      <c r="O25" s="4">
        <f t="shared" si="0"/>
        <v>62</v>
      </c>
      <c r="P25" s="5">
        <f t="shared" si="6"/>
        <v>7895</v>
      </c>
      <c r="Q25" s="10">
        <f t="shared" si="3"/>
        <v>0.63741320846116578</v>
      </c>
      <c r="R25" s="4">
        <f t="shared" si="1"/>
        <v>24</v>
      </c>
      <c r="S25" s="5">
        <f t="shared" si="7"/>
        <v>2809</v>
      </c>
      <c r="T25" s="10">
        <f t="shared" si="4"/>
        <v>0.22678830938155983</v>
      </c>
      <c r="U25" s="4">
        <f t="shared" si="2"/>
        <v>14</v>
      </c>
      <c r="V25" s="5">
        <f t="shared" si="8"/>
        <v>1682</v>
      </c>
      <c r="W25" s="3">
        <f t="shared" si="5"/>
        <v>0.13579848215727433</v>
      </c>
    </row>
    <row r="26" spans="2:23" ht="18">
      <c r="B26" s="30">
        <v>11</v>
      </c>
      <c r="C26" s="30">
        <v>43</v>
      </c>
      <c r="D26" s="30">
        <v>1</v>
      </c>
      <c r="E26" s="30">
        <v>19</v>
      </c>
      <c r="F26" s="30">
        <v>5</v>
      </c>
      <c r="G26" s="30">
        <v>3</v>
      </c>
      <c r="H26" s="159"/>
      <c r="L26" s="21">
        <v>1</v>
      </c>
      <c r="M26" s="6">
        <v>0.14583333333333301</v>
      </c>
      <c r="N26" s="2">
        <v>17</v>
      </c>
      <c r="O26" s="4">
        <f t="shared" si="0"/>
        <v>15</v>
      </c>
      <c r="P26" s="5">
        <f t="shared" si="6"/>
        <v>7910</v>
      </c>
      <c r="Q26" s="10">
        <f t="shared" si="3"/>
        <v>0.63667095943335483</v>
      </c>
      <c r="R26" s="4">
        <f t="shared" si="1"/>
        <v>21</v>
      </c>
      <c r="S26" s="5">
        <f t="shared" si="7"/>
        <v>2830</v>
      </c>
      <c r="T26" s="10">
        <f t="shared" si="4"/>
        <v>0.22778493238892467</v>
      </c>
      <c r="U26" s="4">
        <f t="shared" si="2"/>
        <v>2</v>
      </c>
      <c r="V26" s="5">
        <f t="shared" si="8"/>
        <v>1684</v>
      </c>
      <c r="W26" s="3">
        <f t="shared" si="5"/>
        <v>0.13554410817772053</v>
      </c>
    </row>
    <row r="27" spans="2:23" ht="18">
      <c r="B27" s="30">
        <v>11</v>
      </c>
      <c r="C27" s="30">
        <v>26</v>
      </c>
      <c r="D27" s="30">
        <v>1</v>
      </c>
      <c r="E27" s="30">
        <v>30</v>
      </c>
      <c r="F27" s="30">
        <v>7</v>
      </c>
      <c r="G27" s="30">
        <v>2</v>
      </c>
      <c r="H27" s="159"/>
      <c r="L27" s="21">
        <v>1</v>
      </c>
      <c r="M27" s="6">
        <v>0.16666666666666599</v>
      </c>
      <c r="N27" s="2">
        <v>18</v>
      </c>
      <c r="O27" s="4">
        <f t="shared" si="0"/>
        <v>0</v>
      </c>
      <c r="P27" s="5">
        <f t="shared" si="6"/>
        <v>7910</v>
      </c>
      <c r="Q27" s="10" t="e">
        <f t="shared" si="3"/>
        <v>#N/A</v>
      </c>
      <c r="R27" s="4">
        <f t="shared" si="1"/>
        <v>0</v>
      </c>
      <c r="S27" s="5">
        <f t="shared" si="7"/>
        <v>2830</v>
      </c>
      <c r="T27" s="10" t="e">
        <f t="shared" si="4"/>
        <v>#N/A</v>
      </c>
      <c r="U27" s="4">
        <f t="shared" si="2"/>
        <v>0</v>
      </c>
      <c r="V27" s="5">
        <f t="shared" si="8"/>
        <v>1684</v>
      </c>
      <c r="W27" s="3" t="e">
        <f t="shared" si="5"/>
        <v>#N/A</v>
      </c>
    </row>
    <row r="28" spans="2:23" ht="18">
      <c r="B28" s="30">
        <v>11</v>
      </c>
      <c r="C28" s="30">
        <v>29</v>
      </c>
      <c r="D28" s="30">
        <v>2</v>
      </c>
      <c r="E28" s="30">
        <v>14</v>
      </c>
      <c r="F28" s="30">
        <v>4</v>
      </c>
      <c r="G28" s="30">
        <v>3</v>
      </c>
      <c r="H28" s="159"/>
      <c r="L28" s="21">
        <v>1</v>
      </c>
      <c r="M28" s="6">
        <v>0.187499999999999</v>
      </c>
      <c r="N28" s="2">
        <v>19</v>
      </c>
      <c r="O28" s="4">
        <f t="shared" si="0"/>
        <v>0</v>
      </c>
      <c r="P28" s="5">
        <f t="shared" si="6"/>
        <v>7910</v>
      </c>
      <c r="Q28" s="10" t="e">
        <f t="shared" si="3"/>
        <v>#N/A</v>
      </c>
      <c r="R28" s="4">
        <f t="shared" si="1"/>
        <v>0</v>
      </c>
      <c r="S28" s="5">
        <f t="shared" si="7"/>
        <v>2830</v>
      </c>
      <c r="T28" s="10" t="e">
        <f t="shared" si="4"/>
        <v>#N/A</v>
      </c>
      <c r="U28" s="4">
        <f t="shared" si="2"/>
        <v>0</v>
      </c>
      <c r="V28" s="5">
        <f t="shared" si="8"/>
        <v>1684</v>
      </c>
      <c r="W28" s="3" t="e">
        <f t="shared" si="5"/>
        <v>#N/A</v>
      </c>
    </row>
    <row r="29" spans="2:23" ht="18.75" thickBot="1">
      <c r="B29" s="30">
        <v>11</v>
      </c>
      <c r="C29" s="30">
        <v>29</v>
      </c>
      <c r="D29" s="30">
        <v>1</v>
      </c>
      <c r="E29" s="30">
        <v>10</v>
      </c>
      <c r="F29" s="30">
        <v>0</v>
      </c>
      <c r="G29" s="30">
        <v>2</v>
      </c>
      <c r="H29" s="159"/>
      <c r="L29" s="21">
        <v>1</v>
      </c>
      <c r="M29" s="6">
        <v>0.20833333333333201</v>
      </c>
      <c r="N29" s="2">
        <v>20</v>
      </c>
      <c r="O29" s="7">
        <f t="shared" si="0"/>
        <v>0</v>
      </c>
      <c r="P29" s="8">
        <f t="shared" si="6"/>
        <v>7910</v>
      </c>
      <c r="Q29" s="11" t="e">
        <f t="shared" si="3"/>
        <v>#N/A</v>
      </c>
      <c r="R29" s="7">
        <f t="shared" si="1"/>
        <v>0</v>
      </c>
      <c r="S29" s="8">
        <f t="shared" si="7"/>
        <v>2830</v>
      </c>
      <c r="T29" s="11" t="e">
        <f t="shared" si="4"/>
        <v>#N/A</v>
      </c>
      <c r="U29" s="7">
        <f t="shared" si="2"/>
        <v>0</v>
      </c>
      <c r="V29" s="8">
        <f t="shared" si="8"/>
        <v>1684</v>
      </c>
      <c r="W29" s="9" t="e">
        <f t="shared" si="5"/>
        <v>#N/A</v>
      </c>
    </row>
    <row r="30" spans="2:23" ht="18">
      <c r="B30" s="30">
        <v>11</v>
      </c>
      <c r="C30" s="30">
        <v>43</v>
      </c>
      <c r="D30" s="30">
        <v>2</v>
      </c>
      <c r="E30" s="30">
        <v>21</v>
      </c>
      <c r="F30" s="30">
        <v>7</v>
      </c>
      <c r="G30" s="30">
        <v>4</v>
      </c>
      <c r="H30" s="159"/>
      <c r="L30" s="21">
        <v>1</v>
      </c>
    </row>
    <row r="31" spans="2:23" ht="18">
      <c r="B31" s="30">
        <v>11</v>
      </c>
      <c r="C31" s="30">
        <v>29</v>
      </c>
      <c r="D31" s="30">
        <v>1</v>
      </c>
      <c r="E31" s="30">
        <v>19</v>
      </c>
      <c r="F31" s="30">
        <v>1</v>
      </c>
      <c r="G31" s="30">
        <v>3</v>
      </c>
      <c r="H31" s="159"/>
      <c r="L31" s="21">
        <v>1</v>
      </c>
    </row>
    <row r="32" spans="2:23" ht="18">
      <c r="B32" s="30">
        <v>11</v>
      </c>
      <c r="C32" s="30">
        <v>49</v>
      </c>
      <c r="D32" s="30">
        <v>1</v>
      </c>
      <c r="E32" s="30">
        <v>6</v>
      </c>
      <c r="F32" s="30">
        <v>0</v>
      </c>
      <c r="G32" s="30">
        <v>0</v>
      </c>
      <c r="H32" s="159"/>
      <c r="L32" s="21">
        <v>1</v>
      </c>
      <c r="N32" s="21">
        <v>23</v>
      </c>
    </row>
    <row r="33" spans="2:14" ht="18">
      <c r="B33" s="30">
        <v>11</v>
      </c>
      <c r="C33" s="30">
        <v>40</v>
      </c>
      <c r="D33" s="30">
        <v>1</v>
      </c>
      <c r="E33" s="30">
        <v>12</v>
      </c>
      <c r="F33" s="30">
        <v>6</v>
      </c>
      <c r="G33" s="30">
        <v>4</v>
      </c>
      <c r="H33" s="159"/>
      <c r="L33" s="21">
        <v>1</v>
      </c>
      <c r="N33" s="21">
        <v>24</v>
      </c>
    </row>
    <row r="34" spans="2:14" ht="18">
      <c r="B34" s="30">
        <v>11</v>
      </c>
      <c r="C34" s="30">
        <v>59</v>
      </c>
      <c r="D34" s="30">
        <v>1</v>
      </c>
      <c r="E34" s="30">
        <v>2</v>
      </c>
      <c r="F34" s="30">
        <v>4</v>
      </c>
      <c r="G34" s="30">
        <v>2</v>
      </c>
      <c r="H34" s="159"/>
      <c r="L34" s="21">
        <v>1</v>
      </c>
      <c r="N34" s="21">
        <v>25</v>
      </c>
    </row>
    <row r="35" spans="2:14" ht="18">
      <c r="B35" s="30">
        <v>11</v>
      </c>
      <c r="C35" s="30">
        <v>27</v>
      </c>
      <c r="D35" s="30">
        <v>1</v>
      </c>
      <c r="E35" s="30">
        <v>3</v>
      </c>
      <c r="F35" s="30">
        <v>2</v>
      </c>
      <c r="G35" s="30">
        <v>1</v>
      </c>
      <c r="H35" s="159"/>
      <c r="L35" s="21">
        <v>1</v>
      </c>
      <c r="N35" s="21">
        <v>26</v>
      </c>
    </row>
    <row r="36" spans="2:14" ht="18">
      <c r="B36" s="30">
        <v>11</v>
      </c>
      <c r="C36" s="30">
        <v>25</v>
      </c>
      <c r="D36" s="30">
        <v>1</v>
      </c>
      <c r="E36" s="30">
        <v>5</v>
      </c>
      <c r="F36" s="30">
        <v>11</v>
      </c>
      <c r="G36" s="30">
        <v>3</v>
      </c>
      <c r="H36" s="159"/>
      <c r="L36" s="21">
        <v>1</v>
      </c>
      <c r="N36" s="21">
        <v>27</v>
      </c>
    </row>
    <row r="37" spans="2:14" ht="18">
      <c r="B37" s="30">
        <v>11</v>
      </c>
      <c r="C37" s="30">
        <v>37</v>
      </c>
      <c r="D37" s="30">
        <v>1</v>
      </c>
      <c r="E37" s="30">
        <v>10</v>
      </c>
      <c r="F37" s="30">
        <v>5</v>
      </c>
      <c r="G37" s="30">
        <v>0</v>
      </c>
      <c r="H37" s="159"/>
      <c r="L37" s="21">
        <v>1</v>
      </c>
      <c r="N37" s="21">
        <v>28</v>
      </c>
    </row>
    <row r="38" spans="2:14" ht="18">
      <c r="B38" s="30">
        <v>11</v>
      </c>
      <c r="C38" s="30">
        <v>30</v>
      </c>
      <c r="D38" s="30">
        <v>1</v>
      </c>
      <c r="E38" s="30">
        <v>13</v>
      </c>
      <c r="F38" s="30">
        <v>5</v>
      </c>
      <c r="G38" s="30">
        <v>0</v>
      </c>
      <c r="H38" s="159"/>
      <c r="L38" s="21">
        <v>1</v>
      </c>
      <c r="N38" s="21">
        <v>29</v>
      </c>
    </row>
    <row r="39" spans="2:14" ht="18">
      <c r="B39" s="30">
        <v>11</v>
      </c>
      <c r="C39" s="30">
        <v>44</v>
      </c>
      <c r="D39" s="30">
        <v>1</v>
      </c>
      <c r="E39" s="30">
        <v>2</v>
      </c>
      <c r="F39" s="30">
        <v>21</v>
      </c>
      <c r="G39" s="30">
        <v>3</v>
      </c>
      <c r="H39" s="159"/>
      <c r="L39" s="21">
        <v>1</v>
      </c>
      <c r="N39" s="21">
        <v>30</v>
      </c>
    </row>
    <row r="40" spans="2:14" ht="18">
      <c r="B40" s="30">
        <v>11</v>
      </c>
      <c r="C40" s="30">
        <v>31</v>
      </c>
      <c r="D40" s="30">
        <v>1</v>
      </c>
      <c r="E40" s="30">
        <v>20</v>
      </c>
      <c r="F40" s="30">
        <v>4</v>
      </c>
      <c r="G40" s="30">
        <v>2</v>
      </c>
      <c r="H40" s="159"/>
      <c r="L40" s="21">
        <v>1</v>
      </c>
      <c r="N40" s="21">
        <v>31</v>
      </c>
    </row>
    <row r="41" spans="2:14" ht="18">
      <c r="B41" s="30">
        <v>11</v>
      </c>
      <c r="C41" s="30">
        <v>33</v>
      </c>
      <c r="D41" s="30">
        <v>1</v>
      </c>
      <c r="E41" s="30">
        <v>17</v>
      </c>
      <c r="F41" s="30">
        <v>3</v>
      </c>
      <c r="G41" s="30">
        <v>5</v>
      </c>
      <c r="H41" s="159"/>
      <c r="L41" s="21">
        <v>1</v>
      </c>
      <c r="N41" s="21">
        <v>32</v>
      </c>
    </row>
    <row r="42" spans="2:14" ht="18">
      <c r="B42" s="30">
        <v>11</v>
      </c>
      <c r="C42" s="30">
        <v>52</v>
      </c>
      <c r="D42" s="30">
        <v>1</v>
      </c>
      <c r="E42" s="30">
        <v>47</v>
      </c>
      <c r="F42" s="30">
        <v>1</v>
      </c>
      <c r="G42" s="30">
        <v>12</v>
      </c>
      <c r="H42" s="159"/>
      <c r="L42" s="21">
        <v>1</v>
      </c>
      <c r="N42" s="21">
        <v>33</v>
      </c>
    </row>
    <row r="43" spans="2:14" ht="18">
      <c r="B43" s="30">
        <v>11</v>
      </c>
      <c r="C43" s="30">
        <v>23</v>
      </c>
      <c r="D43" s="30">
        <v>1</v>
      </c>
      <c r="E43" s="30">
        <v>18</v>
      </c>
      <c r="F43" s="30">
        <v>7</v>
      </c>
      <c r="G43" s="30">
        <v>3</v>
      </c>
      <c r="H43" s="159"/>
      <c r="L43" s="21">
        <v>1</v>
      </c>
      <c r="N43" s="21">
        <v>34</v>
      </c>
    </row>
    <row r="44" spans="2:14" ht="18">
      <c r="B44" s="30">
        <v>11</v>
      </c>
      <c r="C44" s="30">
        <v>28</v>
      </c>
      <c r="D44" s="30">
        <v>1</v>
      </c>
      <c r="E44" s="30">
        <v>4</v>
      </c>
      <c r="F44" s="30">
        <v>1</v>
      </c>
      <c r="G44" s="30">
        <v>0</v>
      </c>
      <c r="H44" s="159"/>
      <c r="L44" s="21">
        <v>1</v>
      </c>
      <c r="N44" s="21">
        <v>35</v>
      </c>
    </row>
    <row r="45" spans="2:14" ht="18">
      <c r="B45" s="30">
        <v>11</v>
      </c>
      <c r="C45" s="30">
        <v>28</v>
      </c>
      <c r="D45" s="30">
        <v>2</v>
      </c>
      <c r="E45" s="30">
        <v>15</v>
      </c>
      <c r="F45" s="30">
        <v>7</v>
      </c>
      <c r="G45" s="30">
        <v>2</v>
      </c>
      <c r="H45" s="159"/>
      <c r="L45" s="21">
        <v>1</v>
      </c>
      <c r="N45" s="21">
        <v>36</v>
      </c>
    </row>
    <row r="46" spans="2:14" ht="18">
      <c r="B46" s="30">
        <v>11</v>
      </c>
      <c r="C46" s="30">
        <v>64</v>
      </c>
      <c r="D46" s="30">
        <v>3</v>
      </c>
      <c r="E46" s="30">
        <v>7</v>
      </c>
      <c r="F46" s="30">
        <v>1</v>
      </c>
      <c r="G46" s="30">
        <v>0</v>
      </c>
      <c r="H46" s="159"/>
      <c r="L46" s="21">
        <v>1</v>
      </c>
      <c r="N46" s="21">
        <v>37</v>
      </c>
    </row>
    <row r="47" spans="2:14" ht="18">
      <c r="B47" s="30">
        <v>11</v>
      </c>
      <c r="C47" s="30">
        <v>64</v>
      </c>
      <c r="D47" s="30">
        <v>2</v>
      </c>
      <c r="E47" s="30">
        <v>14</v>
      </c>
      <c r="F47" s="30">
        <v>3</v>
      </c>
      <c r="G47" s="30">
        <v>0</v>
      </c>
      <c r="H47" s="159"/>
      <c r="L47" s="21">
        <v>1</v>
      </c>
      <c r="N47" s="21">
        <v>38</v>
      </c>
    </row>
    <row r="48" spans="2:14" ht="18">
      <c r="B48" s="30">
        <v>11</v>
      </c>
      <c r="C48" s="30">
        <v>64</v>
      </c>
      <c r="D48" s="30">
        <v>3</v>
      </c>
      <c r="E48" s="30">
        <v>14</v>
      </c>
      <c r="F48" s="30">
        <v>3</v>
      </c>
      <c r="G48" s="30">
        <v>4</v>
      </c>
      <c r="H48" s="159"/>
      <c r="L48" s="21">
        <v>1</v>
      </c>
      <c r="N48" s="21">
        <v>39</v>
      </c>
    </row>
    <row r="49" spans="2:14" ht="18">
      <c r="B49" s="30">
        <v>11</v>
      </c>
      <c r="C49" s="30">
        <v>42</v>
      </c>
      <c r="D49" s="30">
        <v>1</v>
      </c>
      <c r="E49" s="30">
        <v>16</v>
      </c>
      <c r="F49" s="30">
        <v>1</v>
      </c>
      <c r="G49" s="30">
        <v>8</v>
      </c>
      <c r="H49" s="159"/>
      <c r="L49" s="21">
        <v>1</v>
      </c>
      <c r="N49" s="21">
        <v>40</v>
      </c>
    </row>
    <row r="50" spans="2:14" ht="18">
      <c r="B50" s="30">
        <v>11</v>
      </c>
      <c r="C50" s="30">
        <v>42</v>
      </c>
      <c r="D50" s="30">
        <v>2</v>
      </c>
      <c r="E50" s="30">
        <v>22</v>
      </c>
      <c r="F50" s="30">
        <v>0</v>
      </c>
      <c r="G50" s="30">
        <v>3</v>
      </c>
      <c r="H50" s="159"/>
      <c r="L50" s="21">
        <v>1</v>
      </c>
      <c r="N50" s="21">
        <v>41</v>
      </c>
    </row>
    <row r="51" spans="2:14" ht="18">
      <c r="B51" s="30">
        <v>11</v>
      </c>
      <c r="C51" s="30">
        <v>56</v>
      </c>
      <c r="D51" s="30">
        <v>4</v>
      </c>
      <c r="E51" s="30">
        <v>16</v>
      </c>
      <c r="F51" s="30">
        <v>2</v>
      </c>
      <c r="G51" s="30">
        <v>0</v>
      </c>
      <c r="H51" s="159"/>
      <c r="L51" s="21">
        <v>1</v>
      </c>
      <c r="N51" s="21">
        <v>42</v>
      </c>
    </row>
    <row r="52" spans="2:14" ht="18">
      <c r="B52" s="30">
        <v>11</v>
      </c>
      <c r="C52" s="30">
        <v>56</v>
      </c>
      <c r="D52" s="30">
        <v>3</v>
      </c>
      <c r="E52" s="30">
        <v>17</v>
      </c>
      <c r="F52" s="30">
        <v>3</v>
      </c>
      <c r="G52" s="30">
        <v>2</v>
      </c>
      <c r="H52" s="159"/>
      <c r="L52" s="21">
        <v>1</v>
      </c>
      <c r="N52" s="21">
        <v>43</v>
      </c>
    </row>
    <row r="53" spans="2:14" ht="18">
      <c r="B53" s="30">
        <v>11</v>
      </c>
      <c r="C53" s="30">
        <v>56</v>
      </c>
      <c r="D53" s="30">
        <v>2</v>
      </c>
      <c r="E53" s="30">
        <v>8</v>
      </c>
      <c r="F53" s="30">
        <v>1</v>
      </c>
      <c r="G53" s="30">
        <v>1</v>
      </c>
      <c r="H53" s="159"/>
      <c r="L53" s="21">
        <v>1</v>
      </c>
      <c r="N53" s="21">
        <v>44</v>
      </c>
    </row>
    <row r="54" spans="2:14" ht="18">
      <c r="B54" s="30">
        <v>11</v>
      </c>
      <c r="C54" s="30">
        <v>32</v>
      </c>
      <c r="D54" s="30">
        <v>1</v>
      </c>
      <c r="E54" s="30">
        <v>2</v>
      </c>
      <c r="F54" s="30">
        <v>0</v>
      </c>
      <c r="G54" s="30">
        <v>0</v>
      </c>
      <c r="H54" s="159"/>
      <c r="L54" s="21">
        <v>1</v>
      </c>
      <c r="N54" s="21">
        <v>45</v>
      </c>
    </row>
    <row r="55" spans="2:14" ht="18">
      <c r="B55" s="30">
        <v>11</v>
      </c>
      <c r="C55" s="30">
        <v>32</v>
      </c>
      <c r="D55" s="30">
        <v>2</v>
      </c>
      <c r="E55" s="30">
        <v>5</v>
      </c>
      <c r="F55" s="30">
        <v>0</v>
      </c>
      <c r="G55" s="30">
        <v>0</v>
      </c>
      <c r="H55" s="159"/>
      <c r="L55" s="21">
        <v>1</v>
      </c>
      <c r="N55" s="21">
        <v>46</v>
      </c>
    </row>
    <row r="56" spans="2:14" ht="18">
      <c r="B56" s="30">
        <v>11</v>
      </c>
      <c r="C56" s="30">
        <v>32</v>
      </c>
      <c r="D56" s="30">
        <v>3</v>
      </c>
      <c r="E56" s="30">
        <v>18</v>
      </c>
      <c r="F56" s="30">
        <v>1</v>
      </c>
      <c r="G56" s="30">
        <v>0</v>
      </c>
      <c r="H56" s="159"/>
      <c r="L56" s="21">
        <v>1</v>
      </c>
      <c r="N56" s="21">
        <v>47</v>
      </c>
    </row>
    <row r="57" spans="2:14" ht="18">
      <c r="B57" s="30">
        <v>11</v>
      </c>
      <c r="C57" s="30">
        <v>26</v>
      </c>
      <c r="D57" s="30">
        <v>2</v>
      </c>
      <c r="E57" s="30">
        <v>17</v>
      </c>
      <c r="F57" s="30">
        <v>9</v>
      </c>
      <c r="G57" s="30">
        <v>1</v>
      </c>
      <c r="H57" s="159"/>
      <c r="L57" s="21">
        <v>1</v>
      </c>
      <c r="N57" s="21">
        <v>48</v>
      </c>
    </row>
    <row r="58" spans="2:14" ht="18">
      <c r="B58" s="30">
        <v>11</v>
      </c>
      <c r="C58" s="30">
        <v>41</v>
      </c>
      <c r="D58" s="30">
        <v>2</v>
      </c>
      <c r="E58" s="30">
        <v>15</v>
      </c>
      <c r="F58" s="30">
        <v>8</v>
      </c>
      <c r="G58" s="30">
        <v>1</v>
      </c>
      <c r="H58" s="159"/>
      <c r="L58" s="21">
        <v>1</v>
      </c>
      <c r="N58" s="21">
        <v>49</v>
      </c>
    </row>
    <row r="59" spans="2:14" ht="18">
      <c r="B59" s="30">
        <v>11</v>
      </c>
      <c r="C59" s="30">
        <v>24</v>
      </c>
      <c r="D59" s="30">
        <v>3</v>
      </c>
      <c r="E59" s="30">
        <v>13</v>
      </c>
      <c r="F59" s="30">
        <v>2</v>
      </c>
      <c r="G59" s="30">
        <v>0</v>
      </c>
      <c r="H59" s="159"/>
      <c r="L59" s="21">
        <v>1</v>
      </c>
      <c r="N59" s="21">
        <v>50</v>
      </c>
    </row>
    <row r="60" spans="2:14" ht="18">
      <c r="B60" s="30">
        <v>11</v>
      </c>
      <c r="C60" s="30">
        <v>24</v>
      </c>
      <c r="D60" s="30">
        <v>2</v>
      </c>
      <c r="E60" s="30">
        <v>14</v>
      </c>
      <c r="F60" s="30">
        <v>2</v>
      </c>
      <c r="G60" s="30">
        <v>1</v>
      </c>
      <c r="H60" s="159"/>
      <c r="L60" s="21">
        <v>1</v>
      </c>
      <c r="N60" s="21">
        <v>51</v>
      </c>
    </row>
    <row r="61" spans="2:14" ht="18">
      <c r="B61" s="30">
        <v>11</v>
      </c>
      <c r="C61" s="30">
        <v>24</v>
      </c>
      <c r="D61" s="30">
        <v>1</v>
      </c>
      <c r="E61" s="30">
        <v>8</v>
      </c>
      <c r="F61" s="30">
        <v>1</v>
      </c>
      <c r="G61" s="30">
        <v>1</v>
      </c>
      <c r="H61" s="159"/>
      <c r="L61" s="21">
        <v>1</v>
      </c>
      <c r="N61" s="21">
        <v>52</v>
      </c>
    </row>
    <row r="62" spans="2:14" ht="18">
      <c r="B62" s="30">
        <v>11</v>
      </c>
      <c r="C62" s="30">
        <v>24</v>
      </c>
      <c r="D62" s="30">
        <v>4</v>
      </c>
      <c r="E62" s="30">
        <v>13</v>
      </c>
      <c r="F62" s="30">
        <v>1</v>
      </c>
      <c r="G62" s="30">
        <v>1</v>
      </c>
      <c r="H62" s="159"/>
      <c r="L62" s="21">
        <v>1</v>
      </c>
      <c r="N62" s="21">
        <v>53</v>
      </c>
    </row>
    <row r="63" spans="2:14" ht="18">
      <c r="B63" s="30">
        <v>11</v>
      </c>
      <c r="C63" s="30">
        <v>43</v>
      </c>
      <c r="D63" s="30">
        <v>3</v>
      </c>
      <c r="E63" s="30">
        <v>42</v>
      </c>
      <c r="F63" s="30">
        <v>4</v>
      </c>
      <c r="G63" s="30">
        <v>0</v>
      </c>
      <c r="H63" s="159"/>
      <c r="L63" s="21">
        <v>1</v>
      </c>
      <c r="N63" s="21">
        <v>54</v>
      </c>
    </row>
    <row r="64" spans="2:14" ht="18">
      <c r="B64" s="30">
        <v>11</v>
      </c>
      <c r="C64" s="30">
        <v>38</v>
      </c>
      <c r="D64" s="30">
        <v>1</v>
      </c>
      <c r="E64" s="30">
        <v>2</v>
      </c>
      <c r="F64" s="30">
        <v>1</v>
      </c>
      <c r="G64" s="30">
        <v>2</v>
      </c>
      <c r="H64" s="159"/>
      <c r="L64" s="21">
        <v>1</v>
      </c>
      <c r="N64" s="21">
        <v>55</v>
      </c>
    </row>
    <row r="65" spans="2:14" ht="18">
      <c r="B65" s="30">
        <v>11</v>
      </c>
      <c r="C65" s="30">
        <v>38</v>
      </c>
      <c r="D65" s="30">
        <v>2</v>
      </c>
      <c r="E65" s="30">
        <v>6</v>
      </c>
      <c r="F65" s="30">
        <v>2</v>
      </c>
      <c r="G65" s="30">
        <v>3</v>
      </c>
      <c r="H65" s="159"/>
      <c r="L65" s="21">
        <v>1</v>
      </c>
      <c r="N65" s="21">
        <v>56</v>
      </c>
    </row>
    <row r="66" spans="2:14" ht="18">
      <c r="B66" s="30">
        <v>11</v>
      </c>
      <c r="C66" s="30">
        <v>38</v>
      </c>
      <c r="D66" s="30">
        <v>3</v>
      </c>
      <c r="E66" s="30">
        <v>7</v>
      </c>
      <c r="F66" s="30">
        <v>4</v>
      </c>
      <c r="G66" s="30">
        <v>5</v>
      </c>
      <c r="H66" s="159"/>
      <c r="L66" s="21">
        <v>1</v>
      </c>
      <c r="N66" s="21">
        <v>57</v>
      </c>
    </row>
    <row r="67" spans="2:14" ht="18">
      <c r="B67" s="30">
        <v>11</v>
      </c>
      <c r="C67" s="30">
        <v>35</v>
      </c>
      <c r="D67" s="30">
        <v>2</v>
      </c>
      <c r="E67" s="30">
        <v>28</v>
      </c>
      <c r="F67" s="30">
        <v>1</v>
      </c>
      <c r="G67" s="30">
        <v>0</v>
      </c>
      <c r="H67" s="159"/>
      <c r="L67" s="21">
        <v>1</v>
      </c>
      <c r="N67" s="21">
        <v>58</v>
      </c>
    </row>
    <row r="68" spans="2:14" ht="18">
      <c r="B68" s="30">
        <v>11</v>
      </c>
      <c r="C68" s="30">
        <v>35</v>
      </c>
      <c r="D68" s="30">
        <v>3</v>
      </c>
      <c r="E68" s="30">
        <v>26</v>
      </c>
      <c r="F68" s="30">
        <v>0</v>
      </c>
      <c r="G68" s="30">
        <v>0</v>
      </c>
      <c r="H68" s="159"/>
      <c r="L68" s="21">
        <v>1</v>
      </c>
      <c r="N68" s="21">
        <v>59</v>
      </c>
    </row>
    <row r="69" spans="2:14" ht="18">
      <c r="B69" s="30">
        <v>11</v>
      </c>
      <c r="C69" s="30">
        <v>35</v>
      </c>
      <c r="D69" s="30">
        <v>4</v>
      </c>
      <c r="E69" s="30">
        <v>19</v>
      </c>
      <c r="F69" s="30">
        <v>1</v>
      </c>
      <c r="G69" s="30">
        <v>1</v>
      </c>
      <c r="H69" s="159"/>
      <c r="L69" s="21">
        <v>1</v>
      </c>
      <c r="N69" s="21">
        <v>60</v>
      </c>
    </row>
    <row r="70" spans="2:14" ht="18">
      <c r="B70" s="30">
        <v>11</v>
      </c>
      <c r="C70" s="30">
        <v>35</v>
      </c>
      <c r="D70" s="30">
        <v>1</v>
      </c>
      <c r="E70" s="30">
        <v>20</v>
      </c>
      <c r="F70" s="30">
        <v>2</v>
      </c>
      <c r="G70" s="30">
        <v>1</v>
      </c>
      <c r="H70" s="159"/>
      <c r="L70" s="21">
        <v>1</v>
      </c>
      <c r="N70" s="21">
        <v>61</v>
      </c>
    </row>
    <row r="71" spans="2:14" ht="18">
      <c r="B71" s="30">
        <v>11</v>
      </c>
      <c r="C71" s="30">
        <v>30</v>
      </c>
      <c r="D71" s="30">
        <v>3</v>
      </c>
      <c r="E71" s="30">
        <v>8</v>
      </c>
      <c r="F71" s="30">
        <v>4</v>
      </c>
      <c r="G71" s="30">
        <v>0</v>
      </c>
      <c r="H71" s="159"/>
      <c r="L71" s="21">
        <v>1</v>
      </c>
      <c r="N71" s="21">
        <v>62</v>
      </c>
    </row>
    <row r="72" spans="2:14" ht="18">
      <c r="B72" s="30">
        <v>11</v>
      </c>
      <c r="C72" s="30">
        <v>30</v>
      </c>
      <c r="D72" s="30">
        <v>2</v>
      </c>
      <c r="E72" s="30">
        <v>7</v>
      </c>
      <c r="F72" s="30">
        <v>0</v>
      </c>
      <c r="G72" s="30">
        <v>0</v>
      </c>
      <c r="H72" s="159"/>
      <c r="L72" s="21">
        <v>1</v>
      </c>
      <c r="N72" s="21">
        <v>63</v>
      </c>
    </row>
    <row r="73" spans="2:14" ht="18">
      <c r="B73" s="30">
        <v>11</v>
      </c>
      <c r="C73" s="30">
        <v>60</v>
      </c>
      <c r="D73" s="30">
        <v>3</v>
      </c>
      <c r="E73" s="30">
        <v>20</v>
      </c>
      <c r="F73" s="30">
        <v>2</v>
      </c>
      <c r="G73" s="30">
        <v>0</v>
      </c>
      <c r="H73" s="159"/>
      <c r="L73" s="21">
        <v>1</v>
      </c>
      <c r="N73" s="21">
        <v>64</v>
      </c>
    </row>
    <row r="74" spans="2:14" ht="18">
      <c r="B74" s="30">
        <v>11</v>
      </c>
      <c r="C74" s="30">
        <v>37</v>
      </c>
      <c r="D74" s="30">
        <v>2</v>
      </c>
      <c r="E74" s="30">
        <v>7</v>
      </c>
      <c r="F74" s="30">
        <v>1</v>
      </c>
      <c r="G74" s="30">
        <v>0</v>
      </c>
      <c r="H74" s="159"/>
      <c r="L74" s="21">
        <v>1</v>
      </c>
    </row>
    <row r="75" spans="2:14" ht="18">
      <c r="B75" s="30">
        <v>11</v>
      </c>
      <c r="C75" s="30">
        <v>37</v>
      </c>
      <c r="D75" s="30">
        <v>3</v>
      </c>
      <c r="E75" s="30">
        <v>8</v>
      </c>
      <c r="F75" s="30">
        <v>2</v>
      </c>
      <c r="G75" s="30">
        <v>0</v>
      </c>
      <c r="H75" s="159"/>
      <c r="L75" s="21">
        <v>1</v>
      </c>
    </row>
    <row r="76" spans="2:14" ht="18">
      <c r="B76" s="30">
        <v>11</v>
      </c>
      <c r="C76" s="30">
        <v>60</v>
      </c>
      <c r="D76" s="30">
        <v>2</v>
      </c>
      <c r="E76" s="30">
        <v>27</v>
      </c>
      <c r="F76" s="30">
        <v>4</v>
      </c>
      <c r="G76" s="30">
        <v>0</v>
      </c>
      <c r="H76" s="159"/>
      <c r="L76" s="21">
        <v>1</v>
      </c>
    </row>
    <row r="77" spans="2:14" ht="18">
      <c r="B77" s="30">
        <v>11</v>
      </c>
      <c r="C77" s="30">
        <v>60</v>
      </c>
      <c r="D77" s="30">
        <v>1</v>
      </c>
      <c r="E77" s="30">
        <v>10</v>
      </c>
      <c r="F77" s="30">
        <v>3</v>
      </c>
      <c r="G77" s="30">
        <v>0</v>
      </c>
      <c r="H77" s="159"/>
      <c r="L77" s="21">
        <v>1</v>
      </c>
    </row>
    <row r="78" spans="2:14" ht="18">
      <c r="B78" s="30">
        <v>11</v>
      </c>
      <c r="C78" s="30">
        <v>45</v>
      </c>
      <c r="D78" s="30">
        <v>2</v>
      </c>
      <c r="E78" s="30">
        <v>11</v>
      </c>
      <c r="F78" s="30">
        <v>23</v>
      </c>
      <c r="G78" s="30">
        <v>4</v>
      </c>
      <c r="H78" s="159"/>
      <c r="L78" s="21">
        <v>1</v>
      </c>
    </row>
    <row r="79" spans="2:14" ht="18">
      <c r="B79" s="30">
        <v>11</v>
      </c>
      <c r="C79" s="30">
        <v>44</v>
      </c>
      <c r="D79" s="30">
        <v>4</v>
      </c>
      <c r="E79" s="30">
        <v>5</v>
      </c>
      <c r="F79" s="30">
        <v>11</v>
      </c>
      <c r="G79" s="30">
        <v>4</v>
      </c>
      <c r="H79" s="159"/>
      <c r="L79" s="21">
        <v>1</v>
      </c>
    </row>
    <row r="80" spans="2:14" ht="18">
      <c r="B80" s="30">
        <v>11</v>
      </c>
      <c r="C80" s="30">
        <v>44</v>
      </c>
      <c r="D80" s="30">
        <v>3</v>
      </c>
      <c r="E80" s="30">
        <v>2</v>
      </c>
      <c r="F80" s="30">
        <v>22</v>
      </c>
      <c r="G80" s="30">
        <v>1</v>
      </c>
      <c r="H80" s="159"/>
      <c r="L80" s="21">
        <v>1</v>
      </c>
    </row>
    <row r="81" spans="2:12" ht="18">
      <c r="B81" s="30">
        <v>11</v>
      </c>
      <c r="C81" s="30">
        <v>44</v>
      </c>
      <c r="D81" s="30">
        <v>2</v>
      </c>
      <c r="E81" s="30">
        <v>2</v>
      </c>
      <c r="F81" s="30">
        <v>17</v>
      </c>
      <c r="G81" s="30">
        <v>6</v>
      </c>
      <c r="H81" s="159"/>
      <c r="L81" s="21">
        <v>1</v>
      </c>
    </row>
    <row r="82" spans="2:12" ht="18">
      <c r="B82" s="30">
        <v>11</v>
      </c>
      <c r="C82" s="30">
        <v>45</v>
      </c>
      <c r="D82" s="30">
        <v>3</v>
      </c>
      <c r="E82" s="30">
        <v>11</v>
      </c>
      <c r="F82" s="30">
        <v>41</v>
      </c>
      <c r="G82" s="30">
        <v>6</v>
      </c>
      <c r="H82" s="159"/>
      <c r="L82" s="21">
        <v>1</v>
      </c>
    </row>
    <row r="83" spans="2:12" ht="18">
      <c r="B83" s="30">
        <v>11</v>
      </c>
      <c r="C83" s="30">
        <v>41</v>
      </c>
      <c r="D83" s="30">
        <v>3</v>
      </c>
      <c r="E83" s="30">
        <v>16</v>
      </c>
      <c r="F83" s="30">
        <v>6</v>
      </c>
      <c r="G83" s="30">
        <v>5</v>
      </c>
      <c r="H83" s="159"/>
      <c r="L83" s="21">
        <v>1</v>
      </c>
    </row>
    <row r="84" spans="2:12" ht="18">
      <c r="B84" s="30">
        <v>11</v>
      </c>
      <c r="C84" s="30">
        <v>63</v>
      </c>
      <c r="D84" s="30">
        <v>5</v>
      </c>
      <c r="E84" s="30">
        <v>13</v>
      </c>
      <c r="F84" s="30">
        <v>2</v>
      </c>
      <c r="G84" s="30">
        <v>3</v>
      </c>
      <c r="H84" s="159"/>
      <c r="L84" s="21">
        <v>1</v>
      </c>
    </row>
    <row r="85" spans="2:12" ht="18">
      <c r="B85" s="30">
        <v>11</v>
      </c>
      <c r="C85" s="30">
        <v>63</v>
      </c>
      <c r="D85" s="30">
        <v>3</v>
      </c>
      <c r="E85" s="30">
        <v>15</v>
      </c>
      <c r="F85" s="30">
        <v>1</v>
      </c>
      <c r="G85" s="30">
        <v>0</v>
      </c>
      <c r="H85" s="159"/>
      <c r="L85" s="21">
        <v>1</v>
      </c>
    </row>
    <row r="86" spans="2:12" ht="18">
      <c r="B86" s="30">
        <v>11</v>
      </c>
      <c r="C86" s="30">
        <v>63</v>
      </c>
      <c r="D86" s="30">
        <v>2</v>
      </c>
      <c r="E86" s="30">
        <v>10</v>
      </c>
      <c r="F86" s="30">
        <v>2</v>
      </c>
      <c r="G86" s="30">
        <v>0</v>
      </c>
      <c r="H86" s="159"/>
      <c r="L86" s="21">
        <v>1</v>
      </c>
    </row>
    <row r="87" spans="2:12" ht="18">
      <c r="B87" s="30">
        <v>11</v>
      </c>
      <c r="C87" s="30">
        <v>63</v>
      </c>
      <c r="D87" s="30">
        <v>4</v>
      </c>
      <c r="E87" s="30">
        <v>3</v>
      </c>
      <c r="F87" s="30">
        <v>1</v>
      </c>
      <c r="G87" s="30">
        <v>1</v>
      </c>
      <c r="H87" s="159"/>
      <c r="L87" s="21">
        <v>1</v>
      </c>
    </row>
    <row r="88" spans="2:12" ht="18">
      <c r="B88" s="30">
        <v>11</v>
      </c>
      <c r="C88" s="30">
        <v>53</v>
      </c>
      <c r="D88" s="30">
        <v>2</v>
      </c>
      <c r="E88" s="30">
        <v>60</v>
      </c>
      <c r="F88" s="30">
        <v>20</v>
      </c>
      <c r="G88" s="30">
        <v>10</v>
      </c>
      <c r="H88" s="159"/>
      <c r="L88" s="21">
        <v>1</v>
      </c>
    </row>
    <row r="89" spans="2:12" ht="18">
      <c r="B89" s="30">
        <v>11</v>
      </c>
      <c r="C89" s="30">
        <v>36</v>
      </c>
      <c r="D89" s="30">
        <v>3</v>
      </c>
      <c r="E89" s="30">
        <v>15</v>
      </c>
      <c r="F89" s="30">
        <v>1</v>
      </c>
      <c r="G89" s="30">
        <v>0</v>
      </c>
      <c r="H89" s="159"/>
      <c r="L89" s="21">
        <v>1</v>
      </c>
    </row>
    <row r="90" spans="2:12" ht="18">
      <c r="B90" s="30">
        <v>11</v>
      </c>
      <c r="C90" s="30">
        <v>36</v>
      </c>
      <c r="D90" s="30">
        <v>4</v>
      </c>
      <c r="E90" s="30">
        <v>32</v>
      </c>
      <c r="F90" s="30">
        <v>1</v>
      </c>
      <c r="G90" s="30">
        <v>0</v>
      </c>
      <c r="H90" s="159"/>
      <c r="L90" s="21">
        <v>1</v>
      </c>
    </row>
    <row r="91" spans="2:12" ht="18">
      <c r="B91" s="30">
        <v>11</v>
      </c>
      <c r="C91" s="30">
        <v>25</v>
      </c>
      <c r="D91" s="30">
        <v>2</v>
      </c>
      <c r="E91" s="30">
        <v>8</v>
      </c>
      <c r="F91" s="30">
        <v>13</v>
      </c>
      <c r="G91" s="30">
        <v>2</v>
      </c>
      <c r="H91" s="159"/>
      <c r="L91" s="21">
        <v>1</v>
      </c>
    </row>
    <row r="92" spans="2:12" ht="18">
      <c r="B92" s="30">
        <v>11</v>
      </c>
      <c r="C92" s="30">
        <v>59</v>
      </c>
      <c r="D92" s="30">
        <v>2</v>
      </c>
      <c r="E92" s="30">
        <v>7</v>
      </c>
      <c r="F92" s="30">
        <v>8</v>
      </c>
      <c r="G92" s="30">
        <v>2</v>
      </c>
      <c r="H92" s="159"/>
      <c r="L92" s="21">
        <v>1</v>
      </c>
    </row>
    <row r="93" spans="2:12" ht="18">
      <c r="B93" s="30">
        <v>11</v>
      </c>
      <c r="C93" s="30">
        <v>59</v>
      </c>
      <c r="D93" s="30">
        <v>3</v>
      </c>
      <c r="E93" s="30">
        <v>7</v>
      </c>
      <c r="F93" s="30">
        <v>10</v>
      </c>
      <c r="G93" s="30">
        <v>4</v>
      </c>
      <c r="H93" s="159"/>
      <c r="L93" s="21">
        <v>1</v>
      </c>
    </row>
    <row r="94" spans="2:12" ht="18">
      <c r="B94" s="30">
        <v>11</v>
      </c>
      <c r="C94" s="30">
        <v>27</v>
      </c>
      <c r="D94" s="30">
        <v>3</v>
      </c>
      <c r="E94" s="30">
        <v>3</v>
      </c>
      <c r="F94" s="30">
        <v>0</v>
      </c>
      <c r="G94" s="30">
        <v>0</v>
      </c>
      <c r="H94" s="159"/>
      <c r="L94" s="21">
        <v>1</v>
      </c>
    </row>
    <row r="95" spans="2:12" ht="18">
      <c r="B95" s="30">
        <v>11</v>
      </c>
      <c r="C95" s="30">
        <v>27</v>
      </c>
      <c r="D95" s="30">
        <v>2</v>
      </c>
      <c r="E95" s="30">
        <v>9</v>
      </c>
      <c r="F95" s="30">
        <v>1</v>
      </c>
      <c r="G95" s="30">
        <v>0</v>
      </c>
      <c r="H95" s="159"/>
      <c r="L95" s="21">
        <v>1</v>
      </c>
    </row>
    <row r="96" spans="2:12" ht="18">
      <c r="B96" s="30">
        <v>11</v>
      </c>
      <c r="C96" s="30">
        <v>46</v>
      </c>
      <c r="D96" s="30">
        <v>2</v>
      </c>
      <c r="E96" s="30">
        <v>19</v>
      </c>
      <c r="F96" s="30">
        <v>5</v>
      </c>
      <c r="G96" s="30">
        <v>10</v>
      </c>
      <c r="H96" s="159"/>
      <c r="L96" s="21">
        <v>1</v>
      </c>
    </row>
    <row r="97" spans="2:12" ht="18">
      <c r="B97" s="30">
        <v>11</v>
      </c>
      <c r="C97" s="30">
        <v>40</v>
      </c>
      <c r="D97" s="30">
        <v>2</v>
      </c>
      <c r="E97" s="30">
        <v>6</v>
      </c>
      <c r="F97" s="30">
        <v>9</v>
      </c>
      <c r="G97" s="30">
        <v>5</v>
      </c>
      <c r="H97" s="159"/>
      <c r="L97" s="21">
        <v>1</v>
      </c>
    </row>
    <row r="98" spans="2:12" ht="18">
      <c r="B98" s="30">
        <v>11</v>
      </c>
      <c r="C98" s="30">
        <v>40</v>
      </c>
      <c r="D98" s="30">
        <v>3</v>
      </c>
      <c r="E98" s="30">
        <v>10</v>
      </c>
      <c r="F98" s="30">
        <v>4</v>
      </c>
      <c r="G98" s="30">
        <v>5</v>
      </c>
      <c r="H98" s="159"/>
      <c r="L98" s="21">
        <v>1</v>
      </c>
    </row>
    <row r="99" spans="2:12" ht="18">
      <c r="B99" s="30">
        <v>11</v>
      </c>
      <c r="C99" s="30">
        <v>49</v>
      </c>
      <c r="D99" s="30">
        <v>2</v>
      </c>
      <c r="E99" s="30">
        <v>10</v>
      </c>
      <c r="F99" s="30">
        <v>1</v>
      </c>
      <c r="G99" s="30">
        <v>0</v>
      </c>
      <c r="H99" s="159"/>
      <c r="L99" s="21">
        <v>1</v>
      </c>
    </row>
    <row r="100" spans="2:12" ht="18">
      <c r="B100" s="30">
        <v>11</v>
      </c>
      <c r="C100" s="30">
        <v>49</v>
      </c>
      <c r="D100" s="30">
        <v>3</v>
      </c>
      <c r="E100" s="30">
        <v>18</v>
      </c>
      <c r="F100" s="30">
        <v>0</v>
      </c>
      <c r="G100" s="30">
        <v>0</v>
      </c>
      <c r="H100" s="159"/>
      <c r="L100" s="21">
        <v>1</v>
      </c>
    </row>
    <row r="101" spans="2:12" ht="18">
      <c r="B101" s="30">
        <v>11</v>
      </c>
      <c r="C101" s="30">
        <v>49</v>
      </c>
      <c r="D101" s="30">
        <v>4</v>
      </c>
      <c r="E101" s="30">
        <v>23</v>
      </c>
      <c r="F101" s="30">
        <v>0</v>
      </c>
      <c r="G101" s="30">
        <v>0</v>
      </c>
      <c r="H101" s="159"/>
      <c r="L101" s="21">
        <v>1</v>
      </c>
    </row>
    <row r="102" spans="2:12" ht="18">
      <c r="B102" s="30">
        <v>11</v>
      </c>
      <c r="C102" s="30">
        <v>26</v>
      </c>
      <c r="D102" s="30">
        <v>3</v>
      </c>
      <c r="E102" s="30">
        <v>20</v>
      </c>
      <c r="F102" s="30">
        <v>6</v>
      </c>
      <c r="G102" s="30">
        <v>5</v>
      </c>
      <c r="H102" s="159"/>
      <c r="L102" s="21">
        <v>1</v>
      </c>
    </row>
    <row r="103" spans="2:12" ht="18">
      <c r="B103" s="30">
        <v>11</v>
      </c>
      <c r="C103" s="30">
        <v>55</v>
      </c>
      <c r="D103" s="30">
        <v>1</v>
      </c>
      <c r="E103" s="30">
        <v>0</v>
      </c>
      <c r="F103" s="30">
        <v>0</v>
      </c>
      <c r="G103" s="30">
        <v>0</v>
      </c>
      <c r="H103" s="159"/>
      <c r="L103" s="21">
        <v>1</v>
      </c>
    </row>
    <row r="104" spans="2:12" ht="18">
      <c r="B104" s="30">
        <v>11</v>
      </c>
      <c r="C104" s="30">
        <v>55</v>
      </c>
      <c r="D104" s="30">
        <v>2</v>
      </c>
      <c r="E104" s="30">
        <v>2</v>
      </c>
      <c r="F104" s="30">
        <v>0</v>
      </c>
      <c r="G104" s="30">
        <v>1</v>
      </c>
      <c r="H104" s="159"/>
      <c r="L104" s="21">
        <v>1</v>
      </c>
    </row>
    <row r="105" spans="2:12" ht="18">
      <c r="B105" s="30">
        <v>11</v>
      </c>
      <c r="C105" s="30">
        <v>55</v>
      </c>
      <c r="D105" s="30">
        <v>3</v>
      </c>
      <c r="E105" s="30">
        <v>8</v>
      </c>
      <c r="F105" s="30">
        <v>0</v>
      </c>
      <c r="G105" s="30">
        <v>3</v>
      </c>
      <c r="H105" s="159"/>
      <c r="L105" s="21">
        <v>1</v>
      </c>
    </row>
    <row r="106" spans="2:12" ht="18">
      <c r="B106" s="30">
        <v>11</v>
      </c>
      <c r="C106" s="30">
        <v>55</v>
      </c>
      <c r="D106" s="30">
        <v>4</v>
      </c>
      <c r="E106" s="30">
        <v>7</v>
      </c>
      <c r="F106" s="30">
        <v>0</v>
      </c>
      <c r="G106" s="30">
        <v>2</v>
      </c>
      <c r="H106" s="159"/>
      <c r="L106" s="21">
        <v>1</v>
      </c>
    </row>
    <row r="107" spans="2:12" ht="18">
      <c r="B107" s="30">
        <v>11</v>
      </c>
      <c r="C107" s="30">
        <v>55</v>
      </c>
      <c r="D107" s="30">
        <v>5</v>
      </c>
      <c r="E107" s="30">
        <v>15</v>
      </c>
      <c r="F107" s="30">
        <v>2</v>
      </c>
      <c r="G107" s="30">
        <v>1</v>
      </c>
      <c r="H107" s="159"/>
      <c r="L107" s="21">
        <v>1</v>
      </c>
    </row>
    <row r="108" spans="2:12" ht="18">
      <c r="B108" s="30">
        <v>11</v>
      </c>
      <c r="C108" s="30">
        <v>50</v>
      </c>
      <c r="D108" s="30">
        <v>1</v>
      </c>
      <c r="E108" s="30">
        <v>6</v>
      </c>
      <c r="F108" s="30">
        <v>2</v>
      </c>
      <c r="G108" s="30">
        <v>1</v>
      </c>
      <c r="H108" s="159"/>
      <c r="L108" s="21">
        <v>1</v>
      </c>
    </row>
    <row r="109" spans="2:12" ht="18">
      <c r="B109" s="30">
        <v>11</v>
      </c>
      <c r="C109" s="30">
        <v>50</v>
      </c>
      <c r="D109" s="30">
        <v>2</v>
      </c>
      <c r="E109" s="30">
        <v>16</v>
      </c>
      <c r="F109" s="30">
        <v>1</v>
      </c>
      <c r="G109" s="30">
        <v>2</v>
      </c>
      <c r="H109" s="159"/>
      <c r="L109" s="21">
        <v>1</v>
      </c>
    </row>
    <row r="110" spans="2:12" ht="18">
      <c r="B110" s="30">
        <v>11</v>
      </c>
      <c r="C110" s="30">
        <v>50</v>
      </c>
      <c r="D110" s="30">
        <v>3</v>
      </c>
      <c r="E110" s="30">
        <v>17</v>
      </c>
      <c r="F110" s="30">
        <v>1</v>
      </c>
      <c r="G110" s="30">
        <v>1</v>
      </c>
      <c r="H110" s="159"/>
      <c r="L110" s="21">
        <v>1</v>
      </c>
    </row>
    <row r="111" spans="2:12" ht="18">
      <c r="B111" s="30">
        <v>11</v>
      </c>
      <c r="C111" s="30">
        <v>34</v>
      </c>
      <c r="D111" s="30">
        <v>2</v>
      </c>
      <c r="E111" s="30">
        <v>12</v>
      </c>
      <c r="F111" s="30">
        <v>0</v>
      </c>
      <c r="G111" s="30">
        <v>0</v>
      </c>
      <c r="H111" s="159"/>
      <c r="L111" s="21">
        <v>1</v>
      </c>
    </row>
    <row r="112" spans="2:12" ht="18">
      <c r="B112" s="30">
        <v>11</v>
      </c>
      <c r="C112" s="30">
        <v>34</v>
      </c>
      <c r="D112" s="30">
        <v>3</v>
      </c>
      <c r="E112" s="30">
        <v>8</v>
      </c>
      <c r="F112" s="30">
        <v>0</v>
      </c>
      <c r="G112" s="30">
        <v>0</v>
      </c>
      <c r="H112" s="159"/>
      <c r="L112" s="21">
        <v>1</v>
      </c>
    </row>
    <row r="113" spans="2:12" ht="18">
      <c r="B113" s="30">
        <v>11</v>
      </c>
      <c r="C113" s="30">
        <v>34</v>
      </c>
      <c r="D113" s="30">
        <v>1</v>
      </c>
      <c r="E113" s="30">
        <v>17</v>
      </c>
      <c r="F113" s="30">
        <v>0</v>
      </c>
      <c r="G113" s="30">
        <v>5</v>
      </c>
      <c r="H113" s="159"/>
      <c r="L113" s="21">
        <v>1</v>
      </c>
    </row>
    <row r="114" spans="2:12" ht="18">
      <c r="B114" s="30">
        <v>11</v>
      </c>
      <c r="C114" s="30">
        <v>52</v>
      </c>
      <c r="D114" s="30">
        <v>2</v>
      </c>
      <c r="E114" s="30">
        <v>14</v>
      </c>
      <c r="F114" s="30">
        <v>0</v>
      </c>
      <c r="G114" s="30">
        <v>0</v>
      </c>
      <c r="H114" s="159"/>
      <c r="L114" s="21">
        <v>1</v>
      </c>
    </row>
    <row r="115" spans="2:12" ht="18">
      <c r="B115" s="30">
        <v>11</v>
      </c>
      <c r="C115" s="30">
        <v>52</v>
      </c>
      <c r="D115" s="30">
        <v>3</v>
      </c>
      <c r="E115" s="30">
        <v>16</v>
      </c>
      <c r="F115" s="30">
        <v>1</v>
      </c>
      <c r="G115" s="30">
        <v>3</v>
      </c>
      <c r="H115" s="159"/>
      <c r="L115" s="21">
        <v>1</v>
      </c>
    </row>
    <row r="116" spans="2:12" ht="18">
      <c r="B116" s="30">
        <v>11</v>
      </c>
      <c r="C116" s="30">
        <v>52</v>
      </c>
      <c r="D116" s="30">
        <v>4</v>
      </c>
      <c r="E116" s="30">
        <v>19</v>
      </c>
      <c r="F116" s="30">
        <v>1</v>
      </c>
      <c r="G116" s="30">
        <v>0</v>
      </c>
      <c r="H116" s="159"/>
      <c r="L116" s="21">
        <v>1</v>
      </c>
    </row>
    <row r="117" spans="2:12" ht="18">
      <c r="B117" s="30">
        <v>11</v>
      </c>
      <c r="C117" s="30">
        <v>52</v>
      </c>
      <c r="D117" s="30">
        <v>5</v>
      </c>
      <c r="E117" s="30">
        <v>23</v>
      </c>
      <c r="F117" s="30">
        <v>0</v>
      </c>
      <c r="G117" s="30">
        <v>0</v>
      </c>
      <c r="H117" s="159"/>
      <c r="L117" s="21">
        <v>1</v>
      </c>
    </row>
    <row r="118" spans="2:12" ht="18">
      <c r="B118" s="30">
        <v>11</v>
      </c>
      <c r="C118" s="30">
        <v>26</v>
      </c>
      <c r="D118" s="30">
        <v>4</v>
      </c>
      <c r="E118" s="30">
        <v>17</v>
      </c>
      <c r="F118" s="30">
        <v>9</v>
      </c>
      <c r="G118" s="30">
        <v>1</v>
      </c>
      <c r="H118" s="159"/>
      <c r="L118" s="21">
        <v>1</v>
      </c>
    </row>
    <row r="119" spans="2:12" ht="18">
      <c r="B119" s="30">
        <v>11</v>
      </c>
      <c r="C119" s="30">
        <v>26</v>
      </c>
      <c r="D119" s="30">
        <v>5</v>
      </c>
      <c r="E119" s="30">
        <v>20</v>
      </c>
      <c r="F119" s="30">
        <v>6</v>
      </c>
      <c r="G119" s="30">
        <v>5</v>
      </c>
      <c r="H119" s="159"/>
      <c r="L119" s="21">
        <v>1</v>
      </c>
    </row>
    <row r="120" spans="2:12" ht="18">
      <c r="B120" s="30">
        <v>11</v>
      </c>
      <c r="C120" s="30">
        <v>26</v>
      </c>
      <c r="D120" s="30">
        <v>6</v>
      </c>
      <c r="E120" s="30">
        <v>16</v>
      </c>
      <c r="F120" s="30">
        <v>5</v>
      </c>
      <c r="G120" s="30">
        <v>7</v>
      </c>
      <c r="H120" s="159"/>
      <c r="L120" s="21">
        <v>1</v>
      </c>
    </row>
    <row r="121" spans="2:12" ht="18">
      <c r="B121" s="30">
        <v>11</v>
      </c>
      <c r="C121" s="30">
        <v>43</v>
      </c>
      <c r="D121" s="30">
        <v>4</v>
      </c>
      <c r="E121" s="30">
        <v>29</v>
      </c>
      <c r="F121" s="30">
        <v>4</v>
      </c>
      <c r="G121" s="30">
        <v>6</v>
      </c>
      <c r="H121" s="159"/>
      <c r="L121" s="21">
        <v>1</v>
      </c>
    </row>
    <row r="122" spans="2:12" ht="18">
      <c r="B122" s="30">
        <v>11</v>
      </c>
      <c r="C122" s="30">
        <v>43</v>
      </c>
      <c r="D122" s="30">
        <v>5</v>
      </c>
      <c r="E122" s="30">
        <v>33</v>
      </c>
      <c r="F122" s="30">
        <v>6</v>
      </c>
      <c r="G122" s="30">
        <v>4</v>
      </c>
      <c r="H122" s="159"/>
      <c r="L122" s="21">
        <v>1</v>
      </c>
    </row>
    <row r="123" spans="2:12" ht="18">
      <c r="B123" s="30">
        <v>11</v>
      </c>
      <c r="C123" s="30">
        <v>23</v>
      </c>
      <c r="D123" s="30">
        <v>3</v>
      </c>
      <c r="E123" s="30">
        <v>16</v>
      </c>
      <c r="F123" s="30">
        <v>4</v>
      </c>
      <c r="G123" s="30">
        <v>2</v>
      </c>
      <c r="H123" s="159"/>
      <c r="L123" s="21">
        <v>1</v>
      </c>
    </row>
    <row r="124" spans="2:12" ht="18">
      <c r="B124" s="30">
        <v>11</v>
      </c>
      <c r="C124" s="30">
        <v>23</v>
      </c>
      <c r="D124" s="30">
        <v>2</v>
      </c>
      <c r="E124" s="30">
        <v>12</v>
      </c>
      <c r="F124" s="30">
        <v>5</v>
      </c>
      <c r="G124" s="30">
        <v>8</v>
      </c>
      <c r="H124" s="159"/>
      <c r="L124" s="21">
        <v>1</v>
      </c>
    </row>
    <row r="125" spans="2:12" ht="18">
      <c r="B125" s="30">
        <v>11</v>
      </c>
      <c r="C125" s="30">
        <v>23</v>
      </c>
      <c r="D125" s="30">
        <v>4</v>
      </c>
      <c r="E125" s="30">
        <v>21</v>
      </c>
      <c r="F125" s="30">
        <v>0</v>
      </c>
      <c r="G125" s="30">
        <v>5</v>
      </c>
      <c r="H125" s="159"/>
      <c r="L125" s="21">
        <v>1</v>
      </c>
    </row>
    <row r="126" spans="2:12" ht="18">
      <c r="B126" s="30">
        <v>11</v>
      </c>
      <c r="C126" s="30">
        <v>57</v>
      </c>
      <c r="D126" s="30">
        <v>1</v>
      </c>
      <c r="E126" s="30">
        <v>9</v>
      </c>
      <c r="F126" s="30">
        <v>2</v>
      </c>
      <c r="G126" s="30">
        <v>0</v>
      </c>
      <c r="H126" s="159"/>
      <c r="L126" s="21">
        <v>1</v>
      </c>
    </row>
    <row r="127" spans="2:12" ht="18">
      <c r="B127" s="30">
        <v>11</v>
      </c>
      <c r="C127" s="30">
        <v>29</v>
      </c>
      <c r="D127" s="30">
        <v>6</v>
      </c>
      <c r="E127" s="30">
        <v>27</v>
      </c>
      <c r="F127" s="30">
        <v>4</v>
      </c>
      <c r="G127" s="30">
        <v>0</v>
      </c>
      <c r="H127" s="159"/>
      <c r="L127" s="21">
        <v>1</v>
      </c>
    </row>
    <row r="128" spans="2:12" ht="18">
      <c r="B128" s="30">
        <v>11</v>
      </c>
      <c r="C128" s="30">
        <v>29</v>
      </c>
      <c r="D128" s="30">
        <v>5</v>
      </c>
      <c r="E128" s="30">
        <v>25</v>
      </c>
      <c r="F128" s="30">
        <v>5</v>
      </c>
      <c r="G128" s="30">
        <v>0</v>
      </c>
      <c r="H128" s="159"/>
      <c r="L128" s="21">
        <v>1</v>
      </c>
    </row>
    <row r="129" spans="2:12" ht="18">
      <c r="B129" s="30">
        <v>11</v>
      </c>
      <c r="C129" s="30">
        <v>29</v>
      </c>
      <c r="D129" s="30">
        <v>4</v>
      </c>
      <c r="E129" s="30">
        <v>19</v>
      </c>
      <c r="F129" s="30">
        <v>4</v>
      </c>
      <c r="G129" s="30">
        <v>2</v>
      </c>
      <c r="H129" s="159"/>
      <c r="L129" s="21">
        <v>1</v>
      </c>
    </row>
    <row r="130" spans="2:12" ht="18">
      <c r="B130" s="30">
        <v>11</v>
      </c>
      <c r="C130" s="30">
        <v>57</v>
      </c>
      <c r="D130" s="30">
        <v>4</v>
      </c>
      <c r="E130" s="30">
        <v>11</v>
      </c>
      <c r="F130" s="30">
        <v>0</v>
      </c>
      <c r="G130" s="30">
        <v>0</v>
      </c>
      <c r="H130" s="159"/>
      <c r="L130" s="21">
        <v>1</v>
      </c>
    </row>
    <row r="131" spans="2:12" ht="18">
      <c r="B131" s="30">
        <v>11</v>
      </c>
      <c r="C131" s="30">
        <v>57</v>
      </c>
      <c r="D131" s="30">
        <v>3</v>
      </c>
      <c r="E131" s="30">
        <v>7</v>
      </c>
      <c r="F131" s="30">
        <v>0</v>
      </c>
      <c r="G131" s="30">
        <v>0</v>
      </c>
      <c r="H131" s="159"/>
      <c r="L131" s="21">
        <v>1</v>
      </c>
    </row>
    <row r="132" spans="2:12" ht="18">
      <c r="B132" s="30">
        <v>11</v>
      </c>
      <c r="C132" s="30">
        <v>57</v>
      </c>
      <c r="D132" s="30">
        <v>2</v>
      </c>
      <c r="E132" s="30">
        <v>17</v>
      </c>
      <c r="F132" s="30">
        <v>3</v>
      </c>
      <c r="G132" s="30">
        <v>0</v>
      </c>
      <c r="H132" s="159"/>
      <c r="L132" s="21">
        <v>1</v>
      </c>
    </row>
    <row r="133" spans="2:12" ht="18">
      <c r="B133" s="30">
        <v>11</v>
      </c>
      <c r="C133" s="30">
        <v>57</v>
      </c>
      <c r="D133" s="30">
        <v>5</v>
      </c>
      <c r="E133" s="30">
        <v>13</v>
      </c>
      <c r="F133" s="30">
        <v>8</v>
      </c>
      <c r="G133" s="30">
        <v>0</v>
      </c>
      <c r="H133" s="159"/>
      <c r="L133" s="21">
        <v>1</v>
      </c>
    </row>
    <row r="134" spans="2:12" ht="18">
      <c r="B134" s="30">
        <v>11</v>
      </c>
      <c r="C134" s="30">
        <v>53</v>
      </c>
      <c r="D134" s="30">
        <v>4</v>
      </c>
      <c r="E134" s="30">
        <v>25</v>
      </c>
      <c r="F134" s="30">
        <v>0</v>
      </c>
      <c r="G134" s="30">
        <v>0</v>
      </c>
      <c r="H134" s="159"/>
      <c r="L134" s="21">
        <v>1</v>
      </c>
    </row>
    <row r="135" spans="2:12" ht="18">
      <c r="B135" s="30">
        <v>11</v>
      </c>
      <c r="C135" s="30">
        <v>53</v>
      </c>
      <c r="D135" s="30">
        <v>3</v>
      </c>
      <c r="E135" s="30">
        <v>32</v>
      </c>
      <c r="F135" s="30">
        <v>0</v>
      </c>
      <c r="G135" s="30">
        <v>2</v>
      </c>
      <c r="H135" s="159"/>
      <c r="L135" s="21">
        <v>1</v>
      </c>
    </row>
    <row r="136" spans="2:12" ht="18">
      <c r="B136" s="30">
        <v>11</v>
      </c>
      <c r="C136" s="30">
        <v>39</v>
      </c>
      <c r="D136" s="30">
        <v>5</v>
      </c>
      <c r="E136" s="30">
        <v>11</v>
      </c>
      <c r="F136" s="30">
        <v>5</v>
      </c>
      <c r="G136" s="30">
        <v>9</v>
      </c>
      <c r="H136" s="159"/>
      <c r="L136" s="21">
        <v>1</v>
      </c>
    </row>
    <row r="137" spans="2:12" ht="18">
      <c r="B137" s="30">
        <v>11</v>
      </c>
      <c r="C137" s="30">
        <v>39</v>
      </c>
      <c r="D137" s="30">
        <v>4</v>
      </c>
      <c r="E137" s="30">
        <v>13</v>
      </c>
      <c r="F137" s="30">
        <v>8</v>
      </c>
      <c r="G137" s="30">
        <v>4</v>
      </c>
      <c r="H137" s="159"/>
      <c r="L137" s="21">
        <v>1</v>
      </c>
    </row>
    <row r="138" spans="2:12" ht="18">
      <c r="B138" s="30">
        <v>11</v>
      </c>
      <c r="C138" s="30">
        <v>39</v>
      </c>
      <c r="D138" s="30">
        <v>3</v>
      </c>
      <c r="E138" s="30">
        <v>15</v>
      </c>
      <c r="F138" s="30">
        <v>7</v>
      </c>
      <c r="G138" s="30">
        <v>3</v>
      </c>
      <c r="H138" s="159"/>
      <c r="L138" s="21">
        <v>1</v>
      </c>
    </row>
    <row r="139" spans="2:12" ht="18">
      <c r="B139" s="30">
        <v>11</v>
      </c>
      <c r="C139" s="30">
        <v>51</v>
      </c>
      <c r="D139" s="30">
        <v>5</v>
      </c>
      <c r="E139" s="30">
        <v>2</v>
      </c>
      <c r="F139" s="30">
        <v>0</v>
      </c>
      <c r="G139" s="30">
        <v>0</v>
      </c>
      <c r="H139" s="159"/>
      <c r="L139" s="21">
        <v>1</v>
      </c>
    </row>
    <row r="140" spans="2:12" ht="18">
      <c r="B140" s="30">
        <v>11</v>
      </c>
      <c r="C140" s="30">
        <v>33</v>
      </c>
      <c r="D140" s="30">
        <v>3</v>
      </c>
      <c r="E140" s="30">
        <v>25</v>
      </c>
      <c r="F140" s="30">
        <v>3</v>
      </c>
      <c r="G140" s="30">
        <v>0</v>
      </c>
      <c r="H140" s="159"/>
      <c r="L140" s="21">
        <v>1</v>
      </c>
    </row>
    <row r="141" spans="2:12" ht="18">
      <c r="B141" s="30">
        <v>11</v>
      </c>
      <c r="C141" s="30">
        <v>33</v>
      </c>
      <c r="D141" s="30">
        <v>2</v>
      </c>
      <c r="E141" s="30">
        <v>17</v>
      </c>
      <c r="F141" s="30">
        <v>3</v>
      </c>
      <c r="G141" s="30">
        <v>5</v>
      </c>
      <c r="H141" s="159"/>
      <c r="L141" s="21">
        <v>1</v>
      </c>
    </row>
    <row r="142" spans="2:12" ht="18">
      <c r="B142" s="30">
        <v>11</v>
      </c>
      <c r="C142" s="30">
        <v>51</v>
      </c>
      <c r="D142" s="30">
        <v>4</v>
      </c>
      <c r="E142" s="30">
        <v>6</v>
      </c>
      <c r="F142" s="30">
        <v>1</v>
      </c>
      <c r="G142" s="30">
        <v>0</v>
      </c>
      <c r="H142" s="159"/>
      <c r="L142" s="21">
        <v>1</v>
      </c>
    </row>
    <row r="143" spans="2:12" ht="18">
      <c r="B143" s="30">
        <v>11</v>
      </c>
      <c r="C143" s="30">
        <v>51</v>
      </c>
      <c r="D143" s="30">
        <v>3</v>
      </c>
      <c r="E143" s="30">
        <v>3</v>
      </c>
      <c r="F143" s="30">
        <v>0</v>
      </c>
      <c r="G143" s="30">
        <v>0</v>
      </c>
      <c r="H143" s="159"/>
      <c r="L143" s="21">
        <v>1</v>
      </c>
    </row>
    <row r="144" spans="2:12" ht="18">
      <c r="B144" s="30">
        <v>11</v>
      </c>
      <c r="C144" s="30">
        <v>58</v>
      </c>
      <c r="D144" s="30">
        <v>5</v>
      </c>
      <c r="E144" s="30">
        <v>14</v>
      </c>
      <c r="F144" s="30">
        <v>10</v>
      </c>
      <c r="G144" s="30">
        <v>4</v>
      </c>
      <c r="H144" s="159"/>
      <c r="L144" s="21">
        <v>1</v>
      </c>
    </row>
    <row r="145" spans="2:12" ht="18">
      <c r="B145" s="30">
        <v>11</v>
      </c>
      <c r="C145" s="30">
        <v>45</v>
      </c>
      <c r="D145" s="30">
        <v>5</v>
      </c>
      <c r="E145" s="30">
        <v>7</v>
      </c>
      <c r="F145" s="30">
        <v>17</v>
      </c>
      <c r="G145" s="30">
        <v>3</v>
      </c>
      <c r="H145" s="159"/>
      <c r="L145" s="21">
        <v>1</v>
      </c>
    </row>
    <row r="146" spans="2:12" ht="18">
      <c r="B146" s="30">
        <v>11</v>
      </c>
      <c r="C146" s="30">
        <v>45</v>
      </c>
      <c r="D146" s="30">
        <v>4</v>
      </c>
      <c r="E146" s="30">
        <v>11</v>
      </c>
      <c r="F146" s="30">
        <v>27</v>
      </c>
      <c r="G146" s="30">
        <v>5</v>
      </c>
      <c r="H146" s="159"/>
      <c r="L146" s="21">
        <v>1</v>
      </c>
    </row>
    <row r="147" spans="2:12" ht="18">
      <c r="B147" s="30">
        <v>11</v>
      </c>
      <c r="C147" s="30">
        <v>58</v>
      </c>
      <c r="D147" s="30">
        <v>4</v>
      </c>
      <c r="E147" s="30">
        <v>10</v>
      </c>
      <c r="F147" s="30">
        <v>7</v>
      </c>
      <c r="G147" s="30">
        <v>2</v>
      </c>
      <c r="H147" s="159"/>
      <c r="L147" s="21">
        <v>1</v>
      </c>
    </row>
    <row r="148" spans="2:12" ht="18">
      <c r="B148" s="30">
        <v>11</v>
      </c>
      <c r="C148" s="30">
        <v>32</v>
      </c>
      <c r="D148" s="30">
        <v>4</v>
      </c>
      <c r="E148" s="30">
        <v>15</v>
      </c>
      <c r="F148" s="30">
        <v>3</v>
      </c>
      <c r="G148" s="30">
        <v>1</v>
      </c>
      <c r="H148" s="159"/>
      <c r="L148" s="21">
        <v>1</v>
      </c>
    </row>
    <row r="149" spans="2:12" ht="18">
      <c r="B149" s="30">
        <v>11</v>
      </c>
      <c r="C149" s="30">
        <v>32</v>
      </c>
      <c r="D149" s="30">
        <v>5</v>
      </c>
      <c r="E149" s="30">
        <v>15</v>
      </c>
      <c r="F149" s="30">
        <v>0</v>
      </c>
      <c r="G149" s="30">
        <v>0</v>
      </c>
      <c r="H149" s="159"/>
      <c r="L149" s="21">
        <v>1</v>
      </c>
    </row>
    <row r="150" spans="2:12" ht="18">
      <c r="B150" s="30">
        <v>11</v>
      </c>
      <c r="C150" s="30">
        <v>58</v>
      </c>
      <c r="D150" s="30">
        <v>3</v>
      </c>
      <c r="E150" s="30">
        <v>21</v>
      </c>
      <c r="F150" s="30">
        <v>22</v>
      </c>
      <c r="G150" s="30">
        <v>8</v>
      </c>
      <c r="H150" s="159"/>
      <c r="L150" s="21">
        <v>1</v>
      </c>
    </row>
    <row r="151" spans="2:12" ht="18">
      <c r="B151" s="30">
        <v>11</v>
      </c>
      <c r="C151" s="30">
        <v>58</v>
      </c>
      <c r="D151" s="30">
        <v>2</v>
      </c>
      <c r="E151" s="30">
        <v>19</v>
      </c>
      <c r="F151" s="30">
        <v>3</v>
      </c>
      <c r="G151" s="30">
        <v>6</v>
      </c>
      <c r="H151" s="159"/>
      <c r="L151" s="21">
        <v>1</v>
      </c>
    </row>
    <row r="152" spans="2:12" ht="18">
      <c r="B152" s="30">
        <v>11</v>
      </c>
      <c r="C152" s="30">
        <v>61</v>
      </c>
      <c r="D152" s="30">
        <v>2</v>
      </c>
      <c r="E152" s="30">
        <v>14</v>
      </c>
      <c r="F152" s="30">
        <v>5</v>
      </c>
      <c r="G152" s="30">
        <v>2</v>
      </c>
      <c r="H152" s="159"/>
      <c r="L152" s="21">
        <v>1</v>
      </c>
    </row>
    <row r="153" spans="2:12" ht="18">
      <c r="B153" s="30">
        <v>11</v>
      </c>
      <c r="C153" s="30">
        <v>47</v>
      </c>
      <c r="D153" s="30">
        <v>4</v>
      </c>
      <c r="E153" s="30">
        <v>18</v>
      </c>
      <c r="F153" s="30">
        <v>2</v>
      </c>
      <c r="G153" s="30">
        <v>3</v>
      </c>
      <c r="H153" s="159"/>
      <c r="L153" s="21">
        <v>1</v>
      </c>
    </row>
    <row r="154" spans="2:12" ht="18">
      <c r="B154" s="30">
        <v>11</v>
      </c>
      <c r="C154" s="30">
        <v>47</v>
      </c>
      <c r="D154" s="30">
        <v>3</v>
      </c>
      <c r="E154" s="30">
        <v>11</v>
      </c>
      <c r="F154" s="30">
        <v>1</v>
      </c>
      <c r="G154" s="30">
        <v>4</v>
      </c>
      <c r="H154" s="159"/>
      <c r="L154" s="21">
        <v>1</v>
      </c>
    </row>
    <row r="155" spans="2:12" ht="18">
      <c r="B155" s="30">
        <v>11</v>
      </c>
      <c r="C155" s="30">
        <v>28</v>
      </c>
      <c r="D155" s="30">
        <v>4</v>
      </c>
      <c r="E155" s="30">
        <v>10</v>
      </c>
      <c r="F155" s="30">
        <v>10</v>
      </c>
      <c r="G155" s="30">
        <v>7</v>
      </c>
      <c r="H155" s="159"/>
      <c r="L155" s="21">
        <v>1</v>
      </c>
    </row>
    <row r="156" spans="2:12" ht="18">
      <c r="B156" s="30">
        <v>11</v>
      </c>
      <c r="C156" s="30">
        <v>28</v>
      </c>
      <c r="D156" s="30">
        <v>3</v>
      </c>
      <c r="E156" s="30">
        <v>9</v>
      </c>
      <c r="F156" s="30">
        <v>6</v>
      </c>
      <c r="G156" s="30">
        <v>1</v>
      </c>
      <c r="H156" s="159"/>
      <c r="L156" s="21">
        <v>1</v>
      </c>
    </row>
    <row r="157" spans="2:12" ht="18">
      <c r="B157" s="30">
        <v>11</v>
      </c>
      <c r="C157" s="30">
        <v>28</v>
      </c>
      <c r="D157" s="30">
        <v>5</v>
      </c>
      <c r="E157" s="30">
        <v>10</v>
      </c>
      <c r="F157" s="30">
        <v>12</v>
      </c>
      <c r="G157" s="30">
        <v>4</v>
      </c>
      <c r="H157" s="159"/>
      <c r="L157" s="21">
        <v>1</v>
      </c>
    </row>
    <row r="158" spans="2:12" ht="18">
      <c r="B158" s="30">
        <v>11</v>
      </c>
      <c r="C158" s="30">
        <v>47</v>
      </c>
      <c r="D158" s="30">
        <v>2</v>
      </c>
      <c r="E158" s="30">
        <v>19</v>
      </c>
      <c r="F158" s="30">
        <v>5</v>
      </c>
      <c r="G158" s="30">
        <v>1</v>
      </c>
      <c r="H158" s="159"/>
      <c r="L158" s="21">
        <v>1</v>
      </c>
    </row>
    <row r="159" spans="2:12" ht="18">
      <c r="B159" s="30">
        <v>11</v>
      </c>
      <c r="C159" s="30">
        <v>54</v>
      </c>
      <c r="D159" s="30">
        <v>2</v>
      </c>
      <c r="E159" s="30">
        <v>17</v>
      </c>
      <c r="F159" s="30">
        <v>3</v>
      </c>
      <c r="G159" s="30">
        <v>0</v>
      </c>
      <c r="H159" s="159"/>
      <c r="L159" s="21">
        <v>1</v>
      </c>
    </row>
    <row r="160" spans="2:12" ht="18">
      <c r="B160" s="30">
        <v>11</v>
      </c>
      <c r="C160" s="30">
        <v>62</v>
      </c>
      <c r="D160" s="30">
        <v>4</v>
      </c>
      <c r="E160" s="30">
        <v>61</v>
      </c>
      <c r="F160" s="30">
        <v>31</v>
      </c>
      <c r="G160" s="30">
        <v>2</v>
      </c>
      <c r="H160" s="159"/>
      <c r="L160" s="21">
        <v>1</v>
      </c>
    </row>
    <row r="161" spans="2:12" ht="18">
      <c r="B161" s="30">
        <v>11</v>
      </c>
      <c r="C161" s="30">
        <v>62</v>
      </c>
      <c r="D161" s="30">
        <v>3</v>
      </c>
      <c r="E161" s="30">
        <v>52</v>
      </c>
      <c r="F161" s="30">
        <v>23</v>
      </c>
      <c r="G161" s="30">
        <v>0</v>
      </c>
      <c r="H161" s="159"/>
      <c r="L161" s="21">
        <v>1</v>
      </c>
    </row>
    <row r="162" spans="2:12" ht="18">
      <c r="B162" s="30">
        <v>11</v>
      </c>
      <c r="C162" s="30">
        <v>62</v>
      </c>
      <c r="D162" s="30">
        <v>2</v>
      </c>
      <c r="E162" s="30">
        <v>32</v>
      </c>
      <c r="F162" s="30">
        <v>18</v>
      </c>
      <c r="G162" s="30">
        <v>0</v>
      </c>
      <c r="H162" s="159"/>
      <c r="L162" s="21">
        <v>1</v>
      </c>
    </row>
    <row r="163" spans="2:12" ht="18">
      <c r="B163" s="30">
        <v>11</v>
      </c>
      <c r="C163" s="30">
        <v>48</v>
      </c>
      <c r="D163" s="30">
        <v>3</v>
      </c>
      <c r="E163" s="30">
        <v>28</v>
      </c>
      <c r="F163" s="30">
        <v>1</v>
      </c>
      <c r="G163" s="30">
        <v>16</v>
      </c>
      <c r="H163" s="159"/>
      <c r="L163" s="21">
        <v>1</v>
      </c>
    </row>
    <row r="164" spans="2:12" ht="18">
      <c r="B164" s="30">
        <v>11</v>
      </c>
      <c r="C164" s="30">
        <v>48</v>
      </c>
      <c r="D164" s="30">
        <v>2</v>
      </c>
      <c r="E164" s="30">
        <v>16</v>
      </c>
      <c r="F164" s="30">
        <v>1</v>
      </c>
      <c r="G164" s="30">
        <v>9</v>
      </c>
      <c r="H164" s="159"/>
      <c r="L164" s="21">
        <v>1</v>
      </c>
    </row>
    <row r="165" spans="2:12" ht="18">
      <c r="B165" s="30">
        <v>11</v>
      </c>
      <c r="C165" s="30">
        <v>41</v>
      </c>
      <c r="D165" s="30">
        <v>4</v>
      </c>
      <c r="E165" s="30">
        <v>21</v>
      </c>
      <c r="F165" s="30">
        <v>8</v>
      </c>
      <c r="G165" s="30">
        <v>6</v>
      </c>
      <c r="H165" s="159"/>
      <c r="L165" s="21">
        <v>1</v>
      </c>
    </row>
    <row r="166" spans="2:12" ht="18">
      <c r="B166" s="30">
        <v>11</v>
      </c>
      <c r="C166" s="30">
        <v>44</v>
      </c>
      <c r="D166" s="30">
        <v>5</v>
      </c>
      <c r="E166" s="30">
        <v>1</v>
      </c>
      <c r="F166" s="30">
        <v>20</v>
      </c>
      <c r="G166" s="30">
        <v>3</v>
      </c>
      <c r="H166" s="159"/>
      <c r="L166" s="21">
        <v>1</v>
      </c>
    </row>
    <row r="167" spans="2:12" ht="18">
      <c r="B167" s="30">
        <v>11</v>
      </c>
      <c r="C167" s="30">
        <v>44</v>
      </c>
      <c r="D167" s="30">
        <v>6</v>
      </c>
      <c r="E167" s="30">
        <v>3</v>
      </c>
      <c r="F167" s="30">
        <v>15</v>
      </c>
      <c r="G167" s="30">
        <v>7</v>
      </c>
      <c r="H167" s="159"/>
      <c r="L167" s="21">
        <v>1</v>
      </c>
    </row>
    <row r="168" spans="2:12" ht="18">
      <c r="B168" s="30">
        <v>11</v>
      </c>
      <c r="C168" s="30">
        <v>60</v>
      </c>
      <c r="D168" s="30">
        <v>4</v>
      </c>
      <c r="E168" s="30">
        <v>20</v>
      </c>
      <c r="F168" s="30">
        <v>2</v>
      </c>
      <c r="G168" s="30">
        <v>0</v>
      </c>
      <c r="H168" s="159"/>
      <c r="L168" s="21">
        <v>1</v>
      </c>
    </row>
    <row r="169" spans="2:12" ht="18">
      <c r="B169" s="30">
        <v>11</v>
      </c>
      <c r="C169" s="30">
        <v>60</v>
      </c>
      <c r="D169" s="30">
        <v>5</v>
      </c>
      <c r="E169" s="30">
        <v>19</v>
      </c>
      <c r="F169" s="30">
        <v>10</v>
      </c>
      <c r="G169" s="30">
        <v>5</v>
      </c>
      <c r="H169" s="159"/>
      <c r="L169" s="21">
        <v>1</v>
      </c>
    </row>
    <row r="170" spans="2:12" ht="18">
      <c r="B170" s="30">
        <v>11</v>
      </c>
      <c r="C170" s="30">
        <v>30</v>
      </c>
      <c r="D170" s="30">
        <v>4</v>
      </c>
      <c r="E170" s="30">
        <v>8</v>
      </c>
      <c r="F170" s="30">
        <v>4</v>
      </c>
      <c r="G170" s="30">
        <v>2</v>
      </c>
      <c r="H170" s="159"/>
      <c r="L170" s="21">
        <v>1</v>
      </c>
    </row>
    <row r="171" spans="2:12" ht="18">
      <c r="B171" s="30">
        <v>11</v>
      </c>
      <c r="C171" s="30">
        <v>60</v>
      </c>
      <c r="D171" s="30">
        <v>6</v>
      </c>
      <c r="E171" s="30">
        <v>17</v>
      </c>
      <c r="F171" s="30">
        <v>11</v>
      </c>
      <c r="G171" s="30">
        <v>3</v>
      </c>
      <c r="H171" s="159"/>
      <c r="L171" s="21">
        <v>1</v>
      </c>
    </row>
    <row r="172" spans="2:12" ht="18">
      <c r="B172" s="30">
        <v>11</v>
      </c>
      <c r="C172" s="30">
        <v>60</v>
      </c>
      <c r="D172" s="30">
        <v>7</v>
      </c>
      <c r="E172" s="30">
        <v>21</v>
      </c>
      <c r="F172" s="30">
        <v>4</v>
      </c>
      <c r="G172" s="30">
        <v>4</v>
      </c>
      <c r="H172" s="159"/>
      <c r="L172" s="21">
        <v>1</v>
      </c>
    </row>
    <row r="173" spans="2:12" ht="18">
      <c r="B173" s="30">
        <v>11</v>
      </c>
      <c r="C173" s="30">
        <v>27</v>
      </c>
      <c r="D173" s="30">
        <v>4</v>
      </c>
      <c r="E173" s="30">
        <v>7</v>
      </c>
      <c r="F173" s="30">
        <v>0</v>
      </c>
      <c r="G173" s="30">
        <v>0</v>
      </c>
      <c r="H173" s="159"/>
      <c r="L173" s="21">
        <v>1</v>
      </c>
    </row>
    <row r="174" spans="2:12" ht="18">
      <c r="B174" s="30">
        <v>11</v>
      </c>
      <c r="C174" s="30">
        <v>25</v>
      </c>
      <c r="D174" s="30">
        <v>6</v>
      </c>
      <c r="E174" s="30">
        <v>6</v>
      </c>
      <c r="F174" s="30">
        <v>4</v>
      </c>
      <c r="G174" s="30">
        <v>2</v>
      </c>
      <c r="H174" s="159"/>
      <c r="L174" s="21">
        <v>1</v>
      </c>
    </row>
    <row r="175" spans="2:12" ht="18">
      <c r="B175" s="30">
        <v>11</v>
      </c>
      <c r="C175" s="30">
        <v>25</v>
      </c>
      <c r="D175" s="30">
        <v>5</v>
      </c>
      <c r="E175" s="30">
        <v>7</v>
      </c>
      <c r="F175" s="30">
        <v>4</v>
      </c>
      <c r="G175" s="30">
        <v>4</v>
      </c>
      <c r="H175" s="159"/>
      <c r="L175" s="21">
        <v>1</v>
      </c>
    </row>
    <row r="176" spans="2:12" ht="18">
      <c r="B176" s="30">
        <v>11</v>
      </c>
      <c r="C176" s="30">
        <v>25</v>
      </c>
      <c r="D176" s="30">
        <v>4</v>
      </c>
      <c r="E176" s="30">
        <v>5</v>
      </c>
      <c r="F176" s="30">
        <v>3</v>
      </c>
      <c r="G176" s="30">
        <v>5</v>
      </c>
      <c r="H176" s="159"/>
      <c r="L176" s="21">
        <v>1</v>
      </c>
    </row>
    <row r="177" spans="2:12" ht="18">
      <c r="B177" s="30">
        <v>11</v>
      </c>
      <c r="C177" s="30">
        <v>25</v>
      </c>
      <c r="D177" s="30">
        <v>3</v>
      </c>
      <c r="E177" s="30">
        <v>10</v>
      </c>
      <c r="F177" s="30">
        <v>9</v>
      </c>
      <c r="G177" s="30">
        <v>3</v>
      </c>
      <c r="H177" s="159"/>
      <c r="L177" s="21">
        <v>1</v>
      </c>
    </row>
    <row r="178" spans="2:12" ht="18">
      <c r="B178" s="30">
        <v>11</v>
      </c>
      <c r="C178" s="30">
        <v>37</v>
      </c>
      <c r="D178" s="30">
        <v>4</v>
      </c>
      <c r="E178" s="30">
        <v>11</v>
      </c>
      <c r="F178" s="30">
        <v>2</v>
      </c>
      <c r="G178" s="30">
        <v>2</v>
      </c>
      <c r="H178" s="159"/>
      <c r="L178" s="21">
        <v>1</v>
      </c>
    </row>
    <row r="179" spans="2:12" ht="18">
      <c r="B179" s="30">
        <v>11</v>
      </c>
      <c r="C179" s="30">
        <v>30</v>
      </c>
      <c r="D179" s="30">
        <v>6</v>
      </c>
      <c r="E179" s="30">
        <v>11</v>
      </c>
      <c r="F179" s="30">
        <v>6</v>
      </c>
      <c r="G179" s="30">
        <v>1</v>
      </c>
      <c r="H179" s="159"/>
      <c r="L179" s="21">
        <v>1</v>
      </c>
    </row>
    <row r="180" spans="2:12" ht="18">
      <c r="B180" s="30">
        <v>11</v>
      </c>
      <c r="C180" s="30">
        <v>30</v>
      </c>
      <c r="D180" s="30">
        <v>5</v>
      </c>
      <c r="E180" s="30">
        <v>6</v>
      </c>
      <c r="F180" s="30">
        <v>3</v>
      </c>
      <c r="G180" s="30">
        <v>4</v>
      </c>
      <c r="H180" s="159"/>
      <c r="L180" s="21">
        <v>1</v>
      </c>
    </row>
    <row r="181" spans="2:12" ht="18">
      <c r="B181" s="30">
        <v>11</v>
      </c>
      <c r="C181" s="30">
        <v>27</v>
      </c>
      <c r="D181" s="30">
        <v>5</v>
      </c>
      <c r="E181" s="30">
        <v>8</v>
      </c>
      <c r="F181" s="30">
        <v>0</v>
      </c>
      <c r="G181" s="30">
        <v>0</v>
      </c>
      <c r="H181" s="159"/>
      <c r="L181" s="21">
        <v>1</v>
      </c>
    </row>
    <row r="182" spans="2:12" ht="18">
      <c r="B182" s="30">
        <v>11</v>
      </c>
      <c r="C182" s="30">
        <v>38</v>
      </c>
      <c r="D182" s="30">
        <v>4</v>
      </c>
      <c r="E182" s="30">
        <v>12</v>
      </c>
      <c r="F182" s="30">
        <v>3</v>
      </c>
      <c r="G182" s="30">
        <v>0</v>
      </c>
      <c r="H182" s="159"/>
      <c r="L182" s="21">
        <v>1</v>
      </c>
    </row>
    <row r="183" spans="2:12" ht="18">
      <c r="B183" s="30">
        <v>11</v>
      </c>
      <c r="C183" s="30">
        <v>38</v>
      </c>
      <c r="D183" s="30">
        <v>5</v>
      </c>
      <c r="E183" s="30">
        <v>8</v>
      </c>
      <c r="F183" s="30">
        <v>2</v>
      </c>
      <c r="G183" s="30">
        <v>1</v>
      </c>
      <c r="H183" s="159"/>
      <c r="L183" s="21">
        <v>1</v>
      </c>
    </row>
    <row r="184" spans="2:12" ht="18">
      <c r="B184" s="30">
        <v>11</v>
      </c>
      <c r="C184" s="30">
        <v>38</v>
      </c>
      <c r="D184" s="30">
        <v>6</v>
      </c>
      <c r="E184" s="30">
        <v>6</v>
      </c>
      <c r="F184" s="30">
        <v>3</v>
      </c>
      <c r="G184" s="30">
        <v>0</v>
      </c>
      <c r="H184" s="159"/>
      <c r="L184" s="21">
        <v>1</v>
      </c>
    </row>
    <row r="185" spans="2:12" ht="18">
      <c r="B185" s="30">
        <v>11</v>
      </c>
      <c r="C185" s="30">
        <v>38</v>
      </c>
      <c r="D185" s="30">
        <v>7</v>
      </c>
      <c r="E185" s="30">
        <v>5</v>
      </c>
      <c r="F185" s="30">
        <v>1</v>
      </c>
      <c r="G185" s="30">
        <v>1</v>
      </c>
      <c r="H185" s="159"/>
      <c r="L185" s="21">
        <v>1</v>
      </c>
    </row>
    <row r="186" spans="2:12" ht="18">
      <c r="B186" s="30">
        <v>11</v>
      </c>
      <c r="C186" s="30">
        <v>59</v>
      </c>
      <c r="D186" s="30">
        <v>4</v>
      </c>
      <c r="E186" s="30">
        <v>6</v>
      </c>
      <c r="F186" s="30">
        <v>14</v>
      </c>
      <c r="G186" s="30">
        <v>0</v>
      </c>
      <c r="H186" s="159"/>
      <c r="L186" s="21">
        <v>1</v>
      </c>
    </row>
    <row r="187" spans="2:12" ht="18">
      <c r="B187" s="30">
        <v>11</v>
      </c>
      <c r="C187" s="30">
        <v>59</v>
      </c>
      <c r="D187" s="30">
        <v>5</v>
      </c>
      <c r="E187" s="30">
        <v>2</v>
      </c>
      <c r="F187" s="30">
        <v>11</v>
      </c>
      <c r="G187" s="30">
        <v>2</v>
      </c>
      <c r="H187" s="159"/>
      <c r="L187" s="21">
        <v>1</v>
      </c>
    </row>
    <row r="188" spans="2:12" ht="18">
      <c r="B188" s="30">
        <v>11</v>
      </c>
      <c r="C188" s="30">
        <v>40</v>
      </c>
      <c r="D188" s="30">
        <v>4</v>
      </c>
      <c r="E188" s="30">
        <v>3</v>
      </c>
      <c r="F188" s="30">
        <v>2</v>
      </c>
      <c r="G188" s="30">
        <v>3</v>
      </c>
      <c r="H188" s="159"/>
      <c r="L188" s="21">
        <v>1</v>
      </c>
    </row>
    <row r="189" spans="2:12" ht="18">
      <c r="B189" s="30">
        <v>11</v>
      </c>
      <c r="C189" s="30">
        <v>40</v>
      </c>
      <c r="D189" s="30">
        <v>5</v>
      </c>
      <c r="E189" s="30">
        <v>6</v>
      </c>
      <c r="F189" s="30">
        <v>5</v>
      </c>
      <c r="G189" s="30">
        <v>3</v>
      </c>
      <c r="H189" s="159"/>
      <c r="L189" s="21">
        <v>1</v>
      </c>
    </row>
    <row r="190" spans="2:12" ht="18">
      <c r="B190" s="30">
        <v>11</v>
      </c>
      <c r="C190" s="30">
        <v>40</v>
      </c>
      <c r="D190" s="30">
        <v>6</v>
      </c>
      <c r="E190" s="30">
        <v>2</v>
      </c>
      <c r="F190" s="30">
        <v>0</v>
      </c>
      <c r="G190" s="30">
        <v>0</v>
      </c>
      <c r="H190" s="159"/>
      <c r="L190" s="21">
        <v>1</v>
      </c>
    </row>
    <row r="191" spans="2:12" ht="18">
      <c r="B191" s="30">
        <v>11</v>
      </c>
      <c r="C191" s="30">
        <v>49</v>
      </c>
      <c r="D191" s="30">
        <v>5</v>
      </c>
      <c r="E191" s="30">
        <v>3</v>
      </c>
      <c r="F191" s="30">
        <v>0</v>
      </c>
      <c r="G191" s="30">
        <v>0</v>
      </c>
      <c r="H191" s="159"/>
      <c r="L191" s="21">
        <v>1</v>
      </c>
    </row>
    <row r="192" spans="2:12" ht="18">
      <c r="B192" s="30">
        <v>11</v>
      </c>
      <c r="C192" s="30">
        <v>49</v>
      </c>
      <c r="D192" s="30">
        <v>6</v>
      </c>
      <c r="E192" s="30">
        <v>12</v>
      </c>
      <c r="F192" s="30">
        <v>0</v>
      </c>
      <c r="G192" s="30">
        <v>0</v>
      </c>
      <c r="H192" s="159"/>
      <c r="L192" s="21">
        <v>1</v>
      </c>
    </row>
    <row r="193" spans="2:12" ht="18">
      <c r="B193" s="30">
        <v>11</v>
      </c>
      <c r="C193" s="30">
        <v>57</v>
      </c>
      <c r="D193" s="30">
        <v>6</v>
      </c>
      <c r="E193" s="30">
        <v>6</v>
      </c>
      <c r="F193" s="30">
        <v>3</v>
      </c>
      <c r="G193" s="30">
        <v>2</v>
      </c>
      <c r="H193" s="159"/>
      <c r="L193" s="21">
        <v>1</v>
      </c>
    </row>
    <row r="194" spans="2:12" ht="18">
      <c r="B194" s="30">
        <v>11</v>
      </c>
      <c r="C194" s="30">
        <v>57</v>
      </c>
      <c r="D194" s="30">
        <v>7</v>
      </c>
      <c r="E194" s="30">
        <v>9</v>
      </c>
      <c r="F194" s="30">
        <v>0</v>
      </c>
      <c r="G194" s="30">
        <v>4</v>
      </c>
      <c r="H194" s="159"/>
      <c r="L194" s="21">
        <v>1</v>
      </c>
    </row>
    <row r="195" spans="2:12" ht="18">
      <c r="B195" s="30">
        <v>11</v>
      </c>
      <c r="C195" s="30">
        <v>35</v>
      </c>
      <c r="D195" s="30">
        <v>5</v>
      </c>
      <c r="E195" s="30">
        <v>23</v>
      </c>
      <c r="F195" s="30">
        <v>0</v>
      </c>
      <c r="G195" s="30">
        <v>1</v>
      </c>
      <c r="H195" s="159"/>
      <c r="L195" s="21">
        <v>1</v>
      </c>
    </row>
    <row r="196" spans="2:12" ht="18">
      <c r="B196" s="30">
        <v>11</v>
      </c>
      <c r="C196" s="30">
        <v>35</v>
      </c>
      <c r="D196" s="30">
        <v>6</v>
      </c>
      <c r="E196" s="30">
        <v>20</v>
      </c>
      <c r="F196" s="30">
        <v>0</v>
      </c>
      <c r="G196" s="30">
        <v>0</v>
      </c>
      <c r="H196" s="159"/>
      <c r="L196" s="21">
        <v>1</v>
      </c>
    </row>
    <row r="197" spans="2:12" ht="18">
      <c r="B197" s="30">
        <v>11</v>
      </c>
      <c r="C197" s="30">
        <v>35</v>
      </c>
      <c r="D197" s="30">
        <v>7</v>
      </c>
      <c r="E197" s="30">
        <v>16</v>
      </c>
      <c r="F197" s="30">
        <v>0</v>
      </c>
      <c r="G197" s="30">
        <v>2</v>
      </c>
      <c r="H197" s="159"/>
      <c r="L197" s="21">
        <v>1</v>
      </c>
    </row>
    <row r="198" spans="2:12" ht="18">
      <c r="B198" s="30">
        <v>11</v>
      </c>
      <c r="C198" s="30">
        <v>29</v>
      </c>
      <c r="D198" s="30">
        <v>7</v>
      </c>
      <c r="E198" s="30">
        <v>26</v>
      </c>
      <c r="F198" s="30">
        <v>2</v>
      </c>
      <c r="G198" s="30">
        <v>3</v>
      </c>
      <c r="H198" s="159"/>
      <c r="L198" s="21">
        <v>1</v>
      </c>
    </row>
    <row r="199" spans="2:12" ht="18">
      <c r="B199" s="30">
        <v>11</v>
      </c>
      <c r="C199" s="30">
        <v>43</v>
      </c>
      <c r="D199" s="30">
        <v>6</v>
      </c>
      <c r="E199" s="30">
        <v>15</v>
      </c>
      <c r="F199" s="30">
        <v>3</v>
      </c>
      <c r="G199" s="30">
        <v>1</v>
      </c>
      <c r="H199" s="159"/>
      <c r="L199" s="21">
        <v>1</v>
      </c>
    </row>
    <row r="200" spans="2:12" ht="18">
      <c r="B200" s="30">
        <v>11</v>
      </c>
      <c r="C200" s="30">
        <v>26</v>
      </c>
      <c r="D200" s="30">
        <v>7</v>
      </c>
      <c r="E200" s="30">
        <v>13</v>
      </c>
      <c r="F200" s="30">
        <v>15</v>
      </c>
      <c r="G200" s="30">
        <v>5</v>
      </c>
      <c r="H200" s="159"/>
      <c r="L200" s="21">
        <v>1</v>
      </c>
    </row>
    <row r="201" spans="2:12" ht="18">
      <c r="B201" s="30">
        <v>11</v>
      </c>
      <c r="C201" s="30">
        <v>62</v>
      </c>
      <c r="D201" s="30">
        <v>7</v>
      </c>
      <c r="E201" s="30">
        <v>16</v>
      </c>
      <c r="F201" s="30">
        <v>9</v>
      </c>
      <c r="G201" s="30">
        <v>0</v>
      </c>
      <c r="H201" s="159"/>
      <c r="L201" s="21">
        <v>1</v>
      </c>
    </row>
    <row r="202" spans="2:12" ht="18">
      <c r="B202" s="30">
        <v>11</v>
      </c>
      <c r="C202" s="30">
        <v>62</v>
      </c>
      <c r="D202" s="30">
        <v>6</v>
      </c>
      <c r="E202" s="30">
        <v>14</v>
      </c>
      <c r="F202" s="30">
        <v>9</v>
      </c>
      <c r="G202" s="30">
        <v>2</v>
      </c>
      <c r="H202" s="159"/>
      <c r="L202" s="21">
        <v>1</v>
      </c>
    </row>
    <row r="203" spans="2:12" ht="18">
      <c r="B203" s="30">
        <v>11</v>
      </c>
      <c r="C203" s="30">
        <v>62</v>
      </c>
      <c r="D203" s="30">
        <v>5</v>
      </c>
      <c r="E203" s="30">
        <v>13</v>
      </c>
      <c r="F203" s="30">
        <v>11</v>
      </c>
      <c r="G203" s="30">
        <v>1</v>
      </c>
      <c r="H203" s="159"/>
      <c r="L203" s="21">
        <v>1</v>
      </c>
    </row>
    <row r="204" spans="2:12" ht="18">
      <c r="B204" s="30">
        <v>11</v>
      </c>
      <c r="C204" s="30">
        <v>53</v>
      </c>
      <c r="D204" s="30">
        <v>6</v>
      </c>
      <c r="E204" s="30">
        <v>17</v>
      </c>
      <c r="F204" s="30">
        <v>8</v>
      </c>
      <c r="G204" s="30">
        <v>5</v>
      </c>
      <c r="H204" s="159"/>
      <c r="L204" s="21">
        <v>1</v>
      </c>
    </row>
    <row r="205" spans="2:12" ht="18">
      <c r="B205" s="30">
        <v>11</v>
      </c>
      <c r="C205" s="30">
        <v>53</v>
      </c>
      <c r="D205" s="30">
        <v>5</v>
      </c>
      <c r="E205" s="30">
        <v>20</v>
      </c>
      <c r="F205" s="30">
        <v>5</v>
      </c>
      <c r="G205" s="30">
        <v>3</v>
      </c>
      <c r="H205" s="159"/>
      <c r="L205" s="21">
        <v>1</v>
      </c>
    </row>
    <row r="206" spans="2:12" ht="18">
      <c r="B206" s="30">
        <v>11</v>
      </c>
      <c r="C206" s="30">
        <v>61</v>
      </c>
      <c r="D206" s="30">
        <v>3</v>
      </c>
      <c r="E206" s="30">
        <v>14</v>
      </c>
      <c r="F206" s="30">
        <v>2</v>
      </c>
      <c r="G206" s="30">
        <v>1</v>
      </c>
      <c r="H206" s="159"/>
      <c r="L206" s="21">
        <v>1</v>
      </c>
    </row>
    <row r="207" spans="2:12" ht="18">
      <c r="B207" s="30">
        <v>11</v>
      </c>
      <c r="C207" s="30">
        <v>54</v>
      </c>
      <c r="D207" s="30">
        <v>3</v>
      </c>
      <c r="E207" s="30">
        <v>17</v>
      </c>
      <c r="F207" s="30">
        <v>3</v>
      </c>
      <c r="G207" s="30">
        <v>0</v>
      </c>
      <c r="H207" s="159"/>
      <c r="L207" s="21">
        <v>1</v>
      </c>
    </row>
    <row r="208" spans="2:12" ht="18">
      <c r="B208" s="30">
        <v>11</v>
      </c>
      <c r="C208" s="30">
        <v>48</v>
      </c>
      <c r="D208" s="30">
        <v>6</v>
      </c>
      <c r="E208" s="30">
        <v>14</v>
      </c>
      <c r="F208" s="30">
        <v>2</v>
      </c>
      <c r="G208" s="30">
        <v>0</v>
      </c>
      <c r="H208" s="159"/>
      <c r="L208" s="21">
        <v>1</v>
      </c>
    </row>
    <row r="209" spans="2:12" ht="18">
      <c r="B209" s="30">
        <v>11</v>
      </c>
      <c r="C209" s="30">
        <v>48</v>
      </c>
      <c r="D209" s="30">
        <v>5</v>
      </c>
      <c r="E209" s="30">
        <v>8</v>
      </c>
      <c r="F209" s="30">
        <v>3</v>
      </c>
      <c r="G209" s="30">
        <v>12</v>
      </c>
      <c r="H209" s="159"/>
      <c r="L209" s="21">
        <v>1</v>
      </c>
    </row>
    <row r="210" spans="2:12" ht="18">
      <c r="B210" s="30">
        <v>11</v>
      </c>
      <c r="C210" s="30">
        <v>48</v>
      </c>
      <c r="D210" s="30">
        <v>4</v>
      </c>
      <c r="E210" s="30">
        <v>17</v>
      </c>
      <c r="F210" s="30">
        <v>2</v>
      </c>
      <c r="G210" s="30">
        <v>19</v>
      </c>
      <c r="H210" s="159"/>
      <c r="L210" s="21">
        <v>1</v>
      </c>
    </row>
    <row r="211" spans="2:12" ht="18">
      <c r="B211" s="30">
        <v>11</v>
      </c>
      <c r="C211" s="30">
        <v>63</v>
      </c>
      <c r="D211" s="30">
        <v>7</v>
      </c>
      <c r="E211" s="30">
        <v>6</v>
      </c>
      <c r="F211" s="30">
        <v>1</v>
      </c>
      <c r="G211" s="30">
        <v>1</v>
      </c>
      <c r="H211" s="159"/>
      <c r="L211" s="21">
        <v>1</v>
      </c>
    </row>
    <row r="212" spans="2:12" ht="18">
      <c r="B212" s="30">
        <v>11</v>
      </c>
      <c r="C212" s="30">
        <v>63</v>
      </c>
      <c r="D212" s="30">
        <v>6</v>
      </c>
      <c r="E212" s="30">
        <v>8</v>
      </c>
      <c r="F212" s="30">
        <v>2</v>
      </c>
      <c r="G212" s="30">
        <v>0</v>
      </c>
      <c r="H212" s="159"/>
      <c r="L212" s="21">
        <v>1</v>
      </c>
    </row>
    <row r="213" spans="2:12" ht="18">
      <c r="B213" s="30">
        <v>11</v>
      </c>
      <c r="C213" s="30">
        <v>63</v>
      </c>
      <c r="D213" s="30">
        <v>5</v>
      </c>
      <c r="E213" s="30">
        <v>13</v>
      </c>
      <c r="F213" s="30">
        <v>2</v>
      </c>
      <c r="G213" s="30">
        <v>3</v>
      </c>
      <c r="H213" s="159"/>
      <c r="L213" s="21">
        <v>1</v>
      </c>
    </row>
    <row r="214" spans="2:12" ht="18">
      <c r="B214" s="30">
        <v>11</v>
      </c>
      <c r="C214" s="30">
        <v>42</v>
      </c>
      <c r="D214" s="30">
        <v>3</v>
      </c>
      <c r="E214" s="30">
        <v>12</v>
      </c>
      <c r="F214" s="30">
        <v>8</v>
      </c>
      <c r="G214" s="30">
        <v>4</v>
      </c>
      <c r="H214" s="159"/>
      <c r="L214" s="21">
        <v>1</v>
      </c>
    </row>
    <row r="215" spans="2:12" ht="18">
      <c r="B215" s="30">
        <v>11</v>
      </c>
      <c r="C215" s="30">
        <v>42</v>
      </c>
      <c r="D215" s="30">
        <v>4</v>
      </c>
      <c r="E215" s="30">
        <v>17</v>
      </c>
      <c r="F215" s="30">
        <v>3</v>
      </c>
      <c r="G215" s="30">
        <v>6</v>
      </c>
      <c r="H215" s="159"/>
      <c r="L215" s="21">
        <v>1</v>
      </c>
    </row>
    <row r="216" spans="2:12" ht="18">
      <c r="B216" s="30">
        <v>11</v>
      </c>
      <c r="C216" s="30">
        <v>64</v>
      </c>
      <c r="D216" s="30">
        <v>4</v>
      </c>
      <c r="E216" s="30">
        <v>14</v>
      </c>
      <c r="F216" s="30">
        <v>4</v>
      </c>
      <c r="G216" s="30">
        <v>1</v>
      </c>
      <c r="H216" s="159"/>
      <c r="L216" s="21">
        <v>1</v>
      </c>
    </row>
    <row r="217" spans="2:12" ht="18">
      <c r="B217" s="30">
        <v>11</v>
      </c>
      <c r="C217" s="30">
        <v>50</v>
      </c>
      <c r="D217" s="30">
        <v>4</v>
      </c>
      <c r="E217" s="30">
        <v>20</v>
      </c>
      <c r="F217" s="30">
        <v>4</v>
      </c>
      <c r="G217" s="30">
        <v>2</v>
      </c>
      <c r="H217" s="159"/>
      <c r="L217" s="21">
        <v>1</v>
      </c>
    </row>
    <row r="218" spans="2:12" ht="18">
      <c r="B218" s="30">
        <v>11</v>
      </c>
      <c r="C218" s="30">
        <v>50</v>
      </c>
      <c r="D218" s="30">
        <v>5</v>
      </c>
      <c r="E218" s="30">
        <v>19</v>
      </c>
      <c r="F218" s="30">
        <v>1</v>
      </c>
      <c r="G218" s="30">
        <v>2</v>
      </c>
      <c r="H218" s="159"/>
      <c r="L218" s="21">
        <v>1</v>
      </c>
    </row>
    <row r="219" spans="2:12" ht="18">
      <c r="B219" s="30">
        <v>11</v>
      </c>
      <c r="C219" s="30">
        <v>50</v>
      </c>
      <c r="D219" s="30">
        <v>6</v>
      </c>
      <c r="E219" s="30">
        <v>22</v>
      </c>
      <c r="F219" s="30">
        <v>0</v>
      </c>
      <c r="G219" s="30">
        <v>2</v>
      </c>
      <c r="H219" s="159"/>
      <c r="L219" s="21">
        <v>1</v>
      </c>
    </row>
    <row r="220" spans="2:12" ht="18">
      <c r="B220" s="30">
        <v>11</v>
      </c>
      <c r="C220" s="30">
        <v>34</v>
      </c>
      <c r="D220" s="30">
        <v>5</v>
      </c>
      <c r="E220" s="30">
        <v>18</v>
      </c>
      <c r="F220" s="30">
        <v>4</v>
      </c>
      <c r="G220" s="30">
        <v>7</v>
      </c>
      <c r="H220" s="159"/>
      <c r="L220" s="21">
        <v>1</v>
      </c>
    </row>
    <row r="221" spans="2:12" ht="18">
      <c r="B221" s="30">
        <v>11</v>
      </c>
      <c r="C221" s="30">
        <v>34</v>
      </c>
      <c r="D221" s="30">
        <v>6</v>
      </c>
      <c r="E221" s="30">
        <v>11</v>
      </c>
      <c r="F221" s="30">
        <v>2</v>
      </c>
      <c r="G221" s="30">
        <v>4</v>
      </c>
      <c r="H221" s="159"/>
      <c r="L221" s="21">
        <v>1</v>
      </c>
    </row>
    <row r="222" spans="2:12" ht="18">
      <c r="B222" s="30">
        <v>11</v>
      </c>
      <c r="C222" s="30">
        <v>34</v>
      </c>
      <c r="D222" s="30">
        <v>4</v>
      </c>
      <c r="E222" s="30">
        <v>10</v>
      </c>
      <c r="F222" s="30">
        <v>0</v>
      </c>
      <c r="G222" s="30">
        <v>4</v>
      </c>
      <c r="H222" s="159"/>
      <c r="L222" s="21">
        <v>1</v>
      </c>
    </row>
    <row r="223" spans="2:12" ht="18">
      <c r="B223" s="30">
        <v>11</v>
      </c>
      <c r="C223" s="30">
        <v>64</v>
      </c>
      <c r="D223" s="30">
        <v>5</v>
      </c>
      <c r="E223" s="30">
        <v>11</v>
      </c>
      <c r="F223" s="30">
        <v>0</v>
      </c>
      <c r="G223" s="30">
        <v>1</v>
      </c>
      <c r="H223" s="159"/>
      <c r="L223" s="21">
        <v>1</v>
      </c>
    </row>
    <row r="224" spans="2:12" ht="18">
      <c r="B224" s="30">
        <v>11</v>
      </c>
      <c r="C224" s="30">
        <v>64</v>
      </c>
      <c r="D224" s="30">
        <v>6</v>
      </c>
      <c r="E224" s="30">
        <v>9</v>
      </c>
      <c r="F224" s="30">
        <v>0</v>
      </c>
      <c r="G224" s="30">
        <v>0</v>
      </c>
      <c r="H224" s="159"/>
      <c r="L224" s="21">
        <v>1</v>
      </c>
    </row>
    <row r="225" spans="2:12" ht="18">
      <c r="B225" s="30">
        <v>11</v>
      </c>
      <c r="C225" s="30">
        <v>64</v>
      </c>
      <c r="D225" s="30">
        <v>7</v>
      </c>
      <c r="E225" s="30">
        <v>11</v>
      </c>
      <c r="F225" s="30">
        <v>2</v>
      </c>
      <c r="G225" s="30">
        <v>0</v>
      </c>
      <c r="H225" s="159"/>
      <c r="L225" s="21">
        <v>1</v>
      </c>
    </row>
    <row r="226" spans="2:12" ht="18">
      <c r="B226" s="30">
        <v>11</v>
      </c>
      <c r="C226" s="30">
        <v>46</v>
      </c>
      <c r="D226" s="30">
        <v>3</v>
      </c>
      <c r="E226" s="30">
        <v>10</v>
      </c>
      <c r="F226" s="30">
        <v>3</v>
      </c>
      <c r="G226" s="30">
        <v>6</v>
      </c>
      <c r="H226" s="159"/>
      <c r="L226" s="21">
        <v>1</v>
      </c>
    </row>
    <row r="227" spans="2:12" ht="18">
      <c r="B227" s="30">
        <v>11</v>
      </c>
      <c r="C227" s="30">
        <v>46</v>
      </c>
      <c r="D227" s="30">
        <v>4</v>
      </c>
      <c r="E227" s="30">
        <v>11</v>
      </c>
      <c r="F227" s="30">
        <v>0</v>
      </c>
      <c r="G227" s="30">
        <v>6</v>
      </c>
      <c r="H227" s="159"/>
      <c r="L227" s="21">
        <v>1</v>
      </c>
    </row>
    <row r="228" spans="2:12" ht="18">
      <c r="B228" s="30">
        <v>11</v>
      </c>
      <c r="C228" s="30">
        <v>44</v>
      </c>
      <c r="D228" s="30">
        <v>7</v>
      </c>
      <c r="E228" s="30">
        <v>3</v>
      </c>
      <c r="F228" s="30">
        <v>17</v>
      </c>
      <c r="G228" s="30">
        <v>4</v>
      </c>
      <c r="H228" s="159"/>
      <c r="L228" s="21">
        <v>1</v>
      </c>
    </row>
    <row r="229" spans="2:12" ht="18">
      <c r="B229" s="30">
        <v>11</v>
      </c>
      <c r="C229" s="30">
        <v>44</v>
      </c>
      <c r="D229" s="30">
        <v>9</v>
      </c>
      <c r="E229" s="30">
        <v>3</v>
      </c>
      <c r="F229" s="30">
        <v>19</v>
      </c>
      <c r="G229" s="30">
        <v>1</v>
      </c>
      <c r="H229" s="159"/>
      <c r="L229" s="21">
        <v>1</v>
      </c>
    </row>
    <row r="230" spans="2:12" ht="18">
      <c r="B230" s="30">
        <v>11</v>
      </c>
      <c r="C230" s="30">
        <v>44</v>
      </c>
      <c r="D230" s="30">
        <v>8</v>
      </c>
      <c r="E230" s="30">
        <v>4</v>
      </c>
      <c r="F230" s="30">
        <v>16</v>
      </c>
      <c r="G230" s="30">
        <v>1</v>
      </c>
      <c r="H230" s="159"/>
      <c r="L230" s="21">
        <v>1</v>
      </c>
    </row>
    <row r="231" spans="2:12" ht="18">
      <c r="B231" s="30">
        <v>11</v>
      </c>
      <c r="C231" s="30">
        <v>45</v>
      </c>
      <c r="D231" s="30">
        <v>8</v>
      </c>
      <c r="E231" s="30">
        <v>7</v>
      </c>
      <c r="F231" s="30">
        <v>19</v>
      </c>
      <c r="G231" s="30">
        <v>1</v>
      </c>
      <c r="H231" s="159"/>
      <c r="L231" s="21">
        <v>1</v>
      </c>
    </row>
    <row r="232" spans="2:12" ht="18">
      <c r="B232" s="30">
        <v>11</v>
      </c>
      <c r="C232" s="30">
        <v>45</v>
      </c>
      <c r="D232" s="30">
        <v>9</v>
      </c>
      <c r="E232" s="30">
        <v>9</v>
      </c>
      <c r="F232" s="30">
        <v>3</v>
      </c>
      <c r="G232" s="30">
        <v>6</v>
      </c>
      <c r="H232" s="159"/>
      <c r="L232" s="21">
        <v>1</v>
      </c>
    </row>
    <row r="233" spans="2:12" ht="18">
      <c r="B233" s="30">
        <v>11</v>
      </c>
      <c r="C233" s="30">
        <v>45</v>
      </c>
      <c r="D233" s="30">
        <v>7</v>
      </c>
      <c r="E233" s="30">
        <v>3</v>
      </c>
      <c r="F233" s="30">
        <v>13</v>
      </c>
      <c r="G233" s="30">
        <v>1</v>
      </c>
      <c r="H233" s="159"/>
      <c r="L233" s="21">
        <v>1</v>
      </c>
    </row>
    <row r="234" spans="2:12" ht="18">
      <c r="B234" s="30">
        <v>11</v>
      </c>
      <c r="C234" s="30">
        <v>32</v>
      </c>
      <c r="D234" s="30">
        <v>7</v>
      </c>
      <c r="E234" s="30">
        <v>18</v>
      </c>
      <c r="F234" s="30">
        <v>1</v>
      </c>
      <c r="G234" s="30">
        <v>0</v>
      </c>
      <c r="H234" s="159"/>
      <c r="L234" s="21">
        <v>1</v>
      </c>
    </row>
    <row r="235" spans="2:12" ht="18">
      <c r="B235" s="30">
        <v>11</v>
      </c>
      <c r="C235" s="30">
        <v>32</v>
      </c>
      <c r="D235" s="30">
        <v>6</v>
      </c>
      <c r="E235" s="30">
        <v>15</v>
      </c>
      <c r="F235" s="30">
        <v>0</v>
      </c>
      <c r="G235" s="30">
        <v>0</v>
      </c>
      <c r="H235" s="159"/>
      <c r="L235" s="21">
        <v>1</v>
      </c>
    </row>
    <row r="236" spans="2:12" ht="18">
      <c r="B236" s="30">
        <v>11</v>
      </c>
      <c r="C236" s="30">
        <v>43</v>
      </c>
      <c r="D236" s="30">
        <v>8</v>
      </c>
      <c r="E236" s="30">
        <v>23</v>
      </c>
      <c r="F236" s="30">
        <v>8</v>
      </c>
      <c r="G236" s="30">
        <v>9</v>
      </c>
      <c r="H236" s="159"/>
      <c r="L236" s="21">
        <v>1</v>
      </c>
    </row>
    <row r="237" spans="2:12" ht="18">
      <c r="B237" s="30">
        <v>11</v>
      </c>
      <c r="C237" s="30">
        <v>43</v>
      </c>
      <c r="D237" s="30">
        <v>7</v>
      </c>
      <c r="E237" s="30">
        <v>22</v>
      </c>
      <c r="F237" s="30">
        <v>4</v>
      </c>
      <c r="G237" s="30">
        <v>2</v>
      </c>
      <c r="H237" s="159"/>
      <c r="L237" s="21">
        <v>1</v>
      </c>
    </row>
    <row r="238" spans="2:12" ht="18">
      <c r="B238" s="30">
        <v>11</v>
      </c>
      <c r="C238" s="30">
        <v>26</v>
      </c>
      <c r="D238" s="30">
        <v>8</v>
      </c>
      <c r="E238" s="30">
        <v>20</v>
      </c>
      <c r="F238" s="30">
        <v>6</v>
      </c>
      <c r="G238" s="30">
        <v>2</v>
      </c>
      <c r="H238" s="159"/>
      <c r="L238" s="21">
        <v>1</v>
      </c>
    </row>
    <row r="239" spans="2:12" ht="18">
      <c r="B239" s="30">
        <v>11</v>
      </c>
      <c r="C239" s="30">
        <v>26</v>
      </c>
      <c r="D239" s="30">
        <v>9</v>
      </c>
      <c r="E239" s="30">
        <v>10</v>
      </c>
      <c r="F239" s="30">
        <v>13</v>
      </c>
      <c r="G239" s="30">
        <v>0</v>
      </c>
      <c r="H239" s="159"/>
      <c r="L239" s="21">
        <v>1</v>
      </c>
    </row>
    <row r="240" spans="2:12" ht="18">
      <c r="B240" s="30">
        <v>11</v>
      </c>
      <c r="C240" s="30">
        <v>39</v>
      </c>
      <c r="D240" s="30">
        <v>8</v>
      </c>
      <c r="E240" s="30">
        <v>7</v>
      </c>
      <c r="F240" s="30">
        <v>10</v>
      </c>
      <c r="G240" s="30">
        <v>8</v>
      </c>
      <c r="H240" s="159"/>
      <c r="L240" s="21">
        <v>1</v>
      </c>
    </row>
    <row r="241" spans="2:12" ht="18">
      <c r="B241" s="30">
        <v>11</v>
      </c>
      <c r="C241" s="30">
        <v>39</v>
      </c>
      <c r="D241" s="30">
        <v>7</v>
      </c>
      <c r="E241" s="30">
        <v>11</v>
      </c>
      <c r="F241" s="30">
        <v>6</v>
      </c>
      <c r="G241" s="30">
        <v>8</v>
      </c>
      <c r="H241" s="159"/>
      <c r="L241" s="21">
        <v>1</v>
      </c>
    </row>
    <row r="242" spans="2:12" ht="18">
      <c r="B242" s="30">
        <v>11</v>
      </c>
      <c r="C242" s="30">
        <v>39</v>
      </c>
      <c r="D242" s="30">
        <v>6</v>
      </c>
      <c r="E242" s="30">
        <v>15</v>
      </c>
      <c r="F242" s="30">
        <v>1</v>
      </c>
      <c r="G242" s="30">
        <v>9</v>
      </c>
      <c r="H242" s="159"/>
      <c r="L242" s="21">
        <v>1</v>
      </c>
    </row>
    <row r="243" spans="2:12" ht="18">
      <c r="B243" s="30">
        <v>11</v>
      </c>
      <c r="C243" s="30">
        <v>51</v>
      </c>
      <c r="D243" s="30">
        <v>8</v>
      </c>
      <c r="E243" s="30">
        <v>6</v>
      </c>
      <c r="F243" s="30">
        <v>0</v>
      </c>
      <c r="G243" s="30">
        <v>0</v>
      </c>
      <c r="H243" s="159"/>
      <c r="L243" s="21">
        <v>1</v>
      </c>
    </row>
    <row r="244" spans="2:12" ht="18">
      <c r="B244" s="30">
        <v>11</v>
      </c>
      <c r="C244" s="30">
        <v>51</v>
      </c>
      <c r="D244" s="30">
        <v>7</v>
      </c>
      <c r="E244" s="30">
        <v>5</v>
      </c>
      <c r="F244" s="30">
        <v>0</v>
      </c>
      <c r="G244" s="30">
        <v>0</v>
      </c>
      <c r="H244" s="159"/>
      <c r="L244" s="21">
        <v>1</v>
      </c>
    </row>
    <row r="245" spans="2:12" ht="18">
      <c r="B245" s="30">
        <v>11</v>
      </c>
      <c r="C245" s="30">
        <v>58</v>
      </c>
      <c r="D245" s="30">
        <v>8</v>
      </c>
      <c r="E245" s="30">
        <v>2</v>
      </c>
      <c r="F245" s="30">
        <v>9</v>
      </c>
      <c r="G245" s="30">
        <v>4</v>
      </c>
      <c r="H245" s="159"/>
      <c r="L245" s="21">
        <v>1</v>
      </c>
    </row>
    <row r="246" spans="2:12" ht="18">
      <c r="B246" s="30">
        <v>11</v>
      </c>
      <c r="C246" s="30">
        <v>58</v>
      </c>
      <c r="D246" s="30">
        <v>7</v>
      </c>
      <c r="E246" s="30">
        <v>10</v>
      </c>
      <c r="F246" s="30">
        <v>5</v>
      </c>
      <c r="G246" s="30">
        <v>2</v>
      </c>
      <c r="H246" s="159"/>
      <c r="L246" s="21">
        <v>1</v>
      </c>
    </row>
    <row r="247" spans="2:12" ht="18">
      <c r="B247" s="30">
        <v>11</v>
      </c>
      <c r="C247" s="30">
        <v>58</v>
      </c>
      <c r="D247" s="30">
        <v>6</v>
      </c>
      <c r="E247" s="30">
        <v>4</v>
      </c>
      <c r="F247" s="30">
        <v>10</v>
      </c>
      <c r="G247" s="30">
        <v>2</v>
      </c>
      <c r="H247" s="159"/>
      <c r="L247" s="21">
        <v>1</v>
      </c>
    </row>
    <row r="248" spans="2:12" ht="18">
      <c r="B248" s="30">
        <v>11</v>
      </c>
      <c r="C248" s="30">
        <v>61</v>
      </c>
      <c r="D248" s="30">
        <v>4</v>
      </c>
      <c r="E248" s="30">
        <v>17</v>
      </c>
      <c r="F248" s="30">
        <v>1</v>
      </c>
      <c r="G248" s="30">
        <v>3</v>
      </c>
      <c r="H248" s="159"/>
      <c r="L248" s="21">
        <v>1</v>
      </c>
    </row>
    <row r="249" spans="2:12" ht="18">
      <c r="B249" s="30">
        <v>11</v>
      </c>
      <c r="C249" s="30">
        <v>47</v>
      </c>
      <c r="D249" s="30">
        <v>6</v>
      </c>
      <c r="E249" s="30">
        <v>1</v>
      </c>
      <c r="F249" s="30">
        <v>2</v>
      </c>
      <c r="G249" s="30">
        <v>4</v>
      </c>
      <c r="H249" s="159"/>
      <c r="L249" s="21">
        <v>1</v>
      </c>
    </row>
    <row r="250" spans="2:12" ht="18">
      <c r="B250" s="30">
        <v>11</v>
      </c>
      <c r="C250" s="30">
        <v>47</v>
      </c>
      <c r="D250" s="30">
        <v>5</v>
      </c>
      <c r="E250" s="30">
        <v>11</v>
      </c>
      <c r="F250" s="30">
        <v>1</v>
      </c>
      <c r="G250" s="30">
        <v>2</v>
      </c>
      <c r="H250" s="159"/>
      <c r="L250" s="21">
        <v>1</v>
      </c>
    </row>
    <row r="251" spans="2:12" ht="18">
      <c r="B251" s="30">
        <v>11</v>
      </c>
      <c r="C251" s="30">
        <v>54</v>
      </c>
      <c r="D251" s="30">
        <v>6</v>
      </c>
      <c r="E251" s="30">
        <v>5</v>
      </c>
      <c r="F251" s="30">
        <v>0</v>
      </c>
      <c r="G251" s="30">
        <v>0</v>
      </c>
      <c r="H251" s="159"/>
      <c r="L251" s="21">
        <v>1</v>
      </c>
    </row>
    <row r="252" spans="2:12" ht="18">
      <c r="B252" s="30">
        <v>11</v>
      </c>
      <c r="C252" s="30">
        <v>54</v>
      </c>
      <c r="D252" s="30">
        <v>5</v>
      </c>
      <c r="E252" s="30">
        <v>10</v>
      </c>
      <c r="F252" s="30">
        <v>0</v>
      </c>
      <c r="G252" s="30">
        <v>1</v>
      </c>
      <c r="H252" s="159"/>
      <c r="L252" s="21">
        <v>1</v>
      </c>
    </row>
    <row r="253" spans="2:12" ht="18">
      <c r="B253" s="30">
        <v>11</v>
      </c>
      <c r="C253" s="30">
        <v>30</v>
      </c>
      <c r="D253" s="30">
        <v>7</v>
      </c>
      <c r="E253" s="30">
        <v>14</v>
      </c>
      <c r="F253" s="30">
        <v>4</v>
      </c>
      <c r="G253" s="30">
        <v>0</v>
      </c>
      <c r="H253" s="159"/>
      <c r="L253" s="21">
        <v>1</v>
      </c>
    </row>
    <row r="254" spans="2:12" ht="18">
      <c r="B254" s="30">
        <v>11</v>
      </c>
      <c r="C254" s="30">
        <v>30</v>
      </c>
      <c r="D254" s="30">
        <v>8</v>
      </c>
      <c r="E254" s="30">
        <v>12</v>
      </c>
      <c r="F254" s="30">
        <v>8</v>
      </c>
      <c r="G254" s="30">
        <v>3</v>
      </c>
      <c r="H254" s="159"/>
      <c r="L254" s="21">
        <v>1</v>
      </c>
    </row>
    <row r="255" spans="2:12" ht="18">
      <c r="B255" s="30">
        <v>11</v>
      </c>
      <c r="C255" s="30">
        <v>30</v>
      </c>
      <c r="D255" s="30">
        <v>9</v>
      </c>
      <c r="E255" s="30">
        <v>7</v>
      </c>
      <c r="F255" s="30">
        <v>2</v>
      </c>
      <c r="G255" s="30">
        <v>0</v>
      </c>
      <c r="H255" s="159"/>
      <c r="L255" s="21">
        <v>1</v>
      </c>
    </row>
    <row r="256" spans="2:12" ht="18">
      <c r="B256" s="30">
        <v>11</v>
      </c>
      <c r="C256" s="30">
        <v>29</v>
      </c>
      <c r="D256" s="30">
        <v>8</v>
      </c>
      <c r="E256" s="30">
        <v>27</v>
      </c>
      <c r="F256" s="30">
        <v>3</v>
      </c>
      <c r="G256" s="30">
        <v>1</v>
      </c>
      <c r="H256" s="159"/>
      <c r="L256" s="21">
        <v>1</v>
      </c>
    </row>
    <row r="257" spans="2:12" ht="18">
      <c r="B257" s="30">
        <v>11</v>
      </c>
      <c r="C257" s="30">
        <v>29</v>
      </c>
      <c r="D257" s="30">
        <v>9</v>
      </c>
      <c r="E257" s="30">
        <v>25</v>
      </c>
      <c r="F257" s="30">
        <v>4</v>
      </c>
      <c r="G257" s="30">
        <v>1</v>
      </c>
      <c r="H257" s="159"/>
      <c r="L257" s="21">
        <v>1</v>
      </c>
    </row>
    <row r="258" spans="2:12" ht="18">
      <c r="B258" s="30">
        <v>11</v>
      </c>
      <c r="C258" s="30">
        <v>33</v>
      </c>
      <c r="D258" s="30">
        <v>4</v>
      </c>
      <c r="E258" s="30">
        <v>19</v>
      </c>
      <c r="F258" s="30">
        <v>0</v>
      </c>
      <c r="G258" s="30">
        <v>0</v>
      </c>
      <c r="H258" s="159"/>
      <c r="L258" s="21">
        <v>1</v>
      </c>
    </row>
    <row r="259" spans="2:12" ht="18">
      <c r="B259" s="30">
        <v>11</v>
      </c>
      <c r="C259" s="30">
        <v>37</v>
      </c>
      <c r="D259" s="30">
        <v>5</v>
      </c>
      <c r="E259" s="30">
        <v>13</v>
      </c>
      <c r="F259" s="30">
        <v>8</v>
      </c>
      <c r="G259" s="30">
        <v>6</v>
      </c>
      <c r="H259" s="159"/>
      <c r="L259" s="21">
        <v>1</v>
      </c>
    </row>
    <row r="260" spans="2:12" ht="18">
      <c r="B260" s="30">
        <v>11</v>
      </c>
      <c r="C260" s="30">
        <v>52</v>
      </c>
      <c r="D260" s="30">
        <v>6</v>
      </c>
      <c r="E260" s="30">
        <v>13</v>
      </c>
      <c r="F260" s="30">
        <v>1</v>
      </c>
      <c r="G260" s="30">
        <v>1</v>
      </c>
      <c r="H260" s="159"/>
      <c r="L260" s="21">
        <v>1</v>
      </c>
    </row>
    <row r="261" spans="2:12" ht="18">
      <c r="B261" s="30">
        <v>11</v>
      </c>
      <c r="C261" s="30">
        <v>52</v>
      </c>
      <c r="D261" s="30">
        <v>7</v>
      </c>
      <c r="E261" s="30">
        <v>26</v>
      </c>
      <c r="F261" s="30">
        <v>0</v>
      </c>
      <c r="G261" s="30">
        <v>1</v>
      </c>
      <c r="H261" s="159"/>
      <c r="L261" s="21">
        <v>1</v>
      </c>
    </row>
    <row r="262" spans="2:12" ht="18">
      <c r="B262" s="30">
        <v>11</v>
      </c>
      <c r="C262" s="30">
        <v>52</v>
      </c>
      <c r="D262" s="30">
        <v>8</v>
      </c>
      <c r="E262" s="30">
        <v>21</v>
      </c>
      <c r="F262" s="30">
        <v>0</v>
      </c>
      <c r="G262" s="30">
        <v>1</v>
      </c>
      <c r="H262" s="159"/>
      <c r="L262" s="21">
        <v>1</v>
      </c>
    </row>
    <row r="263" spans="2:12" ht="18">
      <c r="B263" s="30">
        <v>11</v>
      </c>
      <c r="C263" s="30">
        <v>52</v>
      </c>
      <c r="D263" s="30">
        <v>9</v>
      </c>
      <c r="E263" s="30">
        <v>19</v>
      </c>
      <c r="F263" s="30">
        <v>0</v>
      </c>
      <c r="G263" s="30">
        <v>1</v>
      </c>
      <c r="H263" s="159"/>
      <c r="L263" s="21">
        <v>1</v>
      </c>
    </row>
    <row r="264" spans="2:12" ht="18">
      <c r="B264" s="30">
        <v>11</v>
      </c>
      <c r="C264" s="30">
        <v>28</v>
      </c>
      <c r="D264" s="30">
        <v>6</v>
      </c>
      <c r="E264" s="30">
        <v>14</v>
      </c>
      <c r="F264" s="30">
        <v>10</v>
      </c>
      <c r="G264" s="30">
        <v>6</v>
      </c>
      <c r="H264" s="159"/>
      <c r="L264" s="21">
        <v>1</v>
      </c>
    </row>
    <row r="265" spans="2:12" ht="18">
      <c r="B265" s="30">
        <v>11</v>
      </c>
      <c r="C265" s="30">
        <v>28</v>
      </c>
      <c r="D265" s="30">
        <v>7</v>
      </c>
      <c r="E265" s="30">
        <v>8</v>
      </c>
      <c r="F265" s="30">
        <v>6</v>
      </c>
      <c r="G265" s="30">
        <v>3</v>
      </c>
      <c r="H265" s="159"/>
      <c r="L265" s="21">
        <v>1</v>
      </c>
    </row>
    <row r="266" spans="2:12" ht="18">
      <c r="B266" s="30">
        <v>11</v>
      </c>
      <c r="C266" s="30">
        <v>28</v>
      </c>
      <c r="D266" s="30">
        <v>8</v>
      </c>
      <c r="E266" s="30">
        <v>6</v>
      </c>
      <c r="F266" s="30">
        <v>0</v>
      </c>
      <c r="G266" s="30">
        <v>2</v>
      </c>
      <c r="H266" s="159"/>
      <c r="L266" s="21">
        <v>1</v>
      </c>
    </row>
    <row r="267" spans="2:12" ht="18">
      <c r="B267" s="30">
        <v>11</v>
      </c>
      <c r="C267" s="30">
        <v>28</v>
      </c>
      <c r="D267" s="30">
        <v>9</v>
      </c>
      <c r="E267" s="30">
        <v>6</v>
      </c>
      <c r="F267" s="30">
        <v>4</v>
      </c>
      <c r="G267" s="30">
        <v>1</v>
      </c>
      <c r="H267" s="159"/>
      <c r="L267" s="21">
        <v>1</v>
      </c>
    </row>
    <row r="268" spans="2:12" ht="18">
      <c r="B268" s="30">
        <v>11</v>
      </c>
      <c r="C268" s="30">
        <v>25</v>
      </c>
      <c r="D268" s="30">
        <v>6</v>
      </c>
      <c r="E268" s="30">
        <v>7</v>
      </c>
      <c r="F268" s="30">
        <v>10</v>
      </c>
      <c r="G268" s="30">
        <v>2</v>
      </c>
      <c r="H268" s="159"/>
      <c r="L268" s="21">
        <v>1</v>
      </c>
    </row>
    <row r="269" spans="2:12" ht="18">
      <c r="B269" s="30">
        <v>11</v>
      </c>
      <c r="C269" s="30">
        <v>25</v>
      </c>
      <c r="D269" s="30">
        <v>7</v>
      </c>
      <c r="E269" s="30">
        <v>8</v>
      </c>
      <c r="F269" s="30">
        <v>5</v>
      </c>
      <c r="G269" s="30">
        <v>2</v>
      </c>
      <c r="H269" s="159"/>
      <c r="L269" s="21">
        <v>1</v>
      </c>
    </row>
    <row r="270" spans="2:12" ht="18">
      <c r="B270" s="30">
        <v>11</v>
      </c>
      <c r="C270" s="30">
        <v>30</v>
      </c>
      <c r="D270" s="30">
        <v>10</v>
      </c>
      <c r="E270" s="30">
        <v>10</v>
      </c>
      <c r="F270" s="30">
        <v>5</v>
      </c>
      <c r="G270" s="30">
        <v>2</v>
      </c>
      <c r="H270" s="159"/>
      <c r="L270" s="21">
        <v>1</v>
      </c>
    </row>
    <row r="271" spans="2:12" ht="18">
      <c r="B271" s="30">
        <v>11</v>
      </c>
      <c r="C271" s="30">
        <v>27</v>
      </c>
      <c r="D271" s="30">
        <v>8</v>
      </c>
      <c r="E271" s="30">
        <v>17</v>
      </c>
      <c r="F271" s="30">
        <v>1</v>
      </c>
      <c r="G271" s="30">
        <v>0</v>
      </c>
      <c r="H271" s="159"/>
      <c r="L271" s="21">
        <v>1</v>
      </c>
    </row>
    <row r="272" spans="2:12" ht="18">
      <c r="B272" s="30">
        <v>11</v>
      </c>
      <c r="C272" s="30">
        <v>27</v>
      </c>
      <c r="D272" s="30">
        <v>6</v>
      </c>
      <c r="E272" s="30">
        <v>14</v>
      </c>
      <c r="F272" s="30">
        <v>1</v>
      </c>
      <c r="G272" s="30">
        <v>1</v>
      </c>
      <c r="H272" s="159"/>
      <c r="L272" s="21">
        <v>1</v>
      </c>
    </row>
    <row r="273" spans="2:12" ht="18">
      <c r="B273" s="30">
        <v>11</v>
      </c>
      <c r="C273" s="30">
        <v>27</v>
      </c>
      <c r="D273" s="30">
        <v>7</v>
      </c>
      <c r="E273" s="30">
        <v>5</v>
      </c>
      <c r="F273" s="30">
        <v>3</v>
      </c>
      <c r="G273" s="30">
        <v>0</v>
      </c>
      <c r="H273" s="159"/>
      <c r="L273" s="21">
        <v>1</v>
      </c>
    </row>
    <row r="274" spans="2:12" ht="18">
      <c r="B274" s="30">
        <v>11</v>
      </c>
      <c r="C274" s="30">
        <v>23</v>
      </c>
      <c r="D274" s="30">
        <v>7</v>
      </c>
      <c r="E274" s="30">
        <v>23</v>
      </c>
      <c r="F274" s="30">
        <v>10</v>
      </c>
      <c r="G274" s="30">
        <v>8</v>
      </c>
      <c r="H274" s="159"/>
      <c r="L274" s="21">
        <v>1</v>
      </c>
    </row>
    <row r="275" spans="2:12" ht="18">
      <c r="B275" s="30">
        <v>11</v>
      </c>
      <c r="C275" s="30">
        <v>23</v>
      </c>
      <c r="D275" s="30">
        <v>8</v>
      </c>
      <c r="E275" s="30">
        <v>36</v>
      </c>
      <c r="F275" s="30">
        <v>7</v>
      </c>
      <c r="G275" s="30">
        <v>6</v>
      </c>
      <c r="H275" s="159"/>
      <c r="L275" s="21">
        <v>1</v>
      </c>
    </row>
    <row r="276" spans="2:12" ht="18">
      <c r="B276" s="30">
        <v>11</v>
      </c>
      <c r="C276" s="30">
        <v>23</v>
      </c>
      <c r="D276" s="30">
        <v>6</v>
      </c>
      <c r="E276" s="30">
        <v>43</v>
      </c>
      <c r="F276" s="30">
        <v>5</v>
      </c>
      <c r="G276" s="30">
        <v>7</v>
      </c>
      <c r="H276" s="159"/>
      <c r="L276" s="21">
        <v>1</v>
      </c>
    </row>
    <row r="277" spans="2:12" ht="18">
      <c r="B277" s="30">
        <v>11</v>
      </c>
      <c r="C277" s="30">
        <v>23</v>
      </c>
      <c r="D277" s="30">
        <v>5</v>
      </c>
      <c r="E277" s="30">
        <v>19</v>
      </c>
      <c r="F277" s="30">
        <v>2</v>
      </c>
      <c r="G277" s="30">
        <v>1</v>
      </c>
      <c r="H277" s="159"/>
      <c r="L277" s="21">
        <v>1</v>
      </c>
    </row>
    <row r="278" spans="2:12" ht="18">
      <c r="B278" s="30">
        <v>11</v>
      </c>
      <c r="C278" s="30">
        <v>56</v>
      </c>
      <c r="D278" s="30">
        <v>9</v>
      </c>
      <c r="E278" s="30">
        <v>5</v>
      </c>
      <c r="F278" s="30">
        <v>0</v>
      </c>
      <c r="G278" s="30">
        <v>2</v>
      </c>
      <c r="H278" s="159"/>
      <c r="L278" s="21">
        <v>1</v>
      </c>
    </row>
    <row r="279" spans="2:12" ht="18">
      <c r="B279" s="30">
        <v>11</v>
      </c>
      <c r="C279" s="30">
        <v>56</v>
      </c>
      <c r="D279" s="30">
        <v>8</v>
      </c>
      <c r="E279" s="30">
        <v>4</v>
      </c>
      <c r="F279" s="30">
        <v>2</v>
      </c>
      <c r="G279" s="30">
        <v>0</v>
      </c>
      <c r="H279" s="159"/>
      <c r="L279" s="21">
        <v>1</v>
      </c>
    </row>
    <row r="280" spans="2:12" ht="18">
      <c r="B280" s="30">
        <v>11</v>
      </c>
      <c r="C280" s="30">
        <v>56</v>
      </c>
      <c r="D280" s="30">
        <v>7</v>
      </c>
      <c r="E280" s="30">
        <v>13</v>
      </c>
      <c r="F280" s="30">
        <v>1</v>
      </c>
      <c r="G280" s="30">
        <v>1</v>
      </c>
      <c r="H280" s="159"/>
      <c r="L280" s="21">
        <v>1</v>
      </c>
    </row>
    <row r="281" spans="2:12" ht="18">
      <c r="B281" s="30">
        <v>11</v>
      </c>
      <c r="C281" s="30">
        <v>56</v>
      </c>
      <c r="D281" s="30">
        <v>6</v>
      </c>
      <c r="E281" s="30">
        <v>15</v>
      </c>
      <c r="F281" s="30">
        <v>3</v>
      </c>
      <c r="G281" s="30">
        <v>1</v>
      </c>
      <c r="H281" s="159"/>
      <c r="L281" s="21">
        <v>1</v>
      </c>
    </row>
    <row r="282" spans="2:12" ht="18">
      <c r="B282" s="30">
        <v>11</v>
      </c>
      <c r="C282" s="30">
        <v>56</v>
      </c>
      <c r="D282" s="30">
        <v>5</v>
      </c>
      <c r="E282" s="30">
        <v>18</v>
      </c>
      <c r="F282" s="30">
        <v>2</v>
      </c>
      <c r="G282" s="30">
        <v>2</v>
      </c>
      <c r="H282" s="159"/>
      <c r="L282" s="21">
        <v>1</v>
      </c>
    </row>
    <row r="283" spans="2:12" ht="18">
      <c r="B283" s="30">
        <v>11</v>
      </c>
      <c r="C283" s="30">
        <v>59</v>
      </c>
      <c r="D283" s="30">
        <v>7</v>
      </c>
      <c r="E283" s="30">
        <v>1</v>
      </c>
      <c r="F283" s="30">
        <v>16</v>
      </c>
      <c r="G283" s="30">
        <v>3</v>
      </c>
      <c r="H283" s="159"/>
      <c r="L283" s="21">
        <v>1</v>
      </c>
    </row>
    <row r="284" spans="2:12" ht="18">
      <c r="B284" s="30">
        <v>11</v>
      </c>
      <c r="C284" s="30">
        <v>59</v>
      </c>
      <c r="D284" s="30">
        <v>6</v>
      </c>
      <c r="E284" s="30">
        <v>3</v>
      </c>
      <c r="F284" s="30">
        <v>13</v>
      </c>
      <c r="G284" s="30">
        <v>7</v>
      </c>
      <c r="H284" s="159"/>
      <c r="L284" s="21">
        <v>1</v>
      </c>
    </row>
    <row r="285" spans="2:12" ht="18">
      <c r="B285" s="30">
        <v>11</v>
      </c>
      <c r="C285" s="30">
        <v>59</v>
      </c>
      <c r="D285" s="30">
        <v>8</v>
      </c>
      <c r="E285" s="30">
        <v>7</v>
      </c>
      <c r="F285" s="30">
        <v>14</v>
      </c>
      <c r="G285" s="30">
        <v>2</v>
      </c>
      <c r="H285" s="159"/>
      <c r="L285" s="21">
        <v>1</v>
      </c>
    </row>
    <row r="286" spans="2:12" ht="18">
      <c r="B286" s="30">
        <v>11</v>
      </c>
      <c r="C286" s="30">
        <v>60</v>
      </c>
      <c r="D286" s="30">
        <v>8</v>
      </c>
      <c r="E286" s="30">
        <v>19</v>
      </c>
      <c r="F286" s="30">
        <v>6</v>
      </c>
      <c r="G286" s="30">
        <v>0</v>
      </c>
      <c r="H286" s="159"/>
      <c r="L286" s="21">
        <v>1</v>
      </c>
    </row>
    <row r="287" spans="2:12" ht="18">
      <c r="B287" s="30">
        <v>11</v>
      </c>
      <c r="C287" s="30">
        <v>60</v>
      </c>
      <c r="D287" s="30">
        <v>9</v>
      </c>
      <c r="E287" s="30">
        <v>15</v>
      </c>
      <c r="F287" s="30">
        <v>10</v>
      </c>
      <c r="G287" s="30">
        <v>5</v>
      </c>
      <c r="H287" s="159"/>
      <c r="L287" s="21">
        <v>1</v>
      </c>
    </row>
    <row r="288" spans="2:12" ht="18">
      <c r="B288" s="30">
        <v>11</v>
      </c>
      <c r="C288" s="30">
        <v>60</v>
      </c>
      <c r="D288" s="30">
        <v>10</v>
      </c>
      <c r="E288" s="30">
        <v>14</v>
      </c>
      <c r="F288" s="30">
        <v>15</v>
      </c>
      <c r="G288" s="30">
        <v>3</v>
      </c>
      <c r="H288" s="159"/>
      <c r="L288" s="21">
        <v>1</v>
      </c>
    </row>
    <row r="289" spans="2:12" ht="18">
      <c r="B289" s="30">
        <v>11</v>
      </c>
      <c r="C289" s="30">
        <v>53</v>
      </c>
      <c r="D289" s="30">
        <v>8</v>
      </c>
      <c r="E289" s="30">
        <v>25</v>
      </c>
      <c r="F289" s="30">
        <v>0</v>
      </c>
      <c r="G289" s="30">
        <v>1</v>
      </c>
      <c r="H289" s="159"/>
      <c r="L289" s="21">
        <v>1</v>
      </c>
    </row>
    <row r="290" spans="2:12" ht="18">
      <c r="B290" s="30">
        <v>11</v>
      </c>
      <c r="C290" s="30">
        <v>54</v>
      </c>
      <c r="D290" s="30">
        <v>8</v>
      </c>
      <c r="E290" s="30">
        <v>15</v>
      </c>
      <c r="F290" s="30">
        <v>2</v>
      </c>
      <c r="G290" s="30">
        <v>1</v>
      </c>
      <c r="H290" s="159"/>
      <c r="L290" s="21">
        <v>1</v>
      </c>
    </row>
    <row r="291" spans="2:12" ht="18">
      <c r="B291" s="30">
        <v>11</v>
      </c>
      <c r="C291" s="30">
        <v>54</v>
      </c>
      <c r="D291" s="30">
        <v>7</v>
      </c>
      <c r="E291" s="30">
        <v>15</v>
      </c>
      <c r="F291" s="30">
        <v>2</v>
      </c>
      <c r="G291" s="30">
        <v>0</v>
      </c>
      <c r="H291" s="159"/>
      <c r="L291" s="21">
        <v>1</v>
      </c>
    </row>
    <row r="292" spans="2:12" ht="18">
      <c r="B292" s="30">
        <v>11</v>
      </c>
      <c r="C292" s="30">
        <v>62</v>
      </c>
      <c r="D292" s="30">
        <v>9</v>
      </c>
      <c r="E292" s="30">
        <v>11</v>
      </c>
      <c r="F292" s="30">
        <v>12</v>
      </c>
      <c r="G292" s="30">
        <v>0</v>
      </c>
      <c r="H292" s="159"/>
      <c r="L292" s="21">
        <v>1</v>
      </c>
    </row>
    <row r="293" spans="2:12" ht="18">
      <c r="B293" s="30">
        <v>11</v>
      </c>
      <c r="C293" s="30">
        <v>62</v>
      </c>
      <c r="D293" s="30">
        <v>8</v>
      </c>
      <c r="E293" s="30">
        <v>15</v>
      </c>
      <c r="F293" s="30">
        <v>10</v>
      </c>
      <c r="G293" s="30">
        <v>0</v>
      </c>
      <c r="H293" s="159"/>
      <c r="L293" s="21">
        <v>1</v>
      </c>
    </row>
    <row r="294" spans="2:12" ht="18">
      <c r="B294" s="30">
        <v>11</v>
      </c>
      <c r="C294" s="30">
        <v>48</v>
      </c>
      <c r="D294" s="30">
        <v>7</v>
      </c>
      <c r="E294" s="30">
        <v>9</v>
      </c>
      <c r="F294" s="30">
        <v>3</v>
      </c>
      <c r="G294" s="30">
        <v>8</v>
      </c>
      <c r="H294" s="159"/>
      <c r="L294" s="21">
        <v>1</v>
      </c>
    </row>
    <row r="295" spans="2:12" ht="18">
      <c r="B295" s="30">
        <v>11</v>
      </c>
      <c r="C295" s="30">
        <v>36</v>
      </c>
      <c r="D295" s="30">
        <v>9</v>
      </c>
      <c r="E295" s="30">
        <v>21</v>
      </c>
      <c r="F295" s="30">
        <v>4</v>
      </c>
      <c r="G295" s="30">
        <v>0</v>
      </c>
      <c r="H295" s="159"/>
      <c r="L295" s="21">
        <v>1</v>
      </c>
    </row>
    <row r="296" spans="2:12" ht="18">
      <c r="B296" s="30">
        <v>11</v>
      </c>
      <c r="C296" s="30">
        <v>36</v>
      </c>
      <c r="D296" s="30">
        <v>7</v>
      </c>
      <c r="E296" s="30">
        <v>19</v>
      </c>
      <c r="F296" s="30">
        <v>3</v>
      </c>
      <c r="G296" s="30">
        <v>3</v>
      </c>
      <c r="H296" s="159"/>
      <c r="L296" s="21">
        <v>1</v>
      </c>
    </row>
    <row r="297" spans="2:12" ht="18">
      <c r="B297" s="30">
        <v>11</v>
      </c>
      <c r="C297" s="30">
        <v>36</v>
      </c>
      <c r="D297" s="30">
        <v>5</v>
      </c>
      <c r="E297" s="30">
        <v>23</v>
      </c>
      <c r="F297" s="30">
        <v>0</v>
      </c>
      <c r="G297" s="30">
        <v>2</v>
      </c>
      <c r="H297" s="159"/>
      <c r="L297" s="21">
        <v>1</v>
      </c>
    </row>
    <row r="298" spans="2:12" ht="18">
      <c r="B298" s="30">
        <v>11</v>
      </c>
      <c r="C298" s="30">
        <v>36</v>
      </c>
      <c r="D298" s="30">
        <v>6</v>
      </c>
      <c r="E298" s="30">
        <v>25</v>
      </c>
      <c r="F298" s="30">
        <v>0</v>
      </c>
      <c r="G298" s="30">
        <v>0</v>
      </c>
      <c r="H298" s="159"/>
      <c r="L298" s="21">
        <v>1</v>
      </c>
    </row>
    <row r="299" spans="2:12" ht="18">
      <c r="B299" s="30">
        <v>11</v>
      </c>
      <c r="C299" s="30">
        <v>36</v>
      </c>
      <c r="D299" s="30">
        <v>8</v>
      </c>
      <c r="E299" s="30">
        <v>25</v>
      </c>
      <c r="F299" s="30">
        <v>0</v>
      </c>
      <c r="G299" s="30">
        <v>0</v>
      </c>
      <c r="H299" s="159"/>
      <c r="L299" s="21">
        <v>1</v>
      </c>
    </row>
    <row r="300" spans="2:12" ht="18">
      <c r="B300" s="30">
        <v>11</v>
      </c>
      <c r="C300" s="30">
        <v>53</v>
      </c>
      <c r="D300" s="30">
        <v>7</v>
      </c>
      <c r="E300" s="30">
        <v>26</v>
      </c>
      <c r="F300" s="30">
        <v>1</v>
      </c>
      <c r="G300" s="30">
        <v>0</v>
      </c>
      <c r="H300" s="159"/>
      <c r="L300" s="21">
        <v>1</v>
      </c>
    </row>
    <row r="301" spans="2:12" ht="18">
      <c r="B301" s="30">
        <v>11</v>
      </c>
      <c r="C301" s="30">
        <v>40</v>
      </c>
      <c r="D301" s="30">
        <v>4</v>
      </c>
      <c r="E301" s="30">
        <v>2</v>
      </c>
      <c r="F301" s="30">
        <v>0</v>
      </c>
      <c r="G301" s="30">
        <v>0</v>
      </c>
      <c r="H301" s="159"/>
      <c r="L301" s="21">
        <v>1</v>
      </c>
    </row>
    <row r="302" spans="2:12" ht="18">
      <c r="B302" s="30">
        <v>11</v>
      </c>
      <c r="C302" s="30">
        <v>40</v>
      </c>
      <c r="D302" s="30">
        <v>5</v>
      </c>
      <c r="E302" s="30">
        <v>10</v>
      </c>
      <c r="F302" s="30">
        <v>4</v>
      </c>
      <c r="G302" s="30">
        <v>5</v>
      </c>
      <c r="H302" s="159"/>
      <c r="L302" s="21">
        <v>1</v>
      </c>
    </row>
    <row r="303" spans="2:12" ht="18">
      <c r="B303" s="30">
        <v>11</v>
      </c>
      <c r="C303" s="30">
        <v>40</v>
      </c>
      <c r="D303" s="30">
        <v>6</v>
      </c>
      <c r="E303" s="30">
        <v>3</v>
      </c>
      <c r="F303" s="30">
        <v>2</v>
      </c>
      <c r="G303" s="30">
        <v>3</v>
      </c>
      <c r="H303" s="159"/>
      <c r="L303" s="21">
        <v>1</v>
      </c>
    </row>
    <row r="304" spans="2:12" ht="18">
      <c r="B304" s="30">
        <v>11</v>
      </c>
      <c r="C304" s="30">
        <v>40</v>
      </c>
      <c r="D304" s="30">
        <v>7</v>
      </c>
      <c r="E304" s="30">
        <v>6</v>
      </c>
      <c r="F304" s="30">
        <v>5</v>
      </c>
      <c r="G304" s="30">
        <v>3</v>
      </c>
      <c r="H304" s="159"/>
      <c r="L304" s="21">
        <v>1</v>
      </c>
    </row>
    <row r="305" spans="2:12" ht="18">
      <c r="B305" s="30">
        <v>11</v>
      </c>
      <c r="C305" s="30">
        <v>40</v>
      </c>
      <c r="D305" s="30">
        <v>8</v>
      </c>
      <c r="E305" s="30">
        <v>5</v>
      </c>
      <c r="F305" s="30">
        <v>4</v>
      </c>
      <c r="G305" s="30">
        <v>3</v>
      </c>
      <c r="H305" s="159"/>
      <c r="L305" s="21">
        <v>1</v>
      </c>
    </row>
    <row r="306" spans="2:12" ht="18">
      <c r="B306" s="30">
        <v>11</v>
      </c>
      <c r="C306" s="30">
        <v>40</v>
      </c>
      <c r="D306" s="30">
        <v>9</v>
      </c>
      <c r="E306" s="30">
        <v>13</v>
      </c>
      <c r="F306" s="30">
        <v>6</v>
      </c>
      <c r="G306" s="30">
        <v>4</v>
      </c>
      <c r="H306" s="159"/>
      <c r="L306" s="21">
        <v>1</v>
      </c>
    </row>
    <row r="307" spans="2:12" ht="18">
      <c r="B307" s="30">
        <v>11</v>
      </c>
      <c r="C307" s="30">
        <v>49</v>
      </c>
      <c r="D307" s="30">
        <v>8</v>
      </c>
      <c r="E307" s="30">
        <v>4</v>
      </c>
      <c r="F307" s="30">
        <v>0</v>
      </c>
      <c r="G307" s="30">
        <v>0</v>
      </c>
      <c r="H307" s="159"/>
      <c r="L307" s="21">
        <v>1</v>
      </c>
    </row>
    <row r="308" spans="2:12" ht="18">
      <c r="B308" s="30">
        <v>11</v>
      </c>
      <c r="C308" s="30">
        <v>49</v>
      </c>
      <c r="D308" s="30">
        <v>7</v>
      </c>
      <c r="E308" s="30">
        <v>6</v>
      </c>
      <c r="F308" s="30">
        <v>1</v>
      </c>
      <c r="G308" s="30">
        <v>0</v>
      </c>
      <c r="H308" s="159"/>
      <c r="L308" s="21">
        <v>1</v>
      </c>
    </row>
    <row r="309" spans="2:12" ht="18">
      <c r="B309" s="30">
        <v>11</v>
      </c>
      <c r="C309" s="30">
        <v>42</v>
      </c>
      <c r="D309" s="30">
        <v>5</v>
      </c>
      <c r="E309" s="30">
        <v>15</v>
      </c>
      <c r="F309" s="30">
        <v>7</v>
      </c>
      <c r="G309" s="30">
        <v>2</v>
      </c>
      <c r="H309" s="159"/>
      <c r="L309" s="21">
        <v>1</v>
      </c>
    </row>
    <row r="310" spans="2:12" ht="18">
      <c r="B310" s="30">
        <v>11</v>
      </c>
      <c r="C310" s="30">
        <v>42</v>
      </c>
      <c r="D310" s="30">
        <v>6</v>
      </c>
      <c r="E310" s="30">
        <v>14</v>
      </c>
      <c r="F310" s="30">
        <v>6</v>
      </c>
      <c r="G310" s="30">
        <v>5</v>
      </c>
      <c r="H310" s="159"/>
      <c r="L310" s="21">
        <v>1</v>
      </c>
    </row>
    <row r="311" spans="2:12" ht="18">
      <c r="B311" s="30">
        <v>11</v>
      </c>
      <c r="C311" s="30">
        <v>47</v>
      </c>
      <c r="D311" s="30">
        <v>9</v>
      </c>
      <c r="E311" s="30">
        <v>15</v>
      </c>
      <c r="F311" s="30">
        <v>4</v>
      </c>
      <c r="G311" s="30">
        <v>6</v>
      </c>
      <c r="H311" s="159"/>
      <c r="L311" s="21">
        <v>1</v>
      </c>
    </row>
    <row r="312" spans="2:12" ht="18">
      <c r="B312" s="30">
        <v>11</v>
      </c>
      <c r="C312" s="30">
        <v>47</v>
      </c>
      <c r="D312" s="30">
        <v>8</v>
      </c>
      <c r="E312" s="30">
        <v>13</v>
      </c>
      <c r="F312" s="30">
        <v>3</v>
      </c>
      <c r="G312" s="30">
        <v>9</v>
      </c>
      <c r="H312" s="159"/>
      <c r="L312" s="21">
        <v>1</v>
      </c>
    </row>
    <row r="313" spans="2:12" ht="18">
      <c r="B313" s="30">
        <v>11</v>
      </c>
      <c r="C313" s="30">
        <v>47</v>
      </c>
      <c r="D313" s="30">
        <v>7</v>
      </c>
      <c r="E313" s="30">
        <v>14</v>
      </c>
      <c r="F313" s="30">
        <v>4</v>
      </c>
      <c r="G313" s="30">
        <v>7</v>
      </c>
      <c r="H313" s="159"/>
      <c r="L313" s="21">
        <v>1</v>
      </c>
    </row>
    <row r="314" spans="2:12" ht="18">
      <c r="B314" s="30">
        <v>11</v>
      </c>
      <c r="C314" s="30">
        <v>61</v>
      </c>
      <c r="D314" s="30">
        <v>5</v>
      </c>
      <c r="E314" s="30">
        <v>13</v>
      </c>
      <c r="F314" s="30">
        <v>6</v>
      </c>
      <c r="G314" s="30">
        <v>3</v>
      </c>
      <c r="H314" s="159"/>
      <c r="L314" s="21">
        <v>1</v>
      </c>
    </row>
    <row r="315" spans="2:12" ht="18">
      <c r="B315" s="30">
        <v>11</v>
      </c>
      <c r="C315" s="30">
        <v>31</v>
      </c>
      <c r="D315" s="30">
        <v>2</v>
      </c>
      <c r="E315" s="30">
        <v>25</v>
      </c>
      <c r="F315" s="30">
        <v>0</v>
      </c>
      <c r="G315" s="30">
        <v>0</v>
      </c>
      <c r="H315" s="159"/>
      <c r="L315" s="21">
        <v>1</v>
      </c>
    </row>
    <row r="316" spans="2:12" ht="18">
      <c r="B316" s="30">
        <v>11</v>
      </c>
      <c r="C316" s="30">
        <v>57</v>
      </c>
      <c r="D316" s="30">
        <v>8</v>
      </c>
      <c r="E316" s="30">
        <v>7</v>
      </c>
      <c r="F316" s="30">
        <v>2</v>
      </c>
      <c r="G316" s="30">
        <v>2</v>
      </c>
      <c r="H316" s="159"/>
      <c r="L316" s="21">
        <v>1</v>
      </c>
    </row>
    <row r="317" spans="2:12" ht="18">
      <c r="B317" s="30">
        <v>11</v>
      </c>
      <c r="C317" s="30">
        <v>57</v>
      </c>
      <c r="D317" s="30">
        <v>9</v>
      </c>
      <c r="E317" s="30">
        <v>12</v>
      </c>
      <c r="F317" s="30">
        <v>4</v>
      </c>
      <c r="G317" s="30">
        <v>2</v>
      </c>
      <c r="H317" s="159"/>
      <c r="L317" s="21">
        <v>1</v>
      </c>
    </row>
    <row r="318" spans="2:12" ht="18">
      <c r="B318" s="30">
        <v>11</v>
      </c>
      <c r="C318" s="30">
        <v>44</v>
      </c>
      <c r="D318" s="30">
        <v>10</v>
      </c>
      <c r="E318" s="30">
        <v>3</v>
      </c>
      <c r="F318" s="30">
        <v>15</v>
      </c>
      <c r="G318" s="30">
        <v>6</v>
      </c>
      <c r="H318" s="159"/>
      <c r="L318" s="21">
        <v>1</v>
      </c>
    </row>
    <row r="319" spans="2:12" ht="18">
      <c r="B319" s="30">
        <v>11</v>
      </c>
      <c r="C319" s="30">
        <v>63</v>
      </c>
      <c r="D319" s="30">
        <v>8</v>
      </c>
      <c r="E319" s="30">
        <v>12</v>
      </c>
      <c r="F319" s="30">
        <v>2</v>
      </c>
      <c r="G319" s="30">
        <v>0</v>
      </c>
      <c r="H319" s="159"/>
      <c r="L319" s="21">
        <v>1</v>
      </c>
    </row>
    <row r="320" spans="2:12" ht="18">
      <c r="B320" s="30">
        <v>11</v>
      </c>
      <c r="C320" s="30">
        <v>63</v>
      </c>
      <c r="D320" s="30">
        <v>9</v>
      </c>
      <c r="E320" s="30">
        <v>14</v>
      </c>
      <c r="F320" s="30">
        <v>3</v>
      </c>
      <c r="G320" s="30">
        <v>0</v>
      </c>
      <c r="H320" s="159"/>
      <c r="L320" s="21">
        <v>1</v>
      </c>
    </row>
    <row r="321" spans="2:12" ht="18">
      <c r="B321" s="30">
        <v>11</v>
      </c>
      <c r="C321" s="30">
        <v>63</v>
      </c>
      <c r="D321" s="30">
        <v>10</v>
      </c>
      <c r="E321" s="30">
        <v>5</v>
      </c>
      <c r="F321" s="30">
        <v>0</v>
      </c>
      <c r="G321" s="30">
        <v>1</v>
      </c>
      <c r="H321" s="159"/>
      <c r="L321" s="21">
        <v>1</v>
      </c>
    </row>
    <row r="322" spans="2:12" ht="18">
      <c r="B322" s="30">
        <v>11</v>
      </c>
      <c r="C322" s="30">
        <v>31</v>
      </c>
      <c r="D322" s="30">
        <v>3</v>
      </c>
      <c r="E322" s="30">
        <v>20</v>
      </c>
      <c r="F322" s="30">
        <v>1</v>
      </c>
      <c r="G322" s="30">
        <v>4</v>
      </c>
      <c r="H322" s="159"/>
      <c r="L322" s="21">
        <v>1</v>
      </c>
    </row>
    <row r="323" spans="2:12" ht="18">
      <c r="B323" s="30">
        <v>11</v>
      </c>
      <c r="C323" s="30">
        <v>31</v>
      </c>
      <c r="D323" s="30">
        <v>4</v>
      </c>
      <c r="E323" s="30">
        <v>25</v>
      </c>
      <c r="F323" s="30">
        <v>0</v>
      </c>
      <c r="G323" s="30">
        <v>0</v>
      </c>
      <c r="H323" s="159"/>
      <c r="L323" s="21">
        <v>1</v>
      </c>
    </row>
    <row r="324" spans="2:12" ht="18">
      <c r="B324" s="30">
        <v>11</v>
      </c>
      <c r="C324" s="30">
        <v>31</v>
      </c>
      <c r="D324" s="30">
        <v>5</v>
      </c>
      <c r="E324" s="30">
        <v>21</v>
      </c>
      <c r="F324" s="30">
        <v>2</v>
      </c>
      <c r="G324" s="30">
        <v>2</v>
      </c>
      <c r="H324" s="159"/>
      <c r="L324" s="21">
        <v>1</v>
      </c>
    </row>
    <row r="325" spans="2:12" ht="18">
      <c r="B325" s="30">
        <v>11</v>
      </c>
      <c r="C325" s="30">
        <v>31</v>
      </c>
      <c r="D325" s="30">
        <v>6</v>
      </c>
      <c r="E325" s="30">
        <v>24</v>
      </c>
      <c r="F325" s="30">
        <v>0</v>
      </c>
      <c r="G325" s="30">
        <v>3</v>
      </c>
      <c r="H325" s="159"/>
      <c r="L325" s="21">
        <v>1</v>
      </c>
    </row>
    <row r="326" spans="2:12" ht="18">
      <c r="B326" s="30">
        <v>11</v>
      </c>
      <c r="C326" s="30">
        <v>41</v>
      </c>
      <c r="D326" s="30">
        <v>5</v>
      </c>
      <c r="E326" s="30">
        <v>25</v>
      </c>
      <c r="F326" s="30">
        <v>16</v>
      </c>
      <c r="G326" s="30">
        <v>9</v>
      </c>
      <c r="H326" s="159"/>
      <c r="L326" s="21">
        <v>1</v>
      </c>
    </row>
    <row r="327" spans="2:12" ht="18">
      <c r="B327" s="30">
        <v>11</v>
      </c>
      <c r="C327" s="30">
        <v>45</v>
      </c>
      <c r="D327" s="30">
        <v>10</v>
      </c>
      <c r="E327" s="30">
        <v>6</v>
      </c>
      <c r="F327" s="30">
        <v>20</v>
      </c>
      <c r="G327" s="30">
        <v>3</v>
      </c>
      <c r="H327" s="159"/>
      <c r="L327" s="21">
        <v>1</v>
      </c>
    </row>
    <row r="328" spans="2:12" ht="18">
      <c r="B328" s="30">
        <v>11</v>
      </c>
      <c r="C328" s="30">
        <v>41</v>
      </c>
      <c r="D328" s="30">
        <v>6</v>
      </c>
      <c r="E328" s="30">
        <v>29</v>
      </c>
      <c r="F328" s="30">
        <v>13</v>
      </c>
      <c r="G328" s="30">
        <v>6</v>
      </c>
      <c r="H328" s="159"/>
      <c r="L328" s="21">
        <v>1</v>
      </c>
    </row>
    <row r="329" spans="2:12" ht="18">
      <c r="B329" s="30">
        <v>11</v>
      </c>
      <c r="C329" s="30">
        <v>46</v>
      </c>
      <c r="D329" s="30">
        <v>7</v>
      </c>
      <c r="E329" s="30">
        <v>12</v>
      </c>
      <c r="F329" s="30">
        <v>3</v>
      </c>
      <c r="G329" s="30">
        <v>8</v>
      </c>
      <c r="H329" s="159"/>
      <c r="L329" s="21">
        <v>1</v>
      </c>
    </row>
    <row r="330" spans="2:12" ht="18">
      <c r="B330" s="30">
        <v>11</v>
      </c>
      <c r="C330" s="30">
        <v>46</v>
      </c>
      <c r="D330" s="30">
        <v>6</v>
      </c>
      <c r="E330" s="30">
        <v>10</v>
      </c>
      <c r="F330" s="30">
        <v>4</v>
      </c>
      <c r="G330" s="30">
        <v>12</v>
      </c>
      <c r="H330" s="159"/>
      <c r="L330" s="21">
        <v>1</v>
      </c>
    </row>
    <row r="331" spans="2:12" ht="18">
      <c r="B331" s="30">
        <v>11</v>
      </c>
      <c r="C331" s="30">
        <v>46</v>
      </c>
      <c r="D331" s="30">
        <v>5</v>
      </c>
      <c r="E331" s="30">
        <v>15</v>
      </c>
      <c r="F331" s="30">
        <v>5</v>
      </c>
      <c r="G331" s="30">
        <v>10</v>
      </c>
      <c r="H331" s="159"/>
      <c r="L331" s="21">
        <v>1</v>
      </c>
    </row>
    <row r="332" spans="2:12" ht="18">
      <c r="B332" s="30">
        <v>11</v>
      </c>
      <c r="C332" s="30">
        <v>57</v>
      </c>
      <c r="D332" s="30">
        <v>10</v>
      </c>
      <c r="E332" s="30">
        <v>4</v>
      </c>
      <c r="F332" s="30">
        <v>1</v>
      </c>
      <c r="G332" s="30">
        <v>1</v>
      </c>
      <c r="H332" s="159"/>
      <c r="L332" s="21">
        <v>1</v>
      </c>
    </row>
    <row r="333" spans="2:12" ht="18">
      <c r="B333" s="30">
        <v>11</v>
      </c>
      <c r="C333" s="30">
        <v>57</v>
      </c>
      <c r="D333" s="30">
        <v>11</v>
      </c>
      <c r="E333" s="30">
        <v>6</v>
      </c>
      <c r="F333" s="30">
        <v>2</v>
      </c>
      <c r="G333" s="30">
        <v>0</v>
      </c>
      <c r="H333" s="159"/>
      <c r="L333" s="21">
        <v>1</v>
      </c>
    </row>
    <row r="334" spans="2:12" ht="18">
      <c r="B334" s="30">
        <v>11</v>
      </c>
      <c r="C334" s="30">
        <v>55</v>
      </c>
      <c r="D334" s="30">
        <v>10</v>
      </c>
      <c r="E334" s="30">
        <v>11</v>
      </c>
      <c r="F334" s="30">
        <v>1</v>
      </c>
      <c r="G334" s="30">
        <v>2</v>
      </c>
      <c r="H334" s="159"/>
      <c r="L334" s="21">
        <v>1</v>
      </c>
    </row>
    <row r="335" spans="2:12" ht="18">
      <c r="B335" s="30">
        <v>11</v>
      </c>
      <c r="C335" s="30">
        <v>55</v>
      </c>
      <c r="D335" s="30">
        <v>9</v>
      </c>
      <c r="E335" s="30">
        <v>13</v>
      </c>
      <c r="F335" s="30">
        <v>3</v>
      </c>
      <c r="G335" s="30">
        <v>2</v>
      </c>
      <c r="H335" s="159"/>
      <c r="L335" s="21">
        <v>1</v>
      </c>
    </row>
    <row r="336" spans="2:12" ht="18">
      <c r="B336" s="30">
        <v>11</v>
      </c>
      <c r="C336" s="30">
        <v>55</v>
      </c>
      <c r="D336" s="30">
        <v>8</v>
      </c>
      <c r="E336" s="30">
        <v>10</v>
      </c>
      <c r="F336" s="30">
        <v>0</v>
      </c>
      <c r="G336" s="30">
        <v>0</v>
      </c>
      <c r="H336" s="159"/>
      <c r="L336" s="21">
        <v>1</v>
      </c>
    </row>
    <row r="337" spans="2:12" ht="18">
      <c r="B337" s="30">
        <v>11</v>
      </c>
      <c r="C337" s="30">
        <v>55</v>
      </c>
      <c r="D337" s="30">
        <v>7</v>
      </c>
      <c r="E337" s="30">
        <v>11</v>
      </c>
      <c r="F337" s="30">
        <v>1</v>
      </c>
      <c r="G337" s="30">
        <v>0</v>
      </c>
      <c r="H337" s="159"/>
      <c r="L337" s="21">
        <v>1</v>
      </c>
    </row>
    <row r="338" spans="2:12" ht="18">
      <c r="B338" s="30">
        <v>11</v>
      </c>
      <c r="C338" s="30">
        <v>55</v>
      </c>
      <c r="D338" s="30">
        <v>6</v>
      </c>
      <c r="E338" s="30">
        <v>12</v>
      </c>
      <c r="F338" s="30">
        <v>0</v>
      </c>
      <c r="G338" s="30">
        <v>0</v>
      </c>
      <c r="H338" s="159"/>
      <c r="L338" s="21">
        <v>1</v>
      </c>
    </row>
    <row r="339" spans="2:12" ht="18">
      <c r="B339" s="30">
        <v>11</v>
      </c>
      <c r="C339" s="30">
        <v>41</v>
      </c>
      <c r="D339" s="30">
        <v>7</v>
      </c>
      <c r="E339" s="30">
        <v>26</v>
      </c>
      <c r="F339" s="30">
        <v>10</v>
      </c>
      <c r="G339" s="30">
        <v>8</v>
      </c>
      <c r="H339" s="159"/>
      <c r="L339" s="21">
        <v>1</v>
      </c>
    </row>
    <row r="340" spans="2:12" ht="18">
      <c r="B340" s="30">
        <v>11</v>
      </c>
      <c r="C340" s="30">
        <v>50</v>
      </c>
      <c r="D340" s="30">
        <v>8</v>
      </c>
      <c r="E340" s="30">
        <v>15</v>
      </c>
      <c r="F340" s="30">
        <v>3</v>
      </c>
      <c r="G340" s="30">
        <v>4</v>
      </c>
      <c r="H340" s="159"/>
      <c r="L340" s="21">
        <v>1</v>
      </c>
    </row>
    <row r="341" spans="2:12" ht="18">
      <c r="B341" s="30">
        <v>11</v>
      </c>
      <c r="C341" s="30">
        <v>50</v>
      </c>
      <c r="D341" s="30">
        <v>9</v>
      </c>
      <c r="E341" s="30">
        <v>18</v>
      </c>
      <c r="F341" s="30">
        <v>5</v>
      </c>
      <c r="G341" s="30">
        <v>3</v>
      </c>
      <c r="H341" s="159"/>
      <c r="L341" s="21">
        <v>1</v>
      </c>
    </row>
    <row r="342" spans="2:12" ht="18">
      <c r="B342" s="30">
        <v>11</v>
      </c>
      <c r="C342" s="30">
        <v>50</v>
      </c>
      <c r="D342" s="30">
        <v>7</v>
      </c>
      <c r="E342" s="30">
        <v>16</v>
      </c>
      <c r="F342" s="30">
        <v>1</v>
      </c>
      <c r="G342" s="30">
        <v>6</v>
      </c>
      <c r="H342" s="159"/>
      <c r="L342" s="21">
        <v>1</v>
      </c>
    </row>
    <row r="343" spans="2:12" ht="18">
      <c r="B343" s="30">
        <v>11</v>
      </c>
      <c r="C343" s="30">
        <v>38</v>
      </c>
      <c r="D343" s="30">
        <v>8</v>
      </c>
      <c r="E343" s="30">
        <v>6</v>
      </c>
      <c r="F343" s="30">
        <v>2</v>
      </c>
      <c r="G343" s="30">
        <v>0</v>
      </c>
      <c r="H343" s="159"/>
      <c r="L343" s="21">
        <v>1</v>
      </c>
    </row>
    <row r="344" spans="2:12" ht="18">
      <c r="B344" s="30">
        <v>11</v>
      </c>
      <c r="C344" s="30">
        <v>38</v>
      </c>
      <c r="D344" s="30">
        <v>9</v>
      </c>
      <c r="E344" s="30">
        <v>7</v>
      </c>
      <c r="F344" s="30">
        <v>3</v>
      </c>
      <c r="G344" s="30">
        <v>0</v>
      </c>
      <c r="H344" s="159"/>
      <c r="L344" s="21">
        <v>1</v>
      </c>
    </row>
    <row r="345" spans="2:12" ht="18">
      <c r="B345" s="30">
        <v>11</v>
      </c>
      <c r="C345" s="30">
        <v>38</v>
      </c>
      <c r="D345" s="30">
        <v>10</v>
      </c>
      <c r="E345" s="30">
        <v>4</v>
      </c>
      <c r="F345" s="30">
        <v>1</v>
      </c>
      <c r="G345" s="30">
        <v>0</v>
      </c>
      <c r="H345" s="159"/>
      <c r="L345" s="21">
        <v>1</v>
      </c>
    </row>
    <row r="346" spans="2:12" ht="18">
      <c r="B346" s="30">
        <v>11</v>
      </c>
      <c r="C346" s="30">
        <v>51</v>
      </c>
      <c r="D346" s="30">
        <v>10</v>
      </c>
      <c r="E346" s="30">
        <v>12</v>
      </c>
      <c r="F346" s="30">
        <v>0</v>
      </c>
      <c r="G346" s="30">
        <v>0</v>
      </c>
      <c r="H346" s="159"/>
      <c r="L346" s="21">
        <v>1</v>
      </c>
    </row>
    <row r="347" spans="2:12" ht="18">
      <c r="B347" s="30">
        <v>11</v>
      </c>
      <c r="C347" s="30">
        <v>51</v>
      </c>
      <c r="D347" s="30">
        <v>9</v>
      </c>
      <c r="E347" s="30">
        <v>13</v>
      </c>
      <c r="F347" s="30">
        <v>0</v>
      </c>
      <c r="G347" s="30">
        <v>0</v>
      </c>
      <c r="H347" s="159"/>
      <c r="L347" s="21">
        <v>1</v>
      </c>
    </row>
    <row r="348" spans="2:12" ht="18">
      <c r="B348" s="30">
        <v>11</v>
      </c>
      <c r="C348" s="30">
        <v>51</v>
      </c>
      <c r="D348" s="30">
        <v>8</v>
      </c>
      <c r="E348" s="30">
        <v>3</v>
      </c>
      <c r="F348" s="30">
        <v>0</v>
      </c>
      <c r="G348" s="30">
        <v>0</v>
      </c>
      <c r="H348" s="159"/>
      <c r="L348" s="21">
        <v>1</v>
      </c>
    </row>
    <row r="349" spans="2:12" ht="18">
      <c r="B349" s="30">
        <v>11</v>
      </c>
      <c r="C349" s="30">
        <v>58</v>
      </c>
      <c r="D349" s="30">
        <v>8</v>
      </c>
      <c r="E349" s="30">
        <v>11</v>
      </c>
      <c r="F349" s="30">
        <v>10</v>
      </c>
      <c r="G349" s="30">
        <v>3</v>
      </c>
      <c r="H349" s="159"/>
      <c r="L349" s="21">
        <v>1</v>
      </c>
    </row>
    <row r="350" spans="2:12" ht="18">
      <c r="B350" s="30">
        <v>11</v>
      </c>
      <c r="C350" s="30">
        <v>58</v>
      </c>
      <c r="D350" s="30">
        <v>9</v>
      </c>
      <c r="E350" s="30">
        <v>14</v>
      </c>
      <c r="F350" s="30">
        <v>6</v>
      </c>
      <c r="G350" s="30">
        <v>3</v>
      </c>
      <c r="H350" s="159"/>
      <c r="L350" s="21">
        <v>1</v>
      </c>
    </row>
    <row r="351" spans="2:12" ht="18">
      <c r="B351" s="30">
        <v>11</v>
      </c>
      <c r="C351" s="30">
        <v>35</v>
      </c>
      <c r="D351" s="30">
        <v>8</v>
      </c>
      <c r="E351" s="30">
        <v>19</v>
      </c>
      <c r="F351" s="30">
        <v>0</v>
      </c>
      <c r="G351" s="30">
        <v>0</v>
      </c>
      <c r="H351" s="159"/>
      <c r="L351" s="21">
        <v>1</v>
      </c>
    </row>
    <row r="352" spans="2:12" ht="18">
      <c r="B352" s="30">
        <v>11</v>
      </c>
      <c r="C352" s="30">
        <v>35</v>
      </c>
      <c r="D352" s="30">
        <v>9</v>
      </c>
      <c r="E352" s="30">
        <v>20</v>
      </c>
      <c r="F352" s="30">
        <v>1</v>
      </c>
      <c r="G352" s="30">
        <v>0</v>
      </c>
      <c r="H352" s="159"/>
      <c r="L352" s="21">
        <v>1</v>
      </c>
    </row>
    <row r="353" spans="2:12" ht="18">
      <c r="B353" s="30">
        <v>11</v>
      </c>
      <c r="C353" s="30">
        <v>35</v>
      </c>
      <c r="D353" s="30">
        <v>10</v>
      </c>
      <c r="E353" s="30">
        <v>22</v>
      </c>
      <c r="F353" s="30">
        <v>0</v>
      </c>
      <c r="G353" s="30">
        <v>0</v>
      </c>
      <c r="H353" s="159"/>
      <c r="L353" s="21">
        <v>1</v>
      </c>
    </row>
    <row r="354" spans="2:12" ht="18">
      <c r="B354" s="30">
        <v>11</v>
      </c>
      <c r="C354" s="30">
        <v>35</v>
      </c>
      <c r="D354" s="30">
        <v>11</v>
      </c>
      <c r="E354" s="30">
        <v>25</v>
      </c>
      <c r="F354" s="30">
        <v>0</v>
      </c>
      <c r="G354" s="30">
        <v>0</v>
      </c>
      <c r="H354" s="159"/>
      <c r="L354" s="21">
        <v>1</v>
      </c>
    </row>
    <row r="355" spans="2:12" ht="18">
      <c r="B355" s="30">
        <v>11</v>
      </c>
      <c r="C355" s="30">
        <v>34</v>
      </c>
      <c r="D355" s="30">
        <v>7</v>
      </c>
      <c r="E355" s="30">
        <v>25</v>
      </c>
      <c r="F355" s="30">
        <v>6</v>
      </c>
      <c r="G355" s="30">
        <v>6</v>
      </c>
      <c r="H355" s="159"/>
      <c r="L355" s="21">
        <v>1</v>
      </c>
    </row>
    <row r="356" spans="2:12" ht="18">
      <c r="B356" s="30">
        <v>11</v>
      </c>
      <c r="C356" s="30">
        <v>34</v>
      </c>
      <c r="D356" s="30">
        <v>8</v>
      </c>
      <c r="E356" s="30">
        <v>19</v>
      </c>
      <c r="F356" s="30">
        <v>0</v>
      </c>
      <c r="G356" s="30">
        <v>8</v>
      </c>
      <c r="H356" s="159"/>
      <c r="L356" s="21">
        <v>1</v>
      </c>
    </row>
    <row r="357" spans="2:12" ht="18">
      <c r="B357" s="30">
        <v>11</v>
      </c>
      <c r="C357" s="30">
        <v>34</v>
      </c>
      <c r="D357" s="30">
        <v>9</v>
      </c>
      <c r="E357" s="30">
        <v>23</v>
      </c>
      <c r="F357" s="30">
        <v>2</v>
      </c>
      <c r="G357" s="30">
        <v>4</v>
      </c>
      <c r="H357" s="159"/>
      <c r="L357" s="21">
        <v>1</v>
      </c>
    </row>
    <row r="358" spans="2:12" ht="18">
      <c r="B358" s="30">
        <v>11</v>
      </c>
      <c r="C358" s="30">
        <v>44</v>
      </c>
      <c r="D358" s="30">
        <v>11</v>
      </c>
      <c r="E358" s="30">
        <v>21</v>
      </c>
      <c r="F358" s="30">
        <v>16</v>
      </c>
      <c r="G358" s="30">
        <v>5</v>
      </c>
      <c r="H358" s="159"/>
      <c r="L358" s="21">
        <v>1</v>
      </c>
    </row>
    <row r="359" spans="2:12" ht="18">
      <c r="B359" s="30">
        <v>11</v>
      </c>
      <c r="C359" s="30">
        <v>32</v>
      </c>
      <c r="D359" s="30">
        <v>8</v>
      </c>
      <c r="E359" s="30">
        <v>16</v>
      </c>
      <c r="F359" s="30">
        <v>3</v>
      </c>
      <c r="G359" s="30">
        <v>0</v>
      </c>
      <c r="H359" s="159"/>
      <c r="L359" s="21">
        <v>1</v>
      </c>
    </row>
    <row r="360" spans="2:12" ht="18">
      <c r="B360" s="30">
        <v>11</v>
      </c>
      <c r="C360" s="30">
        <v>32</v>
      </c>
      <c r="D360" s="30">
        <v>9</v>
      </c>
      <c r="E360" s="30">
        <v>22</v>
      </c>
      <c r="F360" s="30">
        <v>0</v>
      </c>
      <c r="G360" s="30">
        <v>2</v>
      </c>
      <c r="H360" s="159"/>
      <c r="L360" s="21">
        <v>1</v>
      </c>
    </row>
    <row r="361" spans="2:12" ht="18">
      <c r="B361" s="30">
        <v>11</v>
      </c>
      <c r="C361" s="30">
        <v>32</v>
      </c>
      <c r="D361" s="30">
        <v>10</v>
      </c>
      <c r="E361" s="30">
        <v>18</v>
      </c>
      <c r="F361" s="30">
        <v>0</v>
      </c>
      <c r="G361" s="30">
        <v>2</v>
      </c>
      <c r="H361" s="159"/>
      <c r="L361" s="21">
        <v>1</v>
      </c>
    </row>
    <row r="362" spans="2:12" ht="18">
      <c r="B362" s="30">
        <v>11</v>
      </c>
      <c r="C362" s="30">
        <v>32</v>
      </c>
      <c r="D362" s="30">
        <v>11</v>
      </c>
      <c r="E362" s="30">
        <v>10</v>
      </c>
      <c r="F362" s="30">
        <v>0</v>
      </c>
      <c r="G362" s="30">
        <v>0</v>
      </c>
      <c r="H362" s="159"/>
      <c r="L362" s="21">
        <v>1</v>
      </c>
    </row>
    <row r="363" spans="2:12" ht="18">
      <c r="B363" s="30">
        <v>11</v>
      </c>
      <c r="C363" s="30">
        <v>34</v>
      </c>
      <c r="D363" s="30">
        <v>10</v>
      </c>
      <c r="E363" s="30">
        <v>27</v>
      </c>
      <c r="F363" s="30">
        <v>2</v>
      </c>
      <c r="G363" s="30">
        <v>6</v>
      </c>
      <c r="H363" s="159"/>
      <c r="L363" s="21">
        <v>1</v>
      </c>
    </row>
    <row r="364" spans="2:12" ht="18">
      <c r="B364" s="30">
        <v>11</v>
      </c>
      <c r="C364" s="30">
        <v>24</v>
      </c>
      <c r="D364" s="30">
        <v>11</v>
      </c>
      <c r="E364" s="30">
        <v>16</v>
      </c>
      <c r="F364" s="30">
        <v>2</v>
      </c>
      <c r="G364" s="30">
        <v>2</v>
      </c>
      <c r="H364" s="159"/>
      <c r="L364" s="21">
        <v>1</v>
      </c>
    </row>
    <row r="365" spans="2:12" ht="18">
      <c r="B365" s="30">
        <v>11</v>
      </c>
      <c r="C365" s="30">
        <v>24</v>
      </c>
      <c r="D365" s="30">
        <v>10</v>
      </c>
      <c r="E365" s="30">
        <v>14</v>
      </c>
      <c r="F365" s="30">
        <v>4</v>
      </c>
      <c r="G365" s="30">
        <v>1</v>
      </c>
      <c r="H365" s="159"/>
      <c r="L365" s="21">
        <v>1</v>
      </c>
    </row>
    <row r="366" spans="2:12" ht="18">
      <c r="B366" s="30">
        <v>11</v>
      </c>
      <c r="C366" s="30">
        <v>24</v>
      </c>
      <c r="D366" s="30">
        <v>9</v>
      </c>
      <c r="E366" s="30">
        <v>15</v>
      </c>
      <c r="F366" s="30">
        <v>5</v>
      </c>
      <c r="G366" s="30">
        <v>1</v>
      </c>
      <c r="H366" s="159"/>
      <c r="L366" s="21">
        <v>1</v>
      </c>
    </row>
    <row r="367" spans="2:12" ht="18">
      <c r="B367" s="30">
        <v>11</v>
      </c>
      <c r="C367" s="30">
        <v>24</v>
      </c>
      <c r="D367" s="30">
        <v>8</v>
      </c>
      <c r="E367" s="30">
        <v>14</v>
      </c>
      <c r="F367" s="30">
        <v>1</v>
      </c>
      <c r="G367" s="30">
        <v>1</v>
      </c>
      <c r="H367" s="159"/>
      <c r="L367" s="21">
        <v>1</v>
      </c>
    </row>
    <row r="368" spans="2:12" ht="18">
      <c r="B368" s="30">
        <v>11</v>
      </c>
      <c r="C368" s="30">
        <v>24</v>
      </c>
      <c r="D368" s="30">
        <v>7</v>
      </c>
      <c r="E368" s="30">
        <v>16</v>
      </c>
      <c r="F368" s="30">
        <v>2</v>
      </c>
      <c r="G368" s="30">
        <v>0</v>
      </c>
      <c r="H368" s="159"/>
      <c r="L368" s="21">
        <v>1</v>
      </c>
    </row>
    <row r="369" spans="2:12" ht="18">
      <c r="B369" s="30">
        <v>11</v>
      </c>
      <c r="C369" s="30">
        <v>24</v>
      </c>
      <c r="D369" s="30">
        <v>6</v>
      </c>
      <c r="E369" s="30">
        <v>18</v>
      </c>
      <c r="F369" s="30">
        <v>1</v>
      </c>
      <c r="G369" s="30">
        <v>3</v>
      </c>
      <c r="H369" s="159"/>
      <c r="L369" s="21">
        <v>1</v>
      </c>
    </row>
    <row r="370" spans="2:12" ht="18">
      <c r="B370" s="30">
        <v>11</v>
      </c>
      <c r="C370" s="30">
        <v>24</v>
      </c>
      <c r="D370" s="30">
        <v>5</v>
      </c>
      <c r="E370" s="30">
        <v>20</v>
      </c>
      <c r="F370" s="30">
        <v>1</v>
      </c>
      <c r="G370" s="30">
        <v>1</v>
      </c>
      <c r="H370" s="159"/>
      <c r="L370" s="21">
        <v>1</v>
      </c>
    </row>
    <row r="371" spans="2:12" ht="18">
      <c r="B371" s="30">
        <v>11</v>
      </c>
      <c r="C371" s="30">
        <v>37</v>
      </c>
      <c r="D371" s="30">
        <v>6</v>
      </c>
      <c r="E371" s="30">
        <v>25</v>
      </c>
      <c r="F371" s="30">
        <v>15</v>
      </c>
      <c r="G371" s="30">
        <v>2</v>
      </c>
      <c r="H371" s="159"/>
      <c r="L371" s="21">
        <v>1</v>
      </c>
    </row>
    <row r="372" spans="2:12" ht="18">
      <c r="B372" s="30">
        <v>11</v>
      </c>
      <c r="C372" s="30">
        <v>45</v>
      </c>
      <c r="D372" s="30">
        <v>11</v>
      </c>
      <c r="E372" s="30">
        <v>14</v>
      </c>
      <c r="F372" s="30">
        <v>25</v>
      </c>
      <c r="G372" s="30">
        <v>6</v>
      </c>
      <c r="H372" s="159"/>
      <c r="L372" s="21">
        <v>1</v>
      </c>
    </row>
    <row r="373" spans="2:12" ht="18">
      <c r="B373" s="30">
        <v>11</v>
      </c>
      <c r="C373" s="30">
        <v>39</v>
      </c>
      <c r="D373" s="30">
        <v>9</v>
      </c>
      <c r="E373" s="30">
        <v>12</v>
      </c>
      <c r="F373" s="30">
        <v>5</v>
      </c>
      <c r="G373" s="30">
        <v>8</v>
      </c>
      <c r="H373" s="159"/>
      <c r="L373" s="21">
        <v>1</v>
      </c>
    </row>
    <row r="374" spans="2:12" ht="18">
      <c r="B374" s="30">
        <v>11</v>
      </c>
      <c r="C374" s="30">
        <v>39</v>
      </c>
      <c r="D374" s="30">
        <v>10</v>
      </c>
      <c r="E374" s="30">
        <v>5</v>
      </c>
      <c r="F374" s="30">
        <v>6</v>
      </c>
      <c r="G374" s="30">
        <v>14</v>
      </c>
      <c r="H374" s="159"/>
      <c r="L374" s="21">
        <v>1</v>
      </c>
    </row>
    <row r="375" spans="2:12" ht="18">
      <c r="B375" s="30">
        <v>11</v>
      </c>
      <c r="C375" s="30">
        <v>39</v>
      </c>
      <c r="D375" s="30">
        <v>11</v>
      </c>
      <c r="E375" s="30">
        <v>10</v>
      </c>
      <c r="F375" s="30">
        <v>7</v>
      </c>
      <c r="G375" s="30">
        <v>8</v>
      </c>
      <c r="H375" s="159"/>
      <c r="L375" s="21">
        <v>1</v>
      </c>
    </row>
    <row r="376" spans="2:12" ht="18">
      <c r="B376" s="30">
        <v>11</v>
      </c>
      <c r="C376" s="30">
        <v>26</v>
      </c>
      <c r="D376" s="30">
        <v>10</v>
      </c>
      <c r="E376" s="30">
        <v>12</v>
      </c>
      <c r="F376" s="30">
        <v>17</v>
      </c>
      <c r="G376" s="30">
        <v>5</v>
      </c>
      <c r="H376" s="159"/>
      <c r="L376" s="21">
        <v>1</v>
      </c>
    </row>
    <row r="377" spans="2:12" ht="18">
      <c r="B377" s="30">
        <v>11</v>
      </c>
      <c r="C377" s="30">
        <v>26</v>
      </c>
      <c r="D377" s="30">
        <v>11</v>
      </c>
      <c r="E377" s="30">
        <v>15</v>
      </c>
      <c r="F377" s="30">
        <v>8</v>
      </c>
      <c r="G377" s="30">
        <v>3</v>
      </c>
      <c r="H377" s="159"/>
      <c r="L377" s="21">
        <v>1</v>
      </c>
    </row>
    <row r="378" spans="2:12" ht="18">
      <c r="B378" s="30">
        <v>11</v>
      </c>
      <c r="C378" s="30">
        <v>26</v>
      </c>
      <c r="D378" s="30">
        <v>12</v>
      </c>
      <c r="E378" s="30">
        <v>11</v>
      </c>
      <c r="F378" s="30">
        <v>18</v>
      </c>
      <c r="G378" s="30">
        <v>4</v>
      </c>
      <c r="H378" s="159"/>
      <c r="L378" s="21">
        <v>1</v>
      </c>
    </row>
    <row r="379" spans="2:12" ht="18">
      <c r="B379" s="30">
        <v>11</v>
      </c>
      <c r="C379" s="30">
        <v>43</v>
      </c>
      <c r="D379" s="30">
        <v>9</v>
      </c>
      <c r="E379" s="30">
        <v>4</v>
      </c>
      <c r="F379" s="30">
        <v>6</v>
      </c>
      <c r="G379" s="30">
        <v>7</v>
      </c>
      <c r="H379" s="159"/>
      <c r="L379" s="21">
        <v>1</v>
      </c>
    </row>
    <row r="380" spans="2:12" ht="18">
      <c r="B380" s="30">
        <v>11</v>
      </c>
      <c r="C380" s="30">
        <v>43</v>
      </c>
      <c r="D380" s="30">
        <v>10</v>
      </c>
      <c r="E380" s="30">
        <v>25</v>
      </c>
      <c r="F380" s="30">
        <v>5</v>
      </c>
      <c r="G380" s="30">
        <v>4</v>
      </c>
      <c r="H380" s="159"/>
      <c r="L380" s="21">
        <v>1</v>
      </c>
    </row>
    <row r="381" spans="2:12" ht="18">
      <c r="B381" s="30">
        <v>11</v>
      </c>
      <c r="C381" s="30">
        <v>41</v>
      </c>
      <c r="D381" s="30">
        <v>10</v>
      </c>
      <c r="E381" s="30">
        <v>18</v>
      </c>
      <c r="F381" s="30">
        <v>11</v>
      </c>
      <c r="G381" s="30">
        <v>6</v>
      </c>
      <c r="H381" s="159"/>
      <c r="L381" s="21">
        <v>1</v>
      </c>
    </row>
    <row r="382" spans="2:12" ht="18">
      <c r="B382" s="30">
        <v>11</v>
      </c>
      <c r="C382" s="30">
        <v>41</v>
      </c>
      <c r="D382" s="30">
        <v>9</v>
      </c>
      <c r="E382" s="30">
        <v>19</v>
      </c>
      <c r="F382" s="30">
        <v>9</v>
      </c>
      <c r="G382" s="30">
        <v>7</v>
      </c>
      <c r="H382" s="159"/>
      <c r="L382" s="21">
        <v>1</v>
      </c>
    </row>
    <row r="383" spans="2:12" ht="18">
      <c r="B383" s="30">
        <v>11</v>
      </c>
      <c r="C383" s="30">
        <v>41</v>
      </c>
      <c r="D383" s="30">
        <v>8</v>
      </c>
      <c r="E383" s="30">
        <v>23</v>
      </c>
      <c r="F383" s="30">
        <v>12</v>
      </c>
      <c r="G383" s="30">
        <v>6</v>
      </c>
      <c r="H383" s="159"/>
      <c r="L383" s="21">
        <v>1</v>
      </c>
    </row>
    <row r="384" spans="2:12" ht="18">
      <c r="B384" s="30">
        <v>11</v>
      </c>
      <c r="C384" s="30">
        <v>45</v>
      </c>
      <c r="D384" s="30">
        <v>13</v>
      </c>
      <c r="E384" s="30">
        <v>10</v>
      </c>
      <c r="F384" s="30">
        <v>19</v>
      </c>
      <c r="G384" s="30">
        <v>4</v>
      </c>
      <c r="H384" s="159"/>
      <c r="L384" s="21">
        <v>1</v>
      </c>
    </row>
    <row r="385" spans="2:12" ht="18">
      <c r="B385" s="30">
        <v>11</v>
      </c>
      <c r="C385" s="30">
        <v>45</v>
      </c>
      <c r="D385" s="30">
        <v>12</v>
      </c>
      <c r="E385" s="30">
        <v>2</v>
      </c>
      <c r="F385" s="30">
        <v>18</v>
      </c>
      <c r="G385" s="30">
        <v>2</v>
      </c>
      <c r="H385" s="159"/>
      <c r="L385" s="21">
        <v>1</v>
      </c>
    </row>
    <row r="386" spans="2:12" ht="18">
      <c r="B386" s="30">
        <v>11</v>
      </c>
      <c r="C386" s="30">
        <v>44</v>
      </c>
      <c r="D386" s="30">
        <v>13</v>
      </c>
      <c r="E386" s="30">
        <v>4</v>
      </c>
      <c r="F386" s="30">
        <v>16</v>
      </c>
      <c r="G386" s="30">
        <v>4</v>
      </c>
      <c r="H386" s="159"/>
      <c r="L386" s="21">
        <v>1</v>
      </c>
    </row>
    <row r="387" spans="2:12" ht="18">
      <c r="B387" s="30">
        <v>11</v>
      </c>
      <c r="C387" s="30">
        <v>44</v>
      </c>
      <c r="D387" s="30">
        <v>12</v>
      </c>
      <c r="E387" s="30">
        <v>4</v>
      </c>
      <c r="F387" s="30">
        <v>17</v>
      </c>
      <c r="G387" s="30">
        <v>3</v>
      </c>
      <c r="H387" s="159"/>
      <c r="L387" s="21">
        <v>1</v>
      </c>
    </row>
    <row r="388" spans="2:12" ht="18">
      <c r="B388" s="30">
        <v>11</v>
      </c>
      <c r="C388" s="30">
        <v>40</v>
      </c>
      <c r="D388" s="30">
        <v>10</v>
      </c>
      <c r="E388" s="30">
        <v>15</v>
      </c>
      <c r="F388" s="30">
        <v>4</v>
      </c>
      <c r="G388" s="30">
        <v>10</v>
      </c>
      <c r="H388" s="159"/>
      <c r="L388" s="21">
        <v>1</v>
      </c>
    </row>
    <row r="389" spans="2:12" ht="18">
      <c r="B389" s="30">
        <v>11</v>
      </c>
      <c r="C389" s="30">
        <v>40</v>
      </c>
      <c r="D389" s="30">
        <v>11</v>
      </c>
      <c r="E389" s="30">
        <v>11</v>
      </c>
      <c r="F389" s="30">
        <v>5</v>
      </c>
      <c r="G389" s="30">
        <v>3</v>
      </c>
      <c r="H389" s="159"/>
      <c r="L389" s="21">
        <v>1</v>
      </c>
    </row>
    <row r="390" spans="2:12" ht="18">
      <c r="B390" s="30">
        <v>11</v>
      </c>
      <c r="C390" s="30">
        <v>37</v>
      </c>
      <c r="D390" s="30">
        <v>7</v>
      </c>
      <c r="E390" s="30">
        <v>39</v>
      </c>
      <c r="F390" s="30">
        <v>8</v>
      </c>
      <c r="G390" s="30">
        <v>18</v>
      </c>
      <c r="H390" s="159"/>
      <c r="L390" s="21">
        <v>1</v>
      </c>
    </row>
    <row r="391" spans="2:12" ht="18">
      <c r="B391" s="30">
        <v>11</v>
      </c>
      <c r="C391" s="30">
        <v>37</v>
      </c>
      <c r="D391" s="30">
        <v>8</v>
      </c>
      <c r="E391" s="30">
        <v>15</v>
      </c>
      <c r="F391" s="30">
        <v>12</v>
      </c>
      <c r="G391" s="30">
        <v>5</v>
      </c>
      <c r="H391" s="159"/>
      <c r="L391" s="21">
        <v>1</v>
      </c>
    </row>
    <row r="392" spans="2:12" ht="18">
      <c r="B392" s="30">
        <v>11</v>
      </c>
      <c r="C392" s="30">
        <v>37</v>
      </c>
      <c r="D392" s="30">
        <v>9</v>
      </c>
      <c r="E392" s="30">
        <v>10</v>
      </c>
      <c r="F392" s="30">
        <v>5</v>
      </c>
      <c r="G392" s="30">
        <v>6</v>
      </c>
      <c r="H392" s="159"/>
      <c r="L392" s="21">
        <v>1</v>
      </c>
    </row>
    <row r="393" spans="2:12" ht="18">
      <c r="B393" s="30">
        <v>11</v>
      </c>
      <c r="C393" s="30">
        <v>49</v>
      </c>
      <c r="D393" s="30">
        <v>9</v>
      </c>
      <c r="E393" s="30">
        <v>8</v>
      </c>
      <c r="F393" s="30">
        <v>0</v>
      </c>
      <c r="G393" s="30">
        <v>0</v>
      </c>
      <c r="H393" s="159"/>
      <c r="L393" s="21">
        <v>1</v>
      </c>
    </row>
    <row r="394" spans="2:12" ht="18">
      <c r="B394" s="30">
        <v>11</v>
      </c>
      <c r="C394" s="30">
        <v>49</v>
      </c>
      <c r="D394" s="30">
        <v>10</v>
      </c>
      <c r="E394" s="30">
        <v>3</v>
      </c>
      <c r="F394" s="30">
        <v>0</v>
      </c>
      <c r="G394" s="30">
        <v>0</v>
      </c>
      <c r="H394" s="159"/>
      <c r="L394" s="21">
        <v>1</v>
      </c>
    </row>
    <row r="395" spans="2:12" ht="18">
      <c r="B395" s="30">
        <v>11</v>
      </c>
      <c r="C395" s="30">
        <v>59</v>
      </c>
      <c r="D395" s="30">
        <v>9</v>
      </c>
      <c r="E395" s="30">
        <v>9</v>
      </c>
      <c r="F395" s="30">
        <v>8</v>
      </c>
      <c r="G395" s="30">
        <v>3</v>
      </c>
      <c r="H395" s="159"/>
      <c r="L395" s="21">
        <v>1</v>
      </c>
    </row>
    <row r="396" spans="2:12" ht="18">
      <c r="B396" s="30">
        <v>11</v>
      </c>
      <c r="C396" s="30">
        <v>59</v>
      </c>
      <c r="D396" s="30">
        <v>10</v>
      </c>
      <c r="E396" s="30">
        <v>7</v>
      </c>
      <c r="F396" s="30">
        <v>14</v>
      </c>
      <c r="G396" s="30">
        <v>12</v>
      </c>
      <c r="H396" s="159"/>
      <c r="L396" s="21">
        <v>1</v>
      </c>
    </row>
    <row r="397" spans="2:12" ht="18">
      <c r="B397" s="30">
        <v>11</v>
      </c>
      <c r="C397" s="30">
        <v>53</v>
      </c>
      <c r="D397" s="30">
        <v>14</v>
      </c>
      <c r="E397" s="30">
        <v>27</v>
      </c>
      <c r="F397" s="30">
        <v>0</v>
      </c>
      <c r="G397" s="30">
        <v>2</v>
      </c>
      <c r="H397" s="159"/>
      <c r="L397" s="21">
        <v>1</v>
      </c>
    </row>
    <row r="398" spans="2:12" ht="18">
      <c r="B398" s="30">
        <v>11</v>
      </c>
      <c r="C398" s="30">
        <v>53</v>
      </c>
      <c r="D398" s="30">
        <v>13</v>
      </c>
      <c r="E398" s="30">
        <v>25</v>
      </c>
      <c r="F398" s="30">
        <v>2</v>
      </c>
      <c r="G398" s="30">
        <v>8</v>
      </c>
      <c r="H398" s="159"/>
      <c r="L398" s="21">
        <v>1</v>
      </c>
    </row>
    <row r="399" spans="2:12" ht="18">
      <c r="B399" s="30">
        <v>11</v>
      </c>
      <c r="C399" s="30">
        <v>53</v>
      </c>
      <c r="D399" s="30">
        <v>12</v>
      </c>
      <c r="E399" s="30">
        <v>32</v>
      </c>
      <c r="F399" s="30">
        <v>0</v>
      </c>
      <c r="G399" s="30">
        <v>1</v>
      </c>
      <c r="H399" s="159"/>
      <c r="L399" s="21">
        <v>1</v>
      </c>
    </row>
    <row r="400" spans="2:12" ht="18">
      <c r="B400" s="30">
        <v>11</v>
      </c>
      <c r="C400" s="30">
        <v>53</v>
      </c>
      <c r="D400" s="30">
        <v>11</v>
      </c>
      <c r="E400" s="30">
        <v>27</v>
      </c>
      <c r="F400" s="30">
        <v>0</v>
      </c>
      <c r="G400" s="30">
        <v>3</v>
      </c>
      <c r="H400" s="159"/>
      <c r="L400" s="21">
        <v>1</v>
      </c>
    </row>
    <row r="401" spans="2:12" ht="18">
      <c r="B401" s="30">
        <v>11</v>
      </c>
      <c r="C401" s="30">
        <v>53</v>
      </c>
      <c r="D401" s="30">
        <v>10</v>
      </c>
      <c r="E401" s="30">
        <v>25</v>
      </c>
      <c r="F401" s="30">
        <v>1</v>
      </c>
      <c r="G401" s="30">
        <v>1</v>
      </c>
      <c r="H401" s="159"/>
      <c r="L401" s="21">
        <v>1</v>
      </c>
    </row>
    <row r="402" spans="2:12" ht="18">
      <c r="B402" s="30">
        <v>11</v>
      </c>
      <c r="C402" s="30">
        <v>53</v>
      </c>
      <c r="D402" s="30">
        <v>9</v>
      </c>
      <c r="E402" s="30">
        <v>26</v>
      </c>
      <c r="F402" s="30">
        <v>1</v>
      </c>
      <c r="G402" s="30">
        <v>0</v>
      </c>
      <c r="H402" s="159"/>
      <c r="L402" s="21">
        <v>1</v>
      </c>
    </row>
    <row r="403" spans="2:12" ht="18">
      <c r="B403" s="30">
        <v>11</v>
      </c>
      <c r="C403" s="30">
        <v>25</v>
      </c>
      <c r="D403" s="30">
        <v>13</v>
      </c>
      <c r="E403" s="30">
        <v>4</v>
      </c>
      <c r="F403" s="30">
        <v>6</v>
      </c>
      <c r="G403" s="30">
        <v>4</v>
      </c>
      <c r="H403" s="159"/>
      <c r="L403" s="21">
        <v>1</v>
      </c>
    </row>
    <row r="404" spans="2:12" ht="18">
      <c r="B404" s="30">
        <v>11</v>
      </c>
      <c r="C404" s="30">
        <v>25</v>
      </c>
      <c r="D404" s="30">
        <v>12</v>
      </c>
      <c r="E404" s="30">
        <v>6</v>
      </c>
      <c r="F404" s="30">
        <v>9</v>
      </c>
      <c r="G404" s="30">
        <v>7</v>
      </c>
      <c r="H404" s="159"/>
      <c r="L404" s="21">
        <v>1</v>
      </c>
    </row>
    <row r="405" spans="2:12" ht="18">
      <c r="B405" s="30">
        <v>11</v>
      </c>
      <c r="C405" s="30">
        <v>25</v>
      </c>
      <c r="D405" s="30">
        <v>11</v>
      </c>
      <c r="E405" s="30">
        <v>9</v>
      </c>
      <c r="F405" s="30">
        <v>6</v>
      </c>
      <c r="G405" s="30">
        <v>3</v>
      </c>
      <c r="H405" s="159"/>
      <c r="L405" s="21">
        <v>1</v>
      </c>
    </row>
    <row r="406" spans="2:12" ht="18">
      <c r="B406" s="30">
        <v>11</v>
      </c>
      <c r="C406" s="30">
        <v>25</v>
      </c>
      <c r="D406" s="30">
        <v>10</v>
      </c>
      <c r="E406" s="30">
        <v>4</v>
      </c>
      <c r="F406" s="30">
        <v>15</v>
      </c>
      <c r="G406" s="30">
        <v>5</v>
      </c>
      <c r="H406" s="159"/>
      <c r="L406" s="21">
        <v>1</v>
      </c>
    </row>
    <row r="407" spans="2:12" ht="18">
      <c r="B407" s="30">
        <v>11</v>
      </c>
      <c r="C407" s="30">
        <v>25</v>
      </c>
      <c r="D407" s="30">
        <v>9</v>
      </c>
      <c r="E407" s="30">
        <v>6</v>
      </c>
      <c r="F407" s="30">
        <v>11</v>
      </c>
      <c r="G407" s="30">
        <v>9</v>
      </c>
      <c r="H407" s="159"/>
      <c r="L407" s="21">
        <v>1</v>
      </c>
    </row>
    <row r="408" spans="2:12" ht="18">
      <c r="B408" s="30">
        <v>11</v>
      </c>
      <c r="C408" s="30">
        <v>25</v>
      </c>
      <c r="D408" s="30">
        <v>8</v>
      </c>
      <c r="E408" s="30">
        <v>8</v>
      </c>
      <c r="F408" s="30">
        <v>5</v>
      </c>
      <c r="G408" s="30">
        <v>2</v>
      </c>
      <c r="H408" s="159"/>
      <c r="L408" s="21">
        <v>1</v>
      </c>
    </row>
    <row r="409" spans="2:12" ht="18">
      <c r="B409" s="30">
        <v>11</v>
      </c>
      <c r="C409" s="30">
        <v>30</v>
      </c>
      <c r="D409" s="30">
        <v>13</v>
      </c>
      <c r="E409" s="30">
        <v>15</v>
      </c>
      <c r="F409" s="30">
        <v>9</v>
      </c>
      <c r="G409" s="30">
        <v>4</v>
      </c>
      <c r="H409" s="159"/>
      <c r="L409" s="21">
        <v>1</v>
      </c>
    </row>
    <row r="410" spans="2:12" ht="18">
      <c r="B410" s="30">
        <v>11</v>
      </c>
      <c r="C410" s="30">
        <v>30</v>
      </c>
      <c r="D410" s="30">
        <v>12</v>
      </c>
      <c r="E410" s="30">
        <v>11</v>
      </c>
      <c r="F410" s="30">
        <v>7</v>
      </c>
      <c r="G410" s="30">
        <v>2</v>
      </c>
      <c r="H410" s="159"/>
      <c r="L410" s="21">
        <v>1</v>
      </c>
    </row>
    <row r="411" spans="2:12" ht="18">
      <c r="B411" s="30">
        <v>11</v>
      </c>
      <c r="C411" s="30">
        <v>30</v>
      </c>
      <c r="D411" s="30">
        <v>11</v>
      </c>
      <c r="E411" s="30">
        <v>9</v>
      </c>
      <c r="F411" s="30">
        <v>6</v>
      </c>
      <c r="G411" s="30">
        <v>3</v>
      </c>
      <c r="H411" s="159"/>
      <c r="L411" s="21">
        <v>1</v>
      </c>
    </row>
    <row r="412" spans="2:12" ht="18">
      <c r="B412" s="30">
        <v>11</v>
      </c>
      <c r="C412" s="30">
        <v>30</v>
      </c>
      <c r="D412" s="30">
        <v>10</v>
      </c>
      <c r="E412" s="30">
        <v>10</v>
      </c>
      <c r="F412" s="30">
        <v>5</v>
      </c>
      <c r="G412" s="30">
        <v>2</v>
      </c>
      <c r="H412" s="159"/>
      <c r="L412" s="21">
        <v>1</v>
      </c>
    </row>
    <row r="413" spans="2:12" ht="18">
      <c r="B413" s="30">
        <v>11</v>
      </c>
      <c r="C413" s="30">
        <v>62</v>
      </c>
      <c r="D413" s="30">
        <v>13</v>
      </c>
      <c r="E413" s="30">
        <v>14</v>
      </c>
      <c r="F413" s="30">
        <v>4</v>
      </c>
      <c r="G413" s="30">
        <v>1</v>
      </c>
      <c r="H413" s="159"/>
      <c r="L413" s="21">
        <v>1</v>
      </c>
    </row>
    <row r="414" spans="2:12" ht="18">
      <c r="B414" s="30">
        <v>11</v>
      </c>
      <c r="C414" s="30">
        <v>62</v>
      </c>
      <c r="D414" s="30">
        <v>12</v>
      </c>
      <c r="E414" s="30">
        <v>20</v>
      </c>
      <c r="F414" s="30">
        <v>4</v>
      </c>
      <c r="G414" s="30">
        <v>0</v>
      </c>
      <c r="H414" s="159"/>
      <c r="L414" s="21">
        <v>1</v>
      </c>
    </row>
    <row r="415" spans="2:12" ht="18">
      <c r="B415" s="30">
        <v>11</v>
      </c>
      <c r="C415" s="30">
        <v>62</v>
      </c>
      <c r="D415" s="30">
        <v>11</v>
      </c>
      <c r="E415" s="30">
        <v>15</v>
      </c>
      <c r="F415" s="30">
        <v>3</v>
      </c>
      <c r="G415" s="30">
        <v>0</v>
      </c>
      <c r="H415" s="159"/>
      <c r="L415" s="21">
        <v>1</v>
      </c>
    </row>
    <row r="416" spans="2:12" ht="18">
      <c r="B416" s="30">
        <v>11</v>
      </c>
      <c r="C416" s="30">
        <v>62</v>
      </c>
      <c r="D416" s="30">
        <v>10</v>
      </c>
      <c r="E416" s="30">
        <v>10</v>
      </c>
      <c r="F416" s="30">
        <v>10</v>
      </c>
      <c r="G416" s="30">
        <v>0</v>
      </c>
      <c r="H416" s="159"/>
      <c r="L416" s="21">
        <v>1</v>
      </c>
    </row>
    <row r="417" spans="2:12" ht="18">
      <c r="B417" s="30">
        <v>11</v>
      </c>
      <c r="C417" s="30">
        <v>33</v>
      </c>
      <c r="D417" s="30">
        <v>5</v>
      </c>
      <c r="E417" s="30">
        <v>19</v>
      </c>
      <c r="F417" s="30">
        <v>2</v>
      </c>
      <c r="G417" s="30">
        <v>7</v>
      </c>
      <c r="H417" s="159"/>
      <c r="L417" s="21">
        <v>1</v>
      </c>
    </row>
    <row r="418" spans="2:12" ht="18">
      <c r="B418" s="30">
        <v>11</v>
      </c>
      <c r="C418" s="30">
        <v>33</v>
      </c>
      <c r="D418" s="30">
        <v>6</v>
      </c>
      <c r="E418" s="30">
        <v>15</v>
      </c>
      <c r="F418" s="30">
        <v>0</v>
      </c>
      <c r="G418" s="30">
        <v>4</v>
      </c>
      <c r="H418" s="159"/>
      <c r="L418" s="21">
        <v>1</v>
      </c>
    </row>
    <row r="419" spans="2:12" ht="18">
      <c r="B419" s="30">
        <v>11</v>
      </c>
      <c r="C419" s="30">
        <v>28</v>
      </c>
      <c r="D419" s="30">
        <v>10</v>
      </c>
      <c r="E419" s="30">
        <v>6</v>
      </c>
      <c r="F419" s="30">
        <v>4</v>
      </c>
      <c r="G419" s="30">
        <v>1</v>
      </c>
      <c r="H419" s="159"/>
      <c r="L419" s="21">
        <v>1</v>
      </c>
    </row>
    <row r="420" spans="2:12" ht="18">
      <c r="B420" s="30">
        <v>11</v>
      </c>
      <c r="C420" s="30">
        <v>28</v>
      </c>
      <c r="D420" s="30">
        <v>11</v>
      </c>
      <c r="E420" s="30">
        <v>7</v>
      </c>
      <c r="F420" s="30">
        <v>6</v>
      </c>
      <c r="G420" s="30">
        <v>4</v>
      </c>
      <c r="H420" s="159"/>
      <c r="L420" s="21">
        <v>1</v>
      </c>
    </row>
    <row r="421" spans="2:12" ht="18">
      <c r="B421" s="30">
        <v>11</v>
      </c>
      <c r="C421" s="30">
        <v>28</v>
      </c>
      <c r="D421" s="30">
        <v>12</v>
      </c>
      <c r="E421" s="30">
        <v>7</v>
      </c>
      <c r="F421" s="30">
        <v>4</v>
      </c>
      <c r="G421" s="30">
        <v>3</v>
      </c>
      <c r="H421" s="159"/>
      <c r="L421" s="21">
        <v>1</v>
      </c>
    </row>
    <row r="422" spans="2:12" ht="18">
      <c r="B422" s="30">
        <v>11</v>
      </c>
      <c r="C422" s="30">
        <v>28</v>
      </c>
      <c r="D422" s="30">
        <v>13</v>
      </c>
      <c r="E422" s="30">
        <v>9</v>
      </c>
      <c r="F422" s="30">
        <v>5</v>
      </c>
      <c r="G422" s="30">
        <v>0</v>
      </c>
      <c r="H422" s="159"/>
      <c r="L422" s="21">
        <v>1</v>
      </c>
    </row>
    <row r="423" spans="2:12" ht="18">
      <c r="B423" s="30">
        <v>11</v>
      </c>
      <c r="C423" s="30">
        <v>56</v>
      </c>
      <c r="D423" s="30">
        <v>10</v>
      </c>
      <c r="E423" s="30">
        <v>15</v>
      </c>
      <c r="F423" s="30">
        <v>5</v>
      </c>
      <c r="G423" s="30">
        <v>4</v>
      </c>
      <c r="H423" s="159"/>
      <c r="L423" s="21">
        <v>1</v>
      </c>
    </row>
    <row r="424" spans="2:12" ht="18">
      <c r="B424" s="30">
        <v>11</v>
      </c>
      <c r="C424" s="30">
        <v>56</v>
      </c>
      <c r="D424" s="30">
        <v>11</v>
      </c>
      <c r="E424" s="30">
        <v>6</v>
      </c>
      <c r="F424" s="30">
        <v>5</v>
      </c>
      <c r="G424" s="30">
        <v>1</v>
      </c>
      <c r="H424" s="159"/>
      <c r="L424" s="21">
        <v>1</v>
      </c>
    </row>
    <row r="425" spans="2:12" ht="18">
      <c r="B425" s="30">
        <v>11</v>
      </c>
      <c r="C425" s="30">
        <v>56</v>
      </c>
      <c r="D425" s="30">
        <v>12</v>
      </c>
      <c r="E425" s="30">
        <v>10</v>
      </c>
      <c r="F425" s="30">
        <v>14</v>
      </c>
      <c r="G425" s="30">
        <v>0</v>
      </c>
      <c r="H425" s="159"/>
      <c r="L425" s="21">
        <v>1</v>
      </c>
    </row>
    <row r="426" spans="2:12" ht="18">
      <c r="B426" s="30">
        <v>11</v>
      </c>
      <c r="C426" s="30">
        <v>56</v>
      </c>
      <c r="D426" s="30">
        <v>13</v>
      </c>
      <c r="E426" s="30">
        <v>4</v>
      </c>
      <c r="F426" s="30">
        <v>6</v>
      </c>
      <c r="G426" s="30">
        <v>0</v>
      </c>
      <c r="H426" s="159"/>
      <c r="L426" s="21">
        <v>1</v>
      </c>
    </row>
    <row r="427" spans="2:12" ht="18">
      <c r="B427" s="30">
        <v>11</v>
      </c>
      <c r="C427" s="30">
        <v>56</v>
      </c>
      <c r="D427" s="30">
        <v>14</v>
      </c>
      <c r="E427" s="30">
        <v>6</v>
      </c>
      <c r="F427" s="30">
        <v>5</v>
      </c>
      <c r="G427" s="30">
        <v>2</v>
      </c>
      <c r="H427" s="159"/>
      <c r="L427" s="21">
        <v>1</v>
      </c>
    </row>
    <row r="428" spans="2:12" ht="18">
      <c r="B428" s="30">
        <v>11</v>
      </c>
      <c r="C428" s="30">
        <v>46</v>
      </c>
      <c r="D428" s="30">
        <v>8</v>
      </c>
      <c r="E428" s="30">
        <v>10</v>
      </c>
      <c r="F428" s="30">
        <v>8</v>
      </c>
      <c r="G428" s="30">
        <v>12</v>
      </c>
      <c r="H428" s="159"/>
      <c r="L428" s="21">
        <v>1</v>
      </c>
    </row>
    <row r="429" spans="2:12" ht="18">
      <c r="B429" s="30">
        <v>11</v>
      </c>
      <c r="C429" s="30">
        <v>52</v>
      </c>
      <c r="D429" s="30">
        <v>12</v>
      </c>
      <c r="E429" s="30">
        <v>18</v>
      </c>
      <c r="F429" s="30">
        <v>2</v>
      </c>
      <c r="G429" s="30">
        <v>0</v>
      </c>
      <c r="H429" s="159"/>
      <c r="L429" s="21">
        <v>1</v>
      </c>
    </row>
    <row r="430" spans="2:12" ht="18">
      <c r="B430" s="30">
        <v>11</v>
      </c>
      <c r="C430" s="30">
        <v>52</v>
      </c>
      <c r="D430" s="30">
        <v>13</v>
      </c>
      <c r="E430" s="30">
        <v>14</v>
      </c>
      <c r="F430" s="30">
        <v>0</v>
      </c>
      <c r="G430" s="30">
        <v>2</v>
      </c>
      <c r="H430" s="159"/>
      <c r="L430" s="21">
        <v>1</v>
      </c>
    </row>
    <row r="431" spans="2:12" ht="18">
      <c r="B431" s="30">
        <v>11</v>
      </c>
      <c r="C431" s="30">
        <v>52</v>
      </c>
      <c r="D431" s="30">
        <v>11</v>
      </c>
      <c r="E431" s="30">
        <v>23</v>
      </c>
      <c r="F431" s="30">
        <v>1</v>
      </c>
      <c r="G431" s="30">
        <v>1</v>
      </c>
      <c r="H431" s="159"/>
      <c r="L431" s="21">
        <v>1</v>
      </c>
    </row>
    <row r="432" spans="2:12" ht="18">
      <c r="B432" s="30">
        <v>11</v>
      </c>
      <c r="C432" s="30">
        <v>60</v>
      </c>
      <c r="D432" s="30">
        <v>11</v>
      </c>
      <c r="E432" s="30">
        <v>13</v>
      </c>
      <c r="F432" s="30">
        <v>18</v>
      </c>
      <c r="G432" s="30">
        <v>0</v>
      </c>
      <c r="H432" s="159"/>
      <c r="L432" s="21">
        <v>1</v>
      </c>
    </row>
    <row r="433" spans="2:12" ht="18">
      <c r="B433" s="30">
        <v>11</v>
      </c>
      <c r="C433" s="30">
        <v>60</v>
      </c>
      <c r="D433" s="30">
        <v>12</v>
      </c>
      <c r="E433" s="30">
        <v>9</v>
      </c>
      <c r="F433" s="30">
        <v>11</v>
      </c>
      <c r="G433" s="30">
        <v>10</v>
      </c>
      <c r="H433" s="159"/>
      <c r="L433" s="21">
        <v>1</v>
      </c>
    </row>
    <row r="434" spans="2:12" ht="18">
      <c r="B434" s="30">
        <v>11</v>
      </c>
      <c r="C434" s="30">
        <v>60</v>
      </c>
      <c r="D434" s="30">
        <v>13</v>
      </c>
      <c r="E434" s="30">
        <v>10</v>
      </c>
      <c r="F434" s="30">
        <v>8</v>
      </c>
      <c r="G434" s="30">
        <v>4</v>
      </c>
      <c r="H434" s="159"/>
      <c r="L434" s="21">
        <v>1</v>
      </c>
    </row>
    <row r="435" spans="2:12" ht="18">
      <c r="B435" s="30">
        <v>11</v>
      </c>
      <c r="C435" s="30">
        <v>60</v>
      </c>
      <c r="D435" s="30">
        <v>14</v>
      </c>
      <c r="E435" s="30">
        <v>9</v>
      </c>
      <c r="F435" s="30">
        <v>15</v>
      </c>
      <c r="G435" s="30">
        <v>7</v>
      </c>
      <c r="H435" s="159"/>
      <c r="L435" s="21">
        <v>1</v>
      </c>
    </row>
    <row r="436" spans="2:12" ht="18">
      <c r="B436" s="30">
        <v>11</v>
      </c>
      <c r="C436" s="30">
        <v>52</v>
      </c>
      <c r="D436" s="30">
        <v>10</v>
      </c>
      <c r="E436" s="30">
        <v>16</v>
      </c>
      <c r="F436" s="30">
        <v>0</v>
      </c>
      <c r="G436" s="30">
        <v>2</v>
      </c>
      <c r="H436" s="159"/>
      <c r="L436" s="21">
        <v>1</v>
      </c>
    </row>
    <row r="437" spans="2:12" ht="18">
      <c r="B437" s="30">
        <v>11</v>
      </c>
      <c r="C437" s="30">
        <v>27</v>
      </c>
      <c r="D437" s="30">
        <v>14</v>
      </c>
      <c r="E437" s="30">
        <v>11</v>
      </c>
      <c r="F437" s="30">
        <v>1</v>
      </c>
      <c r="G437" s="30">
        <v>2</v>
      </c>
      <c r="H437" s="159"/>
      <c r="L437" s="21">
        <v>1</v>
      </c>
    </row>
    <row r="438" spans="2:12" ht="18">
      <c r="B438" s="30">
        <v>11</v>
      </c>
      <c r="C438" s="30">
        <v>27</v>
      </c>
      <c r="D438" s="30">
        <v>13</v>
      </c>
      <c r="E438" s="30">
        <v>10</v>
      </c>
      <c r="F438" s="30">
        <v>0</v>
      </c>
      <c r="G438" s="30">
        <v>1</v>
      </c>
      <c r="H438" s="159"/>
      <c r="L438" s="21">
        <v>1</v>
      </c>
    </row>
    <row r="439" spans="2:12" ht="18">
      <c r="B439" s="30">
        <v>11</v>
      </c>
      <c r="C439" s="30">
        <v>27</v>
      </c>
      <c r="D439" s="30">
        <v>12</v>
      </c>
      <c r="E439" s="30">
        <v>11</v>
      </c>
      <c r="F439" s="30">
        <v>2</v>
      </c>
      <c r="G439" s="30">
        <v>2</v>
      </c>
      <c r="H439" s="159"/>
      <c r="L439" s="21">
        <v>1</v>
      </c>
    </row>
    <row r="440" spans="2:12" ht="18">
      <c r="B440" s="30">
        <v>11</v>
      </c>
      <c r="C440" s="30">
        <v>27</v>
      </c>
      <c r="D440" s="30">
        <v>10</v>
      </c>
      <c r="E440" s="30">
        <v>12</v>
      </c>
      <c r="F440" s="30">
        <v>0</v>
      </c>
      <c r="G440" s="30">
        <v>1</v>
      </c>
      <c r="H440" s="159"/>
      <c r="L440" s="21">
        <v>1</v>
      </c>
    </row>
    <row r="441" spans="2:12" ht="18">
      <c r="B441" s="30">
        <v>11</v>
      </c>
      <c r="C441" s="30">
        <v>27</v>
      </c>
      <c r="D441" s="30">
        <v>11</v>
      </c>
      <c r="E441" s="30">
        <v>10</v>
      </c>
      <c r="F441" s="30">
        <v>1</v>
      </c>
      <c r="G441" s="30">
        <v>2</v>
      </c>
      <c r="H441" s="159"/>
      <c r="L441" s="21">
        <v>1</v>
      </c>
    </row>
    <row r="442" spans="2:12" ht="18">
      <c r="B442" s="30">
        <v>11</v>
      </c>
      <c r="C442" s="30">
        <v>46</v>
      </c>
      <c r="D442" s="30">
        <v>10</v>
      </c>
      <c r="E442" s="30">
        <v>8</v>
      </c>
      <c r="F442" s="30">
        <v>5</v>
      </c>
      <c r="G442" s="30">
        <v>7</v>
      </c>
      <c r="H442" s="159"/>
      <c r="L442" s="21">
        <v>1</v>
      </c>
    </row>
    <row r="443" spans="2:12" ht="18">
      <c r="B443" s="30">
        <v>11</v>
      </c>
      <c r="C443" s="30">
        <v>27</v>
      </c>
      <c r="D443" s="30">
        <v>9</v>
      </c>
      <c r="E443" s="30">
        <v>10</v>
      </c>
      <c r="F443" s="30">
        <v>0</v>
      </c>
      <c r="G443" s="30">
        <v>0</v>
      </c>
      <c r="H443" s="159"/>
      <c r="L443" s="21">
        <v>1</v>
      </c>
    </row>
    <row r="444" spans="2:12" ht="18">
      <c r="B444" s="30">
        <v>11</v>
      </c>
      <c r="C444" s="30">
        <v>46</v>
      </c>
      <c r="D444" s="30">
        <v>11</v>
      </c>
      <c r="E444" s="30">
        <v>13</v>
      </c>
      <c r="F444" s="30">
        <v>3</v>
      </c>
      <c r="G444" s="30">
        <v>8</v>
      </c>
      <c r="H444" s="159"/>
      <c r="L444" s="21">
        <v>1</v>
      </c>
    </row>
    <row r="445" spans="2:12" ht="18">
      <c r="B445" s="30">
        <v>11</v>
      </c>
      <c r="C445" s="30">
        <v>46</v>
      </c>
      <c r="D445" s="30">
        <v>9</v>
      </c>
      <c r="E445" s="30">
        <v>13</v>
      </c>
      <c r="F445" s="30">
        <v>4</v>
      </c>
      <c r="G445" s="30">
        <v>10</v>
      </c>
      <c r="H445" s="159"/>
      <c r="L445" s="21">
        <v>1</v>
      </c>
    </row>
    <row r="446" spans="2:12" ht="18">
      <c r="B446" s="30">
        <v>11</v>
      </c>
      <c r="C446" s="30">
        <v>43</v>
      </c>
      <c r="D446" s="30">
        <v>10</v>
      </c>
      <c r="E446" s="30">
        <v>15</v>
      </c>
      <c r="F446" s="30">
        <v>2</v>
      </c>
      <c r="G446" s="30">
        <v>2</v>
      </c>
      <c r="H446" s="159"/>
      <c r="L446" s="21">
        <v>1</v>
      </c>
    </row>
    <row r="447" spans="2:12" ht="18">
      <c r="B447" s="30">
        <v>11</v>
      </c>
      <c r="C447" s="30">
        <v>43</v>
      </c>
      <c r="D447" s="30">
        <v>12</v>
      </c>
      <c r="E447" s="30">
        <v>36</v>
      </c>
      <c r="F447" s="30">
        <v>7</v>
      </c>
      <c r="G447" s="30">
        <v>9</v>
      </c>
      <c r="H447" s="159"/>
      <c r="L447" s="21">
        <v>1</v>
      </c>
    </row>
    <row r="448" spans="2:12" ht="18">
      <c r="B448" s="30">
        <v>11</v>
      </c>
      <c r="C448" s="30">
        <v>26</v>
      </c>
      <c r="D448" s="30">
        <v>13</v>
      </c>
      <c r="E448" s="30">
        <v>4</v>
      </c>
      <c r="F448" s="30">
        <v>15</v>
      </c>
      <c r="G448" s="30">
        <v>2</v>
      </c>
      <c r="H448" s="159"/>
      <c r="L448" s="21">
        <v>1</v>
      </c>
    </row>
    <row r="449" spans="2:12" ht="18">
      <c r="B449" s="30">
        <v>11</v>
      </c>
      <c r="C449" s="30">
        <v>26</v>
      </c>
      <c r="D449" s="30">
        <v>14</v>
      </c>
      <c r="E449" s="30">
        <v>10</v>
      </c>
      <c r="F449" s="30">
        <v>13</v>
      </c>
      <c r="G449" s="30">
        <v>5</v>
      </c>
      <c r="H449" s="159"/>
      <c r="L449" s="21">
        <v>1</v>
      </c>
    </row>
    <row r="450" spans="2:12" ht="18">
      <c r="B450" s="30">
        <v>11</v>
      </c>
      <c r="C450" s="30">
        <v>23</v>
      </c>
      <c r="D450" s="30">
        <v>12</v>
      </c>
      <c r="E450" s="30">
        <v>26</v>
      </c>
      <c r="F450" s="30">
        <v>8</v>
      </c>
      <c r="G450" s="30">
        <v>10</v>
      </c>
      <c r="H450" s="159"/>
      <c r="L450" s="21">
        <v>1</v>
      </c>
    </row>
    <row r="451" spans="2:12" ht="18">
      <c r="B451" s="30">
        <v>11</v>
      </c>
      <c r="C451" s="30">
        <v>23</v>
      </c>
      <c r="D451" s="30">
        <v>13</v>
      </c>
      <c r="E451" s="30">
        <v>19</v>
      </c>
      <c r="F451" s="30">
        <v>10</v>
      </c>
      <c r="G451" s="30">
        <v>11</v>
      </c>
      <c r="H451" s="159"/>
      <c r="L451" s="21">
        <v>1</v>
      </c>
    </row>
    <row r="452" spans="2:12" ht="18">
      <c r="B452" s="30">
        <v>11</v>
      </c>
      <c r="C452" s="30">
        <v>23</v>
      </c>
      <c r="D452" s="30">
        <v>11</v>
      </c>
      <c r="E452" s="30">
        <v>18</v>
      </c>
      <c r="F452" s="30">
        <v>11</v>
      </c>
      <c r="G452" s="30">
        <v>5</v>
      </c>
      <c r="H452" s="159"/>
      <c r="L452" s="21">
        <v>1</v>
      </c>
    </row>
    <row r="453" spans="2:12" ht="18">
      <c r="B453" s="30">
        <v>11</v>
      </c>
      <c r="C453" s="30">
        <v>23</v>
      </c>
      <c r="D453" s="30">
        <v>14</v>
      </c>
      <c r="E453" s="30">
        <v>17</v>
      </c>
      <c r="F453" s="30">
        <v>4</v>
      </c>
      <c r="G453" s="30">
        <v>0</v>
      </c>
      <c r="H453" s="159"/>
      <c r="L453" s="21">
        <v>1</v>
      </c>
    </row>
    <row r="454" spans="2:12" ht="18">
      <c r="B454" s="30">
        <v>11</v>
      </c>
      <c r="C454" s="30">
        <v>23</v>
      </c>
      <c r="D454" s="30">
        <v>10</v>
      </c>
      <c r="E454" s="30">
        <v>16</v>
      </c>
      <c r="F454" s="30">
        <v>4</v>
      </c>
      <c r="G454" s="30">
        <v>8</v>
      </c>
      <c r="H454" s="159"/>
      <c r="L454" s="21">
        <v>1</v>
      </c>
    </row>
    <row r="455" spans="2:12" ht="18">
      <c r="B455" s="30">
        <v>11</v>
      </c>
      <c r="C455" s="30">
        <v>23</v>
      </c>
      <c r="D455" s="30">
        <v>9</v>
      </c>
      <c r="E455" s="30">
        <v>25</v>
      </c>
      <c r="F455" s="30">
        <v>1</v>
      </c>
      <c r="G455" s="30">
        <v>4</v>
      </c>
      <c r="H455" s="159"/>
      <c r="L455" s="21">
        <v>1</v>
      </c>
    </row>
    <row r="456" spans="2:12" ht="18">
      <c r="B456" s="30">
        <v>11</v>
      </c>
      <c r="C456" s="30">
        <v>59</v>
      </c>
      <c r="D456" s="30">
        <v>11</v>
      </c>
      <c r="E456" s="30">
        <v>9</v>
      </c>
      <c r="F456" s="30">
        <v>9</v>
      </c>
      <c r="G456" s="30">
        <v>4</v>
      </c>
      <c r="H456" s="159"/>
      <c r="L456" s="21">
        <v>1</v>
      </c>
    </row>
    <row r="457" spans="2:12" ht="18">
      <c r="B457" s="30">
        <v>11</v>
      </c>
      <c r="C457" s="30">
        <v>59</v>
      </c>
      <c r="D457" s="30">
        <v>12</v>
      </c>
      <c r="E457" s="30">
        <v>5</v>
      </c>
      <c r="F457" s="30">
        <v>11</v>
      </c>
      <c r="G457" s="30">
        <v>3</v>
      </c>
      <c r="H457" s="159"/>
      <c r="L457" s="21">
        <v>1</v>
      </c>
    </row>
    <row r="458" spans="2:12" ht="18">
      <c r="B458" s="30">
        <v>11</v>
      </c>
      <c r="C458" s="30">
        <v>44</v>
      </c>
      <c r="D458" s="30">
        <v>14</v>
      </c>
      <c r="E458" s="30">
        <v>1</v>
      </c>
      <c r="F458" s="30">
        <v>22</v>
      </c>
      <c r="G458" s="30">
        <v>2</v>
      </c>
      <c r="H458" s="159"/>
      <c r="L458" s="21">
        <v>1</v>
      </c>
    </row>
    <row r="459" spans="2:12" ht="18">
      <c r="B459" s="30">
        <v>11</v>
      </c>
      <c r="C459" s="30">
        <v>44</v>
      </c>
      <c r="D459" s="30">
        <v>15</v>
      </c>
      <c r="E459" s="30">
        <v>3</v>
      </c>
      <c r="F459" s="30">
        <v>16</v>
      </c>
      <c r="G459" s="30">
        <v>1</v>
      </c>
      <c r="H459" s="159"/>
      <c r="L459" s="21">
        <v>1</v>
      </c>
    </row>
    <row r="460" spans="2:12" ht="18">
      <c r="B460" s="30">
        <v>11</v>
      </c>
      <c r="C460" s="30">
        <v>44</v>
      </c>
      <c r="D460" s="30">
        <v>16</v>
      </c>
      <c r="E460" s="30">
        <v>3</v>
      </c>
      <c r="F460" s="30">
        <v>17</v>
      </c>
      <c r="G460" s="30">
        <v>4</v>
      </c>
      <c r="H460" s="159"/>
      <c r="L460" s="21">
        <v>1</v>
      </c>
    </row>
    <row r="461" spans="2:12" ht="18">
      <c r="B461" s="30">
        <v>11</v>
      </c>
      <c r="C461" s="30">
        <v>36</v>
      </c>
      <c r="D461" s="30">
        <v>13</v>
      </c>
      <c r="E461" s="30">
        <v>10</v>
      </c>
      <c r="F461" s="30">
        <v>2</v>
      </c>
      <c r="G461" s="30">
        <v>0</v>
      </c>
      <c r="H461" s="159"/>
      <c r="L461" s="21">
        <v>1</v>
      </c>
    </row>
    <row r="462" spans="2:12" ht="18">
      <c r="B462" s="30">
        <v>11</v>
      </c>
      <c r="C462" s="30">
        <v>48</v>
      </c>
      <c r="D462" s="30">
        <v>9</v>
      </c>
      <c r="E462" s="30">
        <v>25</v>
      </c>
      <c r="F462" s="30">
        <v>10</v>
      </c>
      <c r="G462" s="30">
        <v>31</v>
      </c>
      <c r="H462" s="159"/>
      <c r="L462" s="21">
        <v>1</v>
      </c>
    </row>
    <row r="463" spans="2:12" ht="18">
      <c r="B463" s="30">
        <v>11</v>
      </c>
      <c r="C463" s="30">
        <v>48</v>
      </c>
      <c r="D463" s="30">
        <v>11</v>
      </c>
      <c r="E463" s="30">
        <v>18</v>
      </c>
      <c r="F463" s="30">
        <v>12</v>
      </c>
      <c r="G463" s="30">
        <v>29</v>
      </c>
      <c r="H463" s="159"/>
      <c r="L463" s="21">
        <v>1</v>
      </c>
    </row>
    <row r="464" spans="2:12" ht="18">
      <c r="B464" s="30">
        <v>11</v>
      </c>
      <c r="C464" s="30">
        <v>54</v>
      </c>
      <c r="D464" s="30">
        <v>10</v>
      </c>
      <c r="E464" s="30">
        <v>15</v>
      </c>
      <c r="F464" s="30">
        <v>2</v>
      </c>
      <c r="G464" s="30">
        <v>1</v>
      </c>
      <c r="H464" s="159"/>
      <c r="L464" s="21">
        <v>1</v>
      </c>
    </row>
    <row r="465" spans="2:12" ht="18">
      <c r="B465" s="30">
        <v>11</v>
      </c>
      <c r="C465" s="30">
        <v>59</v>
      </c>
      <c r="D465" s="30">
        <v>12</v>
      </c>
      <c r="E465" s="30">
        <v>11</v>
      </c>
      <c r="F465" s="30">
        <v>1</v>
      </c>
      <c r="G465" s="30">
        <v>3</v>
      </c>
      <c r="H465" s="159"/>
      <c r="L465" s="21">
        <v>1</v>
      </c>
    </row>
    <row r="466" spans="2:12" ht="18">
      <c r="B466" s="30">
        <v>11</v>
      </c>
      <c r="C466" s="30">
        <v>40</v>
      </c>
      <c r="D466" s="30">
        <v>14</v>
      </c>
      <c r="E466" s="30">
        <v>2</v>
      </c>
      <c r="F466" s="30">
        <v>3</v>
      </c>
      <c r="G466" s="30">
        <v>1</v>
      </c>
      <c r="H466" s="159"/>
      <c r="L466" s="21">
        <v>1</v>
      </c>
    </row>
    <row r="467" spans="2:12" ht="18">
      <c r="B467" s="30">
        <v>11</v>
      </c>
      <c r="C467" s="30">
        <v>40</v>
      </c>
      <c r="D467" s="30">
        <v>12</v>
      </c>
      <c r="E467" s="30">
        <v>4</v>
      </c>
      <c r="F467" s="30">
        <v>9</v>
      </c>
      <c r="G467" s="30">
        <v>4</v>
      </c>
      <c r="H467" s="159"/>
      <c r="L467" s="21">
        <v>1</v>
      </c>
    </row>
    <row r="468" spans="2:12" ht="18">
      <c r="B468" s="30">
        <v>11</v>
      </c>
      <c r="C468" s="30">
        <v>40</v>
      </c>
      <c r="D468" s="30">
        <v>13</v>
      </c>
      <c r="E468" s="30">
        <v>7</v>
      </c>
      <c r="F468" s="30">
        <v>5</v>
      </c>
      <c r="G468" s="30">
        <v>3</v>
      </c>
      <c r="H468" s="159"/>
      <c r="L468" s="21">
        <v>1</v>
      </c>
    </row>
    <row r="469" spans="2:12" ht="18">
      <c r="B469" s="30">
        <v>11</v>
      </c>
      <c r="C469" s="30">
        <v>45</v>
      </c>
      <c r="D469" s="30">
        <v>14</v>
      </c>
      <c r="E469" s="30">
        <v>5</v>
      </c>
      <c r="F469" s="30">
        <v>22</v>
      </c>
      <c r="G469" s="30">
        <v>6</v>
      </c>
      <c r="H469" s="159"/>
      <c r="L469" s="21">
        <v>1</v>
      </c>
    </row>
    <row r="470" spans="2:12" ht="18">
      <c r="B470" s="30">
        <v>11</v>
      </c>
      <c r="C470" s="30">
        <v>54</v>
      </c>
      <c r="D470" s="30">
        <v>13</v>
      </c>
      <c r="E470" s="30">
        <v>11</v>
      </c>
      <c r="F470" s="30">
        <v>1</v>
      </c>
      <c r="G470" s="30">
        <v>0</v>
      </c>
      <c r="H470" s="159"/>
      <c r="L470" s="21">
        <v>1</v>
      </c>
    </row>
    <row r="471" spans="2:12" ht="18">
      <c r="B471" s="30">
        <v>11</v>
      </c>
      <c r="C471" s="30">
        <v>54</v>
      </c>
      <c r="D471" s="30">
        <v>14</v>
      </c>
      <c r="E471" s="30">
        <v>14</v>
      </c>
      <c r="F471" s="30">
        <v>2</v>
      </c>
      <c r="G471" s="30">
        <v>0</v>
      </c>
      <c r="H471" s="159"/>
      <c r="L471" s="21">
        <v>1</v>
      </c>
    </row>
    <row r="472" spans="2:12" ht="18">
      <c r="B472" s="30">
        <v>11</v>
      </c>
      <c r="C472" s="30">
        <v>54</v>
      </c>
      <c r="D472" s="30">
        <v>11</v>
      </c>
      <c r="E472" s="30">
        <v>6</v>
      </c>
      <c r="F472" s="30">
        <v>0</v>
      </c>
      <c r="G472" s="30">
        <v>0</v>
      </c>
      <c r="H472" s="159"/>
      <c r="L472" s="21">
        <v>1</v>
      </c>
    </row>
    <row r="473" spans="2:12" ht="18">
      <c r="B473" s="30">
        <v>11</v>
      </c>
      <c r="C473" s="30">
        <v>36</v>
      </c>
      <c r="D473" s="30">
        <v>11</v>
      </c>
      <c r="E473" s="30">
        <v>17</v>
      </c>
      <c r="F473" s="30">
        <v>5</v>
      </c>
      <c r="G473" s="30">
        <v>3</v>
      </c>
      <c r="H473" s="159"/>
      <c r="L473" s="21">
        <v>1</v>
      </c>
    </row>
    <row r="474" spans="2:12" ht="18">
      <c r="B474" s="30">
        <v>11</v>
      </c>
      <c r="C474" s="30">
        <v>54</v>
      </c>
      <c r="D474" s="30">
        <v>9</v>
      </c>
      <c r="E474" s="30">
        <v>15</v>
      </c>
      <c r="F474" s="30">
        <v>2</v>
      </c>
      <c r="G474" s="30">
        <v>0</v>
      </c>
      <c r="H474" s="159"/>
      <c r="L474" s="21">
        <v>1</v>
      </c>
    </row>
    <row r="475" spans="2:12" ht="18">
      <c r="B475" s="30">
        <v>11</v>
      </c>
      <c r="C475" s="30">
        <v>36</v>
      </c>
      <c r="D475" s="30">
        <v>12</v>
      </c>
      <c r="E475" s="30">
        <v>15</v>
      </c>
      <c r="F475" s="30">
        <v>4</v>
      </c>
      <c r="G475" s="30">
        <v>0</v>
      </c>
      <c r="H475" s="159"/>
      <c r="L475" s="21">
        <v>1</v>
      </c>
    </row>
    <row r="476" spans="2:12" ht="18">
      <c r="B476" s="30">
        <v>11</v>
      </c>
      <c r="C476" s="30">
        <v>48</v>
      </c>
      <c r="D476" s="30">
        <v>10</v>
      </c>
      <c r="E476" s="30">
        <v>23</v>
      </c>
      <c r="F476" s="30">
        <v>8</v>
      </c>
      <c r="G476" s="30">
        <v>35</v>
      </c>
      <c r="H476" s="159"/>
      <c r="L476" s="21">
        <v>1</v>
      </c>
    </row>
    <row r="477" spans="2:12" ht="18">
      <c r="B477" s="30">
        <v>11</v>
      </c>
      <c r="C477" s="30">
        <v>36</v>
      </c>
      <c r="D477" s="30">
        <v>10</v>
      </c>
      <c r="E477" s="30">
        <v>20</v>
      </c>
      <c r="F477" s="30">
        <v>3</v>
      </c>
      <c r="G477" s="30">
        <v>2</v>
      </c>
      <c r="H477" s="159"/>
      <c r="L477" s="21">
        <v>1</v>
      </c>
    </row>
    <row r="478" spans="2:12" ht="18">
      <c r="B478" s="30">
        <v>11</v>
      </c>
      <c r="C478" s="30">
        <v>48</v>
      </c>
      <c r="D478" s="30">
        <v>8</v>
      </c>
      <c r="E478" s="30">
        <v>17</v>
      </c>
      <c r="F478" s="30">
        <v>9</v>
      </c>
      <c r="G478" s="30">
        <v>18</v>
      </c>
      <c r="H478" s="159"/>
      <c r="L478" s="21">
        <v>1</v>
      </c>
    </row>
    <row r="479" spans="2:12" ht="18">
      <c r="B479" s="30">
        <v>11</v>
      </c>
      <c r="C479" s="30">
        <v>42</v>
      </c>
      <c r="D479" s="30">
        <v>7</v>
      </c>
      <c r="E479" s="30">
        <v>14</v>
      </c>
      <c r="F479" s="30">
        <v>8</v>
      </c>
      <c r="G479" s="30">
        <v>5</v>
      </c>
      <c r="H479" s="159"/>
      <c r="L479" s="21">
        <v>1</v>
      </c>
    </row>
    <row r="480" spans="2:12" ht="18">
      <c r="B480" s="30">
        <v>11</v>
      </c>
      <c r="C480" s="30">
        <v>42</v>
      </c>
      <c r="D480" s="30">
        <v>8</v>
      </c>
      <c r="E480" s="30">
        <v>18</v>
      </c>
      <c r="F480" s="30">
        <v>6</v>
      </c>
      <c r="G480" s="30">
        <v>4</v>
      </c>
      <c r="H480" s="159"/>
      <c r="L480" s="21">
        <v>1</v>
      </c>
    </row>
    <row r="481" spans="2:12" ht="18">
      <c r="B481" s="30">
        <v>11</v>
      </c>
      <c r="C481" s="30">
        <v>49</v>
      </c>
      <c r="D481" s="30">
        <v>12</v>
      </c>
      <c r="E481" s="30">
        <v>2</v>
      </c>
      <c r="F481" s="30">
        <v>0</v>
      </c>
      <c r="G481" s="30">
        <v>0</v>
      </c>
      <c r="H481" s="159"/>
      <c r="L481" s="21">
        <v>1</v>
      </c>
    </row>
    <row r="482" spans="2:12" ht="18">
      <c r="B482" s="30">
        <v>11</v>
      </c>
      <c r="C482" s="30">
        <v>49</v>
      </c>
      <c r="D482" s="30">
        <v>11</v>
      </c>
      <c r="E482" s="30">
        <v>2</v>
      </c>
      <c r="F482" s="30">
        <v>0</v>
      </c>
      <c r="G482" s="30">
        <v>0</v>
      </c>
      <c r="H482" s="159"/>
      <c r="L482" s="21">
        <v>1</v>
      </c>
    </row>
    <row r="483" spans="2:12" ht="18">
      <c r="B483" s="30">
        <v>11</v>
      </c>
      <c r="C483" s="30">
        <v>64</v>
      </c>
      <c r="D483" s="30">
        <v>9</v>
      </c>
      <c r="E483" s="30">
        <v>7</v>
      </c>
      <c r="F483" s="30">
        <v>5</v>
      </c>
      <c r="G483" s="30">
        <v>0</v>
      </c>
      <c r="H483" s="159"/>
      <c r="L483" s="21">
        <v>1</v>
      </c>
    </row>
    <row r="484" spans="2:12" ht="18">
      <c r="B484" s="30">
        <v>11</v>
      </c>
      <c r="C484" s="30">
        <v>42</v>
      </c>
      <c r="D484" s="30">
        <v>9</v>
      </c>
      <c r="E484" s="30">
        <v>16</v>
      </c>
      <c r="F484" s="30">
        <v>3</v>
      </c>
      <c r="G484" s="30">
        <v>2</v>
      </c>
      <c r="H484" s="159"/>
      <c r="L484" s="21">
        <v>1</v>
      </c>
    </row>
    <row r="485" spans="2:12" ht="18">
      <c r="B485" s="30">
        <v>11</v>
      </c>
      <c r="C485" s="30">
        <v>42</v>
      </c>
      <c r="D485" s="30">
        <v>10</v>
      </c>
      <c r="E485" s="30">
        <v>17</v>
      </c>
      <c r="F485" s="30">
        <v>5</v>
      </c>
      <c r="G485" s="30">
        <v>3</v>
      </c>
      <c r="H485" s="159"/>
      <c r="L485" s="21">
        <v>1</v>
      </c>
    </row>
    <row r="486" spans="2:12" ht="18">
      <c r="B486" s="30">
        <v>11</v>
      </c>
      <c r="C486" s="30">
        <v>42</v>
      </c>
      <c r="D486" s="30">
        <v>11</v>
      </c>
      <c r="E486" s="30">
        <v>11</v>
      </c>
      <c r="F486" s="30">
        <v>4</v>
      </c>
      <c r="G486" s="30">
        <v>2</v>
      </c>
      <c r="H486" s="159"/>
      <c r="L486" s="21">
        <v>1</v>
      </c>
    </row>
    <row r="487" spans="2:12" ht="18">
      <c r="B487" s="30">
        <v>11</v>
      </c>
      <c r="C487" s="30">
        <v>64</v>
      </c>
      <c r="D487" s="30">
        <v>13</v>
      </c>
      <c r="E487" s="30">
        <v>9</v>
      </c>
      <c r="F487" s="30">
        <v>3</v>
      </c>
      <c r="G487" s="30">
        <v>0</v>
      </c>
      <c r="H487" s="159"/>
      <c r="L487" s="21">
        <v>1</v>
      </c>
    </row>
    <row r="488" spans="2:12" ht="18">
      <c r="B488" s="30">
        <v>11</v>
      </c>
      <c r="C488" s="30">
        <v>64</v>
      </c>
      <c r="D488" s="30">
        <v>12</v>
      </c>
      <c r="E488" s="30">
        <v>8</v>
      </c>
      <c r="F488" s="30">
        <v>8</v>
      </c>
      <c r="G488" s="30">
        <v>0</v>
      </c>
      <c r="H488" s="159"/>
      <c r="L488" s="21">
        <v>1</v>
      </c>
    </row>
    <row r="489" spans="2:12" ht="18">
      <c r="B489" s="30">
        <v>11</v>
      </c>
      <c r="C489" s="30">
        <v>64</v>
      </c>
      <c r="D489" s="30">
        <v>11</v>
      </c>
      <c r="E489" s="30">
        <v>5</v>
      </c>
      <c r="F489" s="30">
        <v>4</v>
      </c>
      <c r="G489" s="30">
        <v>0</v>
      </c>
      <c r="H489" s="159"/>
      <c r="L489" s="21">
        <v>1</v>
      </c>
    </row>
    <row r="490" spans="2:12" ht="18">
      <c r="B490" s="30">
        <v>11</v>
      </c>
      <c r="C490" s="30">
        <v>64</v>
      </c>
      <c r="D490" s="30">
        <v>10</v>
      </c>
      <c r="E490" s="30">
        <v>9</v>
      </c>
      <c r="F490" s="30">
        <v>0</v>
      </c>
      <c r="G490" s="30">
        <v>0</v>
      </c>
      <c r="H490" s="159"/>
      <c r="L490" s="21">
        <v>1</v>
      </c>
    </row>
    <row r="491" spans="2:12" ht="18">
      <c r="B491" s="30">
        <v>11</v>
      </c>
      <c r="C491" s="30">
        <v>64</v>
      </c>
      <c r="D491" s="30">
        <v>8</v>
      </c>
      <c r="E491" s="30">
        <v>12</v>
      </c>
      <c r="F491" s="30">
        <v>0</v>
      </c>
      <c r="G491" s="30">
        <v>0</v>
      </c>
      <c r="H491" s="159"/>
      <c r="L491" s="21">
        <v>1</v>
      </c>
    </row>
    <row r="492" spans="2:12" ht="18">
      <c r="B492" s="30">
        <v>11</v>
      </c>
      <c r="C492" s="30">
        <v>63</v>
      </c>
      <c r="D492" s="30">
        <v>11</v>
      </c>
      <c r="E492" s="30">
        <v>8</v>
      </c>
      <c r="F492" s="30">
        <v>0</v>
      </c>
      <c r="G492" s="30">
        <v>4</v>
      </c>
      <c r="H492" s="159"/>
      <c r="L492" s="21">
        <v>1</v>
      </c>
    </row>
    <row r="493" spans="2:12" ht="18">
      <c r="B493" s="30">
        <v>11</v>
      </c>
      <c r="C493" s="30">
        <v>63</v>
      </c>
      <c r="D493" s="30">
        <v>12</v>
      </c>
      <c r="E493" s="30">
        <v>12</v>
      </c>
      <c r="F493" s="30">
        <v>4</v>
      </c>
      <c r="G493" s="30">
        <v>0</v>
      </c>
      <c r="H493" s="159"/>
      <c r="L493" s="21">
        <v>1</v>
      </c>
    </row>
    <row r="494" spans="2:12" ht="18">
      <c r="B494" s="30">
        <v>11</v>
      </c>
      <c r="C494" s="30">
        <v>63</v>
      </c>
      <c r="D494" s="30">
        <v>13</v>
      </c>
      <c r="E494" s="30">
        <v>6</v>
      </c>
      <c r="F494" s="30">
        <v>3</v>
      </c>
      <c r="G494" s="30">
        <v>0</v>
      </c>
      <c r="H494" s="159"/>
      <c r="L494" s="21">
        <v>1</v>
      </c>
    </row>
    <row r="495" spans="2:12" ht="18">
      <c r="B495" s="30">
        <v>11</v>
      </c>
      <c r="C495" s="30">
        <v>63</v>
      </c>
      <c r="D495" s="30">
        <v>14</v>
      </c>
      <c r="E495" s="30">
        <v>7</v>
      </c>
      <c r="F495" s="30">
        <v>6</v>
      </c>
      <c r="G495" s="30">
        <v>0</v>
      </c>
      <c r="H495" s="159"/>
      <c r="L495" s="21">
        <v>1</v>
      </c>
    </row>
    <row r="496" spans="2:12" ht="18">
      <c r="B496" s="30">
        <v>11</v>
      </c>
      <c r="C496" s="30">
        <v>47</v>
      </c>
      <c r="D496" s="30">
        <v>10</v>
      </c>
      <c r="E496" s="30">
        <v>14</v>
      </c>
      <c r="F496" s="30">
        <v>4</v>
      </c>
      <c r="G496" s="30">
        <v>2</v>
      </c>
      <c r="H496" s="159"/>
      <c r="L496" s="21">
        <v>1</v>
      </c>
    </row>
    <row r="497" spans="2:12" ht="18">
      <c r="B497" s="30">
        <v>11</v>
      </c>
      <c r="C497" s="30">
        <v>47</v>
      </c>
      <c r="D497" s="30">
        <v>11</v>
      </c>
      <c r="E497" s="30">
        <v>12</v>
      </c>
      <c r="F497" s="30">
        <v>2</v>
      </c>
      <c r="G497" s="30">
        <v>5</v>
      </c>
      <c r="H497" s="159"/>
      <c r="L497" s="21">
        <v>1</v>
      </c>
    </row>
    <row r="498" spans="2:12" ht="18">
      <c r="B498" s="30">
        <v>11</v>
      </c>
      <c r="C498" s="30">
        <v>47</v>
      </c>
      <c r="D498" s="30">
        <v>12</v>
      </c>
      <c r="E498" s="30">
        <v>7</v>
      </c>
      <c r="F498" s="30">
        <v>0</v>
      </c>
      <c r="G498" s="30">
        <v>1</v>
      </c>
      <c r="H498" s="159"/>
      <c r="L498" s="21">
        <v>1</v>
      </c>
    </row>
    <row r="499" spans="2:12" ht="18">
      <c r="B499" s="30">
        <v>11</v>
      </c>
      <c r="C499" s="30">
        <v>47</v>
      </c>
      <c r="D499" s="30">
        <v>13</v>
      </c>
      <c r="E499" s="30">
        <v>10</v>
      </c>
      <c r="F499" s="30">
        <v>1</v>
      </c>
      <c r="G499" s="30">
        <v>3</v>
      </c>
      <c r="H499" s="159"/>
      <c r="L499" s="21">
        <v>1</v>
      </c>
    </row>
    <row r="500" spans="2:12" ht="18">
      <c r="B500" s="30">
        <v>11</v>
      </c>
      <c r="C500" s="30">
        <v>29</v>
      </c>
      <c r="D500" s="30">
        <v>15</v>
      </c>
      <c r="E500" s="30">
        <v>24</v>
      </c>
      <c r="F500" s="30">
        <v>6</v>
      </c>
      <c r="G500" s="30">
        <v>0</v>
      </c>
      <c r="H500" s="159"/>
      <c r="L500" s="21">
        <v>1</v>
      </c>
    </row>
    <row r="501" spans="2:12" ht="18">
      <c r="B501" s="30">
        <v>11</v>
      </c>
      <c r="C501" s="30">
        <v>29</v>
      </c>
      <c r="D501" s="30">
        <v>14</v>
      </c>
      <c r="E501" s="30">
        <v>27</v>
      </c>
      <c r="F501" s="30">
        <v>0</v>
      </c>
      <c r="G501" s="30">
        <v>0</v>
      </c>
      <c r="H501" s="159"/>
      <c r="L501" s="21">
        <v>1</v>
      </c>
    </row>
    <row r="502" spans="2:12" ht="18">
      <c r="B502" s="30">
        <v>11</v>
      </c>
      <c r="C502" s="30">
        <v>29</v>
      </c>
      <c r="D502" s="30">
        <v>10</v>
      </c>
      <c r="E502" s="30">
        <v>25</v>
      </c>
      <c r="F502" s="30">
        <v>0</v>
      </c>
      <c r="G502" s="30">
        <v>4</v>
      </c>
      <c r="H502" s="159"/>
      <c r="L502" s="21">
        <v>1</v>
      </c>
    </row>
    <row r="503" spans="2:12" ht="18">
      <c r="B503" s="30">
        <v>11</v>
      </c>
      <c r="C503" s="30">
        <v>29</v>
      </c>
      <c r="D503" s="30">
        <v>13</v>
      </c>
      <c r="E503" s="30">
        <v>25</v>
      </c>
      <c r="F503" s="30">
        <v>4</v>
      </c>
      <c r="G503" s="30">
        <v>0</v>
      </c>
      <c r="H503" s="159"/>
      <c r="L503" s="21">
        <v>1</v>
      </c>
    </row>
    <row r="504" spans="2:12" ht="18">
      <c r="B504" s="30">
        <v>11</v>
      </c>
      <c r="C504" s="30">
        <v>29</v>
      </c>
      <c r="D504" s="30">
        <v>12</v>
      </c>
      <c r="E504" s="30">
        <v>24</v>
      </c>
      <c r="F504" s="30">
        <v>4</v>
      </c>
      <c r="G504" s="30">
        <v>0</v>
      </c>
      <c r="H504" s="159"/>
      <c r="L504" s="21">
        <v>1</v>
      </c>
    </row>
    <row r="505" spans="2:12" ht="18">
      <c r="B505" s="30">
        <v>11</v>
      </c>
      <c r="C505" s="30">
        <v>29</v>
      </c>
      <c r="D505" s="30">
        <v>11</v>
      </c>
      <c r="E505" s="30">
        <v>24</v>
      </c>
      <c r="F505" s="30">
        <v>3</v>
      </c>
      <c r="G505" s="30">
        <v>1</v>
      </c>
      <c r="H505" s="159"/>
      <c r="L505" s="21">
        <v>1</v>
      </c>
    </row>
    <row r="506" spans="2:12" ht="18">
      <c r="B506" s="30">
        <v>11</v>
      </c>
      <c r="C506" s="30">
        <v>61</v>
      </c>
      <c r="D506" s="30">
        <v>9</v>
      </c>
      <c r="E506" s="30">
        <v>9</v>
      </c>
      <c r="F506" s="30">
        <v>7</v>
      </c>
      <c r="G506" s="30">
        <v>6</v>
      </c>
      <c r="H506" s="159"/>
      <c r="L506" s="21">
        <v>1</v>
      </c>
    </row>
    <row r="507" spans="2:12" ht="18">
      <c r="B507" s="30">
        <v>11</v>
      </c>
      <c r="C507" s="30">
        <v>61</v>
      </c>
      <c r="D507" s="30">
        <v>7</v>
      </c>
      <c r="E507" s="30">
        <v>19</v>
      </c>
      <c r="F507" s="30">
        <v>3</v>
      </c>
      <c r="G507" s="30">
        <v>6</v>
      </c>
      <c r="H507" s="159"/>
      <c r="L507" s="21">
        <v>1</v>
      </c>
    </row>
    <row r="508" spans="2:12" ht="18">
      <c r="B508" s="30">
        <v>11</v>
      </c>
      <c r="C508" s="30">
        <v>61</v>
      </c>
      <c r="D508" s="30">
        <v>8</v>
      </c>
      <c r="E508" s="30">
        <v>11</v>
      </c>
      <c r="F508" s="30">
        <v>6</v>
      </c>
      <c r="G508" s="30">
        <v>4</v>
      </c>
      <c r="H508" s="159"/>
      <c r="L508" s="21">
        <v>1</v>
      </c>
    </row>
    <row r="509" spans="2:12" ht="18">
      <c r="B509" s="30">
        <v>11</v>
      </c>
      <c r="C509" s="30">
        <v>57</v>
      </c>
      <c r="D509" s="30">
        <v>15</v>
      </c>
      <c r="E509" s="30">
        <v>7</v>
      </c>
      <c r="F509" s="30">
        <v>4</v>
      </c>
      <c r="G509" s="30">
        <v>3</v>
      </c>
      <c r="H509" s="159"/>
      <c r="L509" s="21">
        <v>1</v>
      </c>
    </row>
    <row r="510" spans="2:12" ht="18">
      <c r="B510" s="30">
        <v>11</v>
      </c>
      <c r="C510" s="30">
        <v>57</v>
      </c>
      <c r="D510" s="30">
        <v>14</v>
      </c>
      <c r="E510" s="30">
        <v>11</v>
      </c>
      <c r="F510" s="30">
        <v>2</v>
      </c>
      <c r="G510" s="30">
        <v>0</v>
      </c>
      <c r="H510" s="159"/>
      <c r="L510" s="21">
        <v>1</v>
      </c>
    </row>
    <row r="511" spans="2:12" ht="18">
      <c r="B511" s="30">
        <v>11</v>
      </c>
      <c r="C511" s="30">
        <v>57</v>
      </c>
      <c r="D511" s="30">
        <v>12</v>
      </c>
      <c r="E511" s="30">
        <v>8</v>
      </c>
      <c r="F511" s="30">
        <v>4</v>
      </c>
      <c r="G511" s="30">
        <v>3</v>
      </c>
      <c r="H511" s="159"/>
      <c r="L511" s="21">
        <v>1</v>
      </c>
    </row>
    <row r="512" spans="2:12" ht="18">
      <c r="B512" s="30">
        <v>11</v>
      </c>
      <c r="C512" s="30">
        <v>57</v>
      </c>
      <c r="D512" s="30">
        <v>13</v>
      </c>
      <c r="E512" s="30">
        <v>2</v>
      </c>
      <c r="F512" s="30">
        <v>0</v>
      </c>
      <c r="G512" s="30">
        <v>1</v>
      </c>
      <c r="H512" s="159"/>
      <c r="L512" s="21">
        <v>1</v>
      </c>
    </row>
    <row r="513" spans="2:12" ht="18">
      <c r="B513" s="30">
        <v>11</v>
      </c>
      <c r="C513" s="30">
        <v>58</v>
      </c>
      <c r="D513" s="30">
        <v>13</v>
      </c>
      <c r="E513" s="30">
        <v>5</v>
      </c>
      <c r="F513" s="30">
        <v>18</v>
      </c>
      <c r="G513" s="30">
        <v>3</v>
      </c>
      <c r="H513" s="159"/>
      <c r="L513" s="21">
        <v>1</v>
      </c>
    </row>
    <row r="514" spans="2:12" ht="18">
      <c r="B514" s="30">
        <v>11</v>
      </c>
      <c r="C514" s="30">
        <v>58</v>
      </c>
      <c r="D514" s="30">
        <v>12</v>
      </c>
      <c r="E514" s="30">
        <v>1</v>
      </c>
      <c r="F514" s="30">
        <v>1</v>
      </c>
      <c r="G514" s="30">
        <v>0</v>
      </c>
      <c r="H514" s="159"/>
      <c r="L514" s="21">
        <v>1</v>
      </c>
    </row>
    <row r="515" spans="2:12" ht="18">
      <c r="B515" s="30">
        <v>11</v>
      </c>
      <c r="C515" s="30">
        <v>58</v>
      </c>
      <c r="D515" s="30">
        <v>11</v>
      </c>
      <c r="E515" s="30">
        <v>21</v>
      </c>
      <c r="F515" s="30">
        <v>10</v>
      </c>
      <c r="G515" s="30">
        <v>1</v>
      </c>
      <c r="H515" s="159"/>
      <c r="L515" s="21">
        <v>1</v>
      </c>
    </row>
    <row r="516" spans="2:12" ht="18">
      <c r="B516" s="30">
        <v>11</v>
      </c>
      <c r="C516" s="30">
        <v>58</v>
      </c>
      <c r="D516" s="30">
        <v>10</v>
      </c>
      <c r="E516" s="30">
        <v>14</v>
      </c>
      <c r="F516" s="30">
        <v>6</v>
      </c>
      <c r="G516" s="30">
        <v>3</v>
      </c>
      <c r="H516" s="159"/>
      <c r="L516" s="21">
        <v>1</v>
      </c>
    </row>
    <row r="517" spans="2:12" ht="18">
      <c r="B517" s="30">
        <v>11</v>
      </c>
      <c r="C517" s="30">
        <v>55</v>
      </c>
      <c r="D517" s="30">
        <v>11</v>
      </c>
      <c r="E517" s="30">
        <v>6</v>
      </c>
      <c r="F517" s="30">
        <v>1</v>
      </c>
      <c r="G517" s="30">
        <v>0</v>
      </c>
      <c r="H517" s="159"/>
      <c r="L517" s="21">
        <v>1</v>
      </c>
    </row>
    <row r="518" spans="2:12" ht="18">
      <c r="B518" s="30">
        <v>11</v>
      </c>
      <c r="C518" s="30">
        <v>55</v>
      </c>
      <c r="D518" s="30">
        <v>12</v>
      </c>
      <c r="E518" s="30">
        <v>14</v>
      </c>
      <c r="F518" s="30">
        <v>0</v>
      </c>
      <c r="G518" s="30">
        <v>0</v>
      </c>
      <c r="H518" s="159"/>
      <c r="L518" s="21">
        <v>1</v>
      </c>
    </row>
    <row r="519" spans="2:12" ht="18">
      <c r="B519" s="30">
        <v>11</v>
      </c>
      <c r="C519" s="30">
        <v>55</v>
      </c>
      <c r="D519" s="30">
        <v>13</v>
      </c>
      <c r="E519" s="30">
        <v>13</v>
      </c>
      <c r="F519" s="30">
        <v>0</v>
      </c>
      <c r="G519" s="30">
        <v>0</v>
      </c>
      <c r="H519" s="159"/>
      <c r="L519" s="21">
        <v>1</v>
      </c>
    </row>
    <row r="520" spans="2:12" ht="18">
      <c r="B520" s="30">
        <v>11</v>
      </c>
      <c r="C520" s="30">
        <v>55</v>
      </c>
      <c r="D520" s="30">
        <v>14</v>
      </c>
      <c r="E520" s="30">
        <v>9</v>
      </c>
      <c r="F520" s="30">
        <v>1</v>
      </c>
      <c r="G520" s="30">
        <v>0</v>
      </c>
      <c r="H520" s="159"/>
      <c r="L520" s="21">
        <v>1</v>
      </c>
    </row>
    <row r="521" spans="2:12" ht="18">
      <c r="B521" s="30">
        <v>11</v>
      </c>
      <c r="C521" s="30">
        <v>55</v>
      </c>
      <c r="D521" s="30">
        <v>15</v>
      </c>
      <c r="E521" s="30">
        <v>6</v>
      </c>
      <c r="F521" s="30">
        <v>1</v>
      </c>
      <c r="G521" s="30">
        <v>1</v>
      </c>
      <c r="H521" s="159"/>
      <c r="L521" s="21">
        <v>1</v>
      </c>
    </row>
    <row r="522" spans="2:12" ht="18">
      <c r="B522" s="30">
        <v>11</v>
      </c>
      <c r="C522" s="30">
        <v>51</v>
      </c>
      <c r="D522" s="30">
        <v>11</v>
      </c>
      <c r="E522" s="30">
        <v>18</v>
      </c>
      <c r="F522" s="30">
        <v>1</v>
      </c>
      <c r="G522" s="30">
        <v>0</v>
      </c>
      <c r="H522" s="159"/>
      <c r="L522" s="21">
        <v>1</v>
      </c>
    </row>
    <row r="523" spans="2:12" ht="18">
      <c r="B523" s="30">
        <v>11</v>
      </c>
      <c r="C523" s="30">
        <v>51</v>
      </c>
      <c r="D523" s="30">
        <v>12</v>
      </c>
      <c r="E523" s="30">
        <v>3</v>
      </c>
      <c r="F523" s="30">
        <v>0</v>
      </c>
      <c r="G523" s="30">
        <v>0</v>
      </c>
      <c r="H523" s="159"/>
      <c r="L523" s="21">
        <v>1</v>
      </c>
    </row>
    <row r="524" spans="2:12" ht="18">
      <c r="B524" s="30">
        <v>11</v>
      </c>
      <c r="C524" s="30">
        <v>51</v>
      </c>
      <c r="D524" s="30">
        <v>13</v>
      </c>
      <c r="E524" s="30">
        <v>2</v>
      </c>
      <c r="F524" s="30">
        <v>0</v>
      </c>
      <c r="G524" s="30">
        <v>0</v>
      </c>
      <c r="H524" s="159"/>
      <c r="L524" s="21">
        <v>1</v>
      </c>
    </row>
    <row r="525" spans="2:12" ht="18">
      <c r="B525" s="30">
        <v>11</v>
      </c>
      <c r="C525" s="30">
        <v>51</v>
      </c>
      <c r="D525" s="30">
        <v>14</v>
      </c>
      <c r="E525" s="30">
        <v>2</v>
      </c>
      <c r="F525" s="30">
        <v>0</v>
      </c>
      <c r="G525" s="30">
        <v>0</v>
      </c>
      <c r="H525" s="159"/>
      <c r="L525" s="21">
        <v>1</v>
      </c>
    </row>
    <row r="526" spans="2:12" ht="18">
      <c r="B526" s="30">
        <v>11</v>
      </c>
      <c r="C526" s="30">
        <v>38</v>
      </c>
      <c r="D526" s="30">
        <v>13</v>
      </c>
      <c r="E526" s="30">
        <v>5</v>
      </c>
      <c r="F526" s="30">
        <v>1</v>
      </c>
      <c r="G526" s="30">
        <v>1</v>
      </c>
      <c r="H526" s="159"/>
      <c r="L526" s="21">
        <v>1</v>
      </c>
    </row>
    <row r="527" spans="2:12" ht="18">
      <c r="B527" s="30">
        <v>11</v>
      </c>
      <c r="C527" s="30">
        <v>38</v>
      </c>
      <c r="D527" s="30">
        <v>14</v>
      </c>
      <c r="E527" s="30">
        <v>6</v>
      </c>
      <c r="F527" s="30">
        <v>2</v>
      </c>
      <c r="G527" s="30">
        <v>0</v>
      </c>
      <c r="H527" s="159"/>
      <c r="L527" s="21">
        <v>1</v>
      </c>
    </row>
    <row r="528" spans="2:12" ht="18">
      <c r="B528" s="30">
        <v>11</v>
      </c>
      <c r="C528" s="30">
        <v>41</v>
      </c>
      <c r="D528" s="30">
        <v>14</v>
      </c>
      <c r="E528" s="30">
        <v>17</v>
      </c>
      <c r="F528" s="30">
        <v>8</v>
      </c>
      <c r="G528" s="30">
        <v>6</v>
      </c>
      <c r="H528" s="159"/>
      <c r="L528" s="21">
        <v>1</v>
      </c>
    </row>
    <row r="529" spans="2:12" ht="18">
      <c r="B529" s="30">
        <v>11</v>
      </c>
      <c r="C529" s="30">
        <v>41</v>
      </c>
      <c r="D529" s="30">
        <v>15</v>
      </c>
      <c r="E529" s="30">
        <v>19</v>
      </c>
      <c r="F529" s="30">
        <v>10</v>
      </c>
      <c r="G529" s="30">
        <v>6</v>
      </c>
      <c r="H529" s="159"/>
      <c r="L529" s="21">
        <v>1</v>
      </c>
    </row>
    <row r="530" spans="2:12" ht="18">
      <c r="B530" s="30">
        <v>11</v>
      </c>
      <c r="C530" s="30">
        <v>41</v>
      </c>
      <c r="D530" s="30">
        <v>13</v>
      </c>
      <c r="E530" s="30">
        <v>20</v>
      </c>
      <c r="F530" s="30">
        <v>9</v>
      </c>
      <c r="G530" s="30">
        <v>8</v>
      </c>
      <c r="H530" s="159"/>
      <c r="L530" s="21">
        <v>1</v>
      </c>
    </row>
    <row r="531" spans="2:12" ht="18">
      <c r="B531" s="30">
        <v>11</v>
      </c>
      <c r="C531" s="30">
        <v>41</v>
      </c>
      <c r="D531" s="30">
        <v>12</v>
      </c>
      <c r="E531" s="30">
        <v>17</v>
      </c>
      <c r="F531" s="30">
        <v>8</v>
      </c>
      <c r="G531" s="30">
        <v>6</v>
      </c>
      <c r="H531" s="159"/>
      <c r="L531" s="21">
        <v>1</v>
      </c>
    </row>
    <row r="532" spans="2:12" ht="18">
      <c r="B532" s="30">
        <v>11</v>
      </c>
      <c r="C532" s="30">
        <v>41</v>
      </c>
      <c r="D532" s="30">
        <v>11</v>
      </c>
      <c r="E532" s="30">
        <v>12</v>
      </c>
      <c r="F532" s="30">
        <v>14</v>
      </c>
      <c r="G532" s="30">
        <v>7</v>
      </c>
      <c r="H532" s="159"/>
      <c r="L532" s="21">
        <v>1</v>
      </c>
    </row>
    <row r="533" spans="2:12" ht="18">
      <c r="B533" s="30">
        <v>11</v>
      </c>
      <c r="C533" s="30">
        <v>38</v>
      </c>
      <c r="D533" s="30">
        <v>11</v>
      </c>
      <c r="E533" s="30">
        <v>4</v>
      </c>
      <c r="F533" s="30">
        <v>3</v>
      </c>
      <c r="G533" s="30">
        <v>1</v>
      </c>
      <c r="H533" s="159"/>
      <c r="L533" s="21">
        <v>1</v>
      </c>
    </row>
    <row r="534" spans="2:12" ht="18">
      <c r="B534" s="30">
        <v>11</v>
      </c>
      <c r="C534" s="30">
        <v>38</v>
      </c>
      <c r="D534" s="30">
        <v>12</v>
      </c>
      <c r="E534" s="30">
        <v>3</v>
      </c>
      <c r="F534" s="30">
        <v>1</v>
      </c>
      <c r="G534" s="30">
        <v>0</v>
      </c>
      <c r="H534" s="159"/>
      <c r="L534" s="21">
        <v>1</v>
      </c>
    </row>
    <row r="535" spans="2:12" ht="18">
      <c r="B535" s="30">
        <v>11</v>
      </c>
      <c r="C535" s="30">
        <v>50</v>
      </c>
      <c r="D535" s="30">
        <v>10</v>
      </c>
      <c r="E535" s="30">
        <v>19</v>
      </c>
      <c r="F535" s="30">
        <v>4</v>
      </c>
      <c r="G535" s="30">
        <v>2</v>
      </c>
      <c r="H535" s="159"/>
      <c r="L535" s="21">
        <v>1</v>
      </c>
    </row>
    <row r="536" spans="2:12" ht="18">
      <c r="B536" s="30">
        <v>11</v>
      </c>
      <c r="C536" s="30">
        <v>50</v>
      </c>
      <c r="D536" s="30">
        <v>11</v>
      </c>
      <c r="E536" s="30">
        <v>15</v>
      </c>
      <c r="F536" s="30">
        <v>1</v>
      </c>
      <c r="G536" s="30">
        <v>3</v>
      </c>
      <c r="H536" s="159"/>
      <c r="L536" s="21">
        <v>1</v>
      </c>
    </row>
    <row r="537" spans="2:12" ht="18">
      <c r="B537" s="30">
        <v>11</v>
      </c>
      <c r="C537" s="30">
        <v>50</v>
      </c>
      <c r="D537" s="30">
        <v>12</v>
      </c>
      <c r="E537" s="30">
        <v>12</v>
      </c>
      <c r="F537" s="30">
        <v>2</v>
      </c>
      <c r="G537" s="30">
        <v>1</v>
      </c>
      <c r="H537" s="159"/>
      <c r="L537" s="21">
        <v>1</v>
      </c>
    </row>
    <row r="538" spans="2:12" ht="18">
      <c r="B538" s="30">
        <v>11</v>
      </c>
      <c r="C538" s="30">
        <v>50</v>
      </c>
      <c r="D538" s="30">
        <v>13</v>
      </c>
      <c r="E538" s="30">
        <v>17</v>
      </c>
      <c r="F538" s="30">
        <v>1</v>
      </c>
      <c r="G538" s="30">
        <v>2</v>
      </c>
      <c r="H538" s="159"/>
      <c r="L538" s="21">
        <v>1</v>
      </c>
    </row>
    <row r="539" spans="2:12" ht="18">
      <c r="B539" s="30">
        <v>11</v>
      </c>
      <c r="C539" s="30">
        <v>50</v>
      </c>
      <c r="D539" s="30">
        <v>14</v>
      </c>
      <c r="E539" s="30">
        <v>12</v>
      </c>
      <c r="F539" s="30">
        <v>3</v>
      </c>
      <c r="G539" s="30">
        <v>0</v>
      </c>
      <c r="H539" s="159"/>
      <c r="L539" s="21">
        <v>1</v>
      </c>
    </row>
    <row r="540" spans="2:12" ht="18">
      <c r="B540" s="30">
        <v>11</v>
      </c>
      <c r="C540" s="30">
        <v>35</v>
      </c>
      <c r="D540" s="30">
        <v>12</v>
      </c>
      <c r="E540" s="30">
        <v>23</v>
      </c>
      <c r="F540" s="30">
        <v>2</v>
      </c>
      <c r="G540" s="30">
        <v>1</v>
      </c>
      <c r="H540" s="159"/>
      <c r="L540" s="21">
        <v>1</v>
      </c>
    </row>
    <row r="541" spans="2:12" ht="18">
      <c r="B541" s="30">
        <v>11</v>
      </c>
      <c r="C541" s="30">
        <v>35</v>
      </c>
      <c r="D541" s="30">
        <v>13</v>
      </c>
      <c r="E541" s="30">
        <v>20</v>
      </c>
      <c r="F541" s="30">
        <v>0</v>
      </c>
      <c r="G541" s="30">
        <v>1</v>
      </c>
      <c r="H541" s="159"/>
      <c r="L541" s="21">
        <v>1</v>
      </c>
    </row>
    <row r="542" spans="2:12" ht="18">
      <c r="B542" s="30">
        <v>11</v>
      </c>
      <c r="C542" s="30">
        <v>35</v>
      </c>
      <c r="D542" s="30">
        <v>14</v>
      </c>
      <c r="E542" s="30">
        <v>18</v>
      </c>
      <c r="F542" s="30">
        <v>0</v>
      </c>
      <c r="G542" s="30">
        <v>0</v>
      </c>
      <c r="H542" s="159"/>
      <c r="L542" s="21">
        <v>1</v>
      </c>
    </row>
    <row r="543" spans="2:12" ht="18">
      <c r="B543" s="30">
        <v>11</v>
      </c>
      <c r="C543" s="30">
        <v>35</v>
      </c>
      <c r="D543" s="30">
        <v>15</v>
      </c>
      <c r="E543" s="30">
        <v>17</v>
      </c>
      <c r="F543" s="30">
        <v>1</v>
      </c>
      <c r="G543" s="30">
        <v>1</v>
      </c>
      <c r="H543" s="159"/>
      <c r="L543" s="21">
        <v>1</v>
      </c>
    </row>
    <row r="544" spans="2:12" ht="18">
      <c r="B544" s="30">
        <v>11</v>
      </c>
      <c r="C544" s="30">
        <v>30</v>
      </c>
      <c r="D544" s="30">
        <v>15</v>
      </c>
      <c r="E544" s="30">
        <v>11</v>
      </c>
      <c r="F544" s="30">
        <v>5</v>
      </c>
      <c r="G544" s="30">
        <v>3</v>
      </c>
      <c r="H544" s="159"/>
      <c r="L544" s="21">
        <v>1</v>
      </c>
    </row>
    <row r="545" spans="2:12" ht="18">
      <c r="B545" s="30">
        <v>11</v>
      </c>
      <c r="C545" s="30">
        <v>30</v>
      </c>
      <c r="D545" s="30">
        <v>14</v>
      </c>
      <c r="E545" s="30">
        <v>8</v>
      </c>
      <c r="F545" s="30">
        <v>6</v>
      </c>
      <c r="G545" s="30">
        <v>1</v>
      </c>
      <c r="H545" s="159"/>
      <c r="L545" s="21">
        <v>1</v>
      </c>
    </row>
    <row r="546" spans="2:12" ht="18">
      <c r="B546" s="30">
        <v>11</v>
      </c>
      <c r="C546" s="30">
        <v>39</v>
      </c>
      <c r="D546" s="30">
        <v>14</v>
      </c>
      <c r="E546" s="30">
        <v>6</v>
      </c>
      <c r="F546" s="30">
        <v>9</v>
      </c>
      <c r="G546" s="30">
        <v>8</v>
      </c>
      <c r="H546" s="159"/>
      <c r="L546" s="21">
        <v>1</v>
      </c>
    </row>
    <row r="547" spans="2:12" ht="18">
      <c r="B547" s="30">
        <v>11</v>
      </c>
      <c r="C547" s="30">
        <v>39</v>
      </c>
      <c r="D547" s="30">
        <v>13</v>
      </c>
      <c r="E547" s="30">
        <v>7</v>
      </c>
      <c r="F547" s="30">
        <v>9</v>
      </c>
      <c r="G547" s="30">
        <v>9</v>
      </c>
      <c r="H547" s="159"/>
      <c r="L547" s="21">
        <v>1</v>
      </c>
    </row>
    <row r="548" spans="2:12" ht="18">
      <c r="B548" s="30">
        <v>11</v>
      </c>
      <c r="C548" s="30">
        <v>39</v>
      </c>
      <c r="D548" s="30">
        <v>12</v>
      </c>
      <c r="E548" s="30">
        <v>10</v>
      </c>
      <c r="F548" s="30">
        <v>7</v>
      </c>
      <c r="G548" s="30">
        <v>8</v>
      </c>
      <c r="H548" s="159"/>
      <c r="L548" s="21">
        <v>1</v>
      </c>
    </row>
    <row r="549" spans="2:12" ht="18">
      <c r="B549" s="30">
        <v>11</v>
      </c>
      <c r="C549" s="30">
        <v>37</v>
      </c>
      <c r="D549" s="30">
        <v>14</v>
      </c>
      <c r="E549" s="30">
        <v>12</v>
      </c>
      <c r="F549" s="30">
        <v>4</v>
      </c>
      <c r="G549" s="30">
        <v>3</v>
      </c>
      <c r="H549" s="159"/>
      <c r="L549" s="21">
        <v>1</v>
      </c>
    </row>
    <row r="550" spans="2:12" ht="18">
      <c r="B550" s="30">
        <v>11</v>
      </c>
      <c r="C550" s="30">
        <v>37</v>
      </c>
      <c r="D550" s="30">
        <v>13</v>
      </c>
      <c r="E550" s="30">
        <v>13</v>
      </c>
      <c r="F550" s="30">
        <v>3</v>
      </c>
      <c r="G550" s="30">
        <v>2</v>
      </c>
      <c r="H550" s="159"/>
      <c r="L550" s="21">
        <v>1</v>
      </c>
    </row>
    <row r="551" spans="2:12" ht="18">
      <c r="B551" s="30">
        <v>11</v>
      </c>
      <c r="C551" s="30">
        <v>37</v>
      </c>
      <c r="D551" s="30">
        <v>12</v>
      </c>
      <c r="E551" s="30">
        <v>17</v>
      </c>
      <c r="F551" s="30">
        <v>3</v>
      </c>
      <c r="G551" s="30">
        <v>2</v>
      </c>
      <c r="H551" s="159"/>
      <c r="L551" s="21">
        <v>1</v>
      </c>
    </row>
    <row r="552" spans="2:12" ht="18">
      <c r="B552" s="30">
        <v>11</v>
      </c>
      <c r="C552" s="30">
        <v>37</v>
      </c>
      <c r="D552" s="30">
        <v>11</v>
      </c>
      <c r="E552" s="30">
        <v>14</v>
      </c>
      <c r="F552" s="30">
        <v>2</v>
      </c>
      <c r="G552" s="30">
        <v>4</v>
      </c>
      <c r="H552" s="159"/>
      <c r="L552" s="21">
        <v>1</v>
      </c>
    </row>
    <row r="553" spans="2:12" ht="18">
      <c r="B553" s="30">
        <v>11</v>
      </c>
      <c r="C553" s="30">
        <v>37</v>
      </c>
      <c r="D553" s="30">
        <v>10</v>
      </c>
      <c r="E553" s="30">
        <v>10</v>
      </c>
      <c r="F553" s="30">
        <v>5</v>
      </c>
      <c r="G553" s="30">
        <v>6</v>
      </c>
      <c r="H553" s="159"/>
      <c r="L553" s="21">
        <v>1</v>
      </c>
    </row>
    <row r="554" spans="2:12" ht="18">
      <c r="B554" s="30">
        <v>11</v>
      </c>
      <c r="C554" s="30">
        <v>26</v>
      </c>
      <c r="D554" s="30">
        <v>15</v>
      </c>
      <c r="E554" s="30">
        <v>12</v>
      </c>
      <c r="F554" s="30">
        <v>14</v>
      </c>
      <c r="G554" s="30">
        <v>3</v>
      </c>
      <c r="H554" s="159"/>
      <c r="L554" s="21">
        <v>1</v>
      </c>
    </row>
    <row r="555" spans="2:12" ht="18">
      <c r="B555" s="30">
        <v>11</v>
      </c>
      <c r="C555" s="30">
        <v>34</v>
      </c>
      <c r="D555" s="30">
        <v>11</v>
      </c>
      <c r="E555" s="30">
        <v>26</v>
      </c>
      <c r="F555" s="30">
        <v>6</v>
      </c>
      <c r="G555" s="30">
        <v>7</v>
      </c>
      <c r="H555" s="159"/>
      <c r="L555" s="21">
        <v>1</v>
      </c>
    </row>
    <row r="556" spans="2:12" ht="18">
      <c r="B556" s="30">
        <v>11</v>
      </c>
      <c r="C556" s="30">
        <v>34</v>
      </c>
      <c r="D556" s="30">
        <v>12</v>
      </c>
      <c r="E556" s="30">
        <v>22</v>
      </c>
      <c r="F556" s="30">
        <v>0</v>
      </c>
      <c r="G556" s="30">
        <v>5</v>
      </c>
      <c r="H556" s="159"/>
      <c r="L556" s="21">
        <v>1</v>
      </c>
    </row>
    <row r="557" spans="2:12" ht="18">
      <c r="B557" s="30">
        <v>11</v>
      </c>
      <c r="C557" s="30">
        <v>34</v>
      </c>
      <c r="D557" s="30">
        <v>13</v>
      </c>
      <c r="E557" s="30">
        <v>15</v>
      </c>
      <c r="F557" s="30">
        <v>0</v>
      </c>
      <c r="G557" s="30">
        <v>4</v>
      </c>
      <c r="H557" s="159"/>
      <c r="L557" s="21">
        <v>1</v>
      </c>
    </row>
    <row r="558" spans="2:12" ht="18">
      <c r="B558" s="30">
        <v>11</v>
      </c>
      <c r="C558" s="30">
        <v>44</v>
      </c>
      <c r="D558" s="30">
        <v>17</v>
      </c>
      <c r="E558" s="30">
        <v>5</v>
      </c>
      <c r="F558" s="30">
        <v>21</v>
      </c>
      <c r="G558" s="30">
        <v>2</v>
      </c>
      <c r="H558" s="159"/>
      <c r="L558" s="21">
        <v>1</v>
      </c>
    </row>
    <row r="559" spans="2:12" ht="18">
      <c r="B559" s="30">
        <v>11</v>
      </c>
      <c r="C559" s="30">
        <v>43</v>
      </c>
      <c r="D559" s="30">
        <v>13</v>
      </c>
      <c r="E559" s="30">
        <v>13</v>
      </c>
      <c r="F559" s="30">
        <v>10</v>
      </c>
      <c r="G559" s="30">
        <v>6</v>
      </c>
      <c r="H559" s="159"/>
      <c r="L559" s="21">
        <v>1</v>
      </c>
    </row>
    <row r="560" spans="2:12" ht="18">
      <c r="B560" s="30">
        <v>11</v>
      </c>
      <c r="C560" s="30">
        <v>43</v>
      </c>
      <c r="D560" s="30">
        <v>14</v>
      </c>
      <c r="E560" s="30">
        <v>33</v>
      </c>
      <c r="F560" s="30">
        <v>14</v>
      </c>
      <c r="G560" s="30">
        <v>3</v>
      </c>
      <c r="H560" s="159"/>
      <c r="L560" s="21">
        <v>1</v>
      </c>
    </row>
    <row r="561" spans="2:12" ht="18">
      <c r="B561" s="30">
        <v>11</v>
      </c>
      <c r="C561" s="30">
        <v>24</v>
      </c>
      <c r="D561" s="30">
        <v>12</v>
      </c>
      <c r="E561" s="30">
        <v>13</v>
      </c>
      <c r="F561" s="30">
        <v>5</v>
      </c>
      <c r="G561" s="30">
        <v>0</v>
      </c>
      <c r="H561" s="159"/>
      <c r="L561" s="21">
        <v>1</v>
      </c>
    </row>
    <row r="562" spans="2:12" ht="18">
      <c r="B562" s="30">
        <v>11</v>
      </c>
      <c r="C562" s="30">
        <v>24</v>
      </c>
      <c r="D562" s="30">
        <v>13</v>
      </c>
      <c r="E562" s="30">
        <v>16</v>
      </c>
      <c r="F562" s="30">
        <v>2</v>
      </c>
      <c r="G562" s="30">
        <v>3</v>
      </c>
      <c r="H562" s="159"/>
      <c r="L562" s="21">
        <v>1</v>
      </c>
    </row>
    <row r="563" spans="2:12" ht="18">
      <c r="B563" s="30">
        <v>11</v>
      </c>
      <c r="C563" s="30">
        <v>24</v>
      </c>
      <c r="D563" s="30">
        <v>14</v>
      </c>
      <c r="E563" s="30">
        <v>19</v>
      </c>
      <c r="F563" s="30">
        <v>0</v>
      </c>
      <c r="G563" s="30">
        <v>1</v>
      </c>
      <c r="H563" s="159"/>
      <c r="L563" s="21">
        <v>1</v>
      </c>
    </row>
    <row r="564" spans="2:12" ht="18">
      <c r="B564" s="30">
        <v>11</v>
      </c>
      <c r="C564" s="30">
        <v>24</v>
      </c>
      <c r="D564" s="30">
        <v>15</v>
      </c>
      <c r="E564" s="30">
        <v>15</v>
      </c>
      <c r="F564" s="30">
        <v>1</v>
      </c>
      <c r="G564" s="30">
        <v>0</v>
      </c>
      <c r="H564" s="159"/>
      <c r="L564" s="21">
        <v>1</v>
      </c>
    </row>
    <row r="565" spans="2:12" ht="18">
      <c r="B565" s="30">
        <v>11</v>
      </c>
      <c r="C565" s="30">
        <v>31</v>
      </c>
      <c r="D565" s="30">
        <v>16</v>
      </c>
      <c r="E565" s="30">
        <v>15</v>
      </c>
      <c r="F565" s="30">
        <v>0</v>
      </c>
      <c r="G565" s="30">
        <v>4</v>
      </c>
      <c r="H565" s="159"/>
      <c r="L565" s="21">
        <v>1</v>
      </c>
    </row>
    <row r="566" spans="2:12" ht="18">
      <c r="B566" s="30">
        <v>11</v>
      </c>
      <c r="C566" s="30">
        <v>25</v>
      </c>
      <c r="D566" s="30">
        <v>14</v>
      </c>
      <c r="E566" s="30">
        <v>8</v>
      </c>
      <c r="F566" s="30">
        <v>10</v>
      </c>
      <c r="G566" s="30">
        <v>2</v>
      </c>
      <c r="H566" s="159"/>
      <c r="L566" s="21">
        <v>1</v>
      </c>
    </row>
    <row r="567" spans="2:12" ht="18">
      <c r="B567" s="30">
        <v>11</v>
      </c>
      <c r="C567" s="30">
        <v>31</v>
      </c>
      <c r="D567" s="30">
        <v>17</v>
      </c>
      <c r="E567" s="30">
        <v>10</v>
      </c>
      <c r="F567" s="30">
        <v>0</v>
      </c>
      <c r="G567" s="30">
        <v>0</v>
      </c>
      <c r="H567" s="159"/>
      <c r="L567" s="21">
        <v>1</v>
      </c>
    </row>
    <row r="568" spans="2:12" ht="18">
      <c r="B568" s="30">
        <v>11</v>
      </c>
      <c r="C568" s="30">
        <v>31</v>
      </c>
      <c r="D568" s="30">
        <v>15</v>
      </c>
      <c r="E568" s="30">
        <v>10</v>
      </c>
      <c r="F568" s="30">
        <v>0</v>
      </c>
      <c r="G568" s="30">
        <v>10</v>
      </c>
      <c r="H568" s="159"/>
      <c r="L568" s="21">
        <v>1</v>
      </c>
    </row>
    <row r="569" spans="2:12" ht="18">
      <c r="B569" s="30">
        <v>11</v>
      </c>
      <c r="C569" s="30">
        <v>31</v>
      </c>
      <c r="D569" s="30">
        <v>14</v>
      </c>
      <c r="E569" s="30">
        <v>15</v>
      </c>
      <c r="F569" s="30">
        <v>0</v>
      </c>
      <c r="G569" s="30">
        <v>0</v>
      </c>
      <c r="H569" s="159"/>
      <c r="L569" s="21">
        <v>1</v>
      </c>
    </row>
    <row r="570" spans="2:12" ht="18">
      <c r="B570" s="30">
        <v>11</v>
      </c>
      <c r="C570" s="30">
        <v>31</v>
      </c>
      <c r="D570" s="30">
        <v>13</v>
      </c>
      <c r="E570" s="30">
        <v>25</v>
      </c>
      <c r="F570" s="30">
        <v>0</v>
      </c>
      <c r="G570" s="30">
        <v>0</v>
      </c>
      <c r="H570" s="159"/>
      <c r="L570" s="21">
        <v>1</v>
      </c>
    </row>
    <row r="571" spans="2:12" ht="18">
      <c r="B571" s="30">
        <v>11</v>
      </c>
      <c r="C571" s="30">
        <v>31</v>
      </c>
      <c r="D571" s="30">
        <v>12</v>
      </c>
      <c r="E571" s="30">
        <v>19</v>
      </c>
      <c r="F571" s="30">
        <v>2</v>
      </c>
      <c r="G571" s="30">
        <v>4</v>
      </c>
      <c r="H571" s="159"/>
      <c r="L571" s="21">
        <v>1</v>
      </c>
    </row>
    <row r="572" spans="2:12" ht="18">
      <c r="B572" s="30">
        <v>11</v>
      </c>
      <c r="C572" s="30">
        <v>31</v>
      </c>
      <c r="D572" s="30">
        <v>11</v>
      </c>
      <c r="E572" s="30">
        <v>25</v>
      </c>
      <c r="F572" s="30">
        <v>0</v>
      </c>
      <c r="G572" s="30">
        <v>0</v>
      </c>
      <c r="H572" s="159"/>
      <c r="L572" s="21">
        <v>1</v>
      </c>
    </row>
    <row r="573" spans="2:12" ht="18">
      <c r="B573" s="30">
        <v>11</v>
      </c>
      <c r="C573" s="30">
        <v>31</v>
      </c>
      <c r="D573" s="30">
        <v>10</v>
      </c>
      <c r="E573" s="30">
        <v>20</v>
      </c>
      <c r="F573" s="30">
        <v>0</v>
      </c>
      <c r="G573" s="30">
        <v>0</v>
      </c>
      <c r="H573" s="159"/>
      <c r="L573" s="21">
        <v>1</v>
      </c>
    </row>
    <row r="574" spans="2:12" ht="18">
      <c r="B574" s="30">
        <v>11</v>
      </c>
      <c r="C574" s="30">
        <v>31</v>
      </c>
      <c r="D574" s="30">
        <v>9</v>
      </c>
      <c r="E574" s="30">
        <v>22</v>
      </c>
      <c r="F574" s="30">
        <v>3</v>
      </c>
      <c r="G574" s="30">
        <v>0</v>
      </c>
      <c r="H574" s="159"/>
      <c r="L574" s="21">
        <v>1</v>
      </c>
    </row>
    <row r="575" spans="2:12" ht="18">
      <c r="B575" s="30">
        <v>11</v>
      </c>
      <c r="C575" s="30">
        <v>45</v>
      </c>
      <c r="D575" s="30">
        <v>15</v>
      </c>
      <c r="E575" s="30">
        <v>8</v>
      </c>
      <c r="F575" s="30">
        <v>27</v>
      </c>
      <c r="G575" s="30">
        <v>6</v>
      </c>
      <c r="H575" s="159"/>
      <c r="L575" s="21">
        <v>1</v>
      </c>
    </row>
    <row r="576" spans="2:12" ht="18">
      <c r="B576" s="30">
        <v>11</v>
      </c>
      <c r="C576" s="30">
        <v>31</v>
      </c>
      <c r="D576" s="30">
        <v>7</v>
      </c>
      <c r="E576" s="30">
        <v>24</v>
      </c>
      <c r="F576" s="30">
        <v>0</v>
      </c>
      <c r="G576" s="30">
        <v>1</v>
      </c>
      <c r="H576" s="159"/>
      <c r="L576" s="21">
        <v>1</v>
      </c>
    </row>
    <row r="577" spans="2:12" ht="18">
      <c r="B577" s="30">
        <v>11</v>
      </c>
      <c r="C577" s="30">
        <v>31</v>
      </c>
      <c r="D577" s="30">
        <v>8</v>
      </c>
      <c r="E577" s="30">
        <v>25</v>
      </c>
      <c r="F577" s="30">
        <v>0</v>
      </c>
      <c r="G577" s="30">
        <v>0</v>
      </c>
      <c r="H577" s="159"/>
      <c r="L577" s="21">
        <v>1</v>
      </c>
    </row>
    <row r="578" spans="2:12" ht="18">
      <c r="B578" s="30">
        <v>11</v>
      </c>
      <c r="C578" s="30">
        <v>46</v>
      </c>
      <c r="D578" s="30">
        <v>12</v>
      </c>
      <c r="E578" s="30">
        <v>9</v>
      </c>
      <c r="F578" s="30">
        <v>7</v>
      </c>
      <c r="G578" s="30">
        <v>10</v>
      </c>
      <c r="H578" s="159"/>
      <c r="L578" s="21">
        <v>1</v>
      </c>
    </row>
    <row r="579" spans="2:12" ht="18">
      <c r="B579" s="30">
        <v>11</v>
      </c>
      <c r="C579" s="30">
        <v>46</v>
      </c>
      <c r="D579" s="30">
        <v>13</v>
      </c>
      <c r="E579" s="30">
        <v>5</v>
      </c>
      <c r="F579" s="30">
        <v>0</v>
      </c>
      <c r="G579" s="30">
        <v>9</v>
      </c>
      <c r="H579" s="159"/>
      <c r="L579" s="21">
        <v>1</v>
      </c>
    </row>
    <row r="580" spans="2:12" ht="18">
      <c r="B580" s="30">
        <v>11</v>
      </c>
      <c r="C580" s="30">
        <v>53</v>
      </c>
      <c r="D580" s="30">
        <v>15</v>
      </c>
      <c r="E580" s="30">
        <v>26</v>
      </c>
      <c r="F580" s="30">
        <v>0</v>
      </c>
      <c r="G580" s="30">
        <v>6</v>
      </c>
      <c r="H580" s="159"/>
      <c r="L580" s="21">
        <v>1</v>
      </c>
    </row>
    <row r="581" spans="2:12" ht="18">
      <c r="B581" s="30">
        <v>11</v>
      </c>
      <c r="C581" s="30">
        <v>53</v>
      </c>
      <c r="D581" s="30">
        <v>16</v>
      </c>
      <c r="E581" s="30">
        <v>25</v>
      </c>
      <c r="F581" s="30">
        <v>0</v>
      </c>
      <c r="G581" s="30">
        <v>3</v>
      </c>
      <c r="H581" s="159"/>
      <c r="L581" s="21">
        <v>1</v>
      </c>
    </row>
    <row r="582" spans="2:12" ht="18">
      <c r="B582" s="30">
        <v>11</v>
      </c>
      <c r="C582" s="30">
        <v>33</v>
      </c>
      <c r="D582" s="30">
        <v>7</v>
      </c>
      <c r="E582" s="30">
        <v>17</v>
      </c>
      <c r="F582" s="30">
        <v>3</v>
      </c>
      <c r="G582" s="30">
        <v>6</v>
      </c>
      <c r="H582" s="159"/>
      <c r="L582" s="21">
        <v>1</v>
      </c>
    </row>
    <row r="583" spans="2:12" ht="18">
      <c r="B583" s="30">
        <v>11</v>
      </c>
      <c r="C583" s="30">
        <v>33</v>
      </c>
      <c r="D583" s="30">
        <v>8</v>
      </c>
      <c r="E583" s="30">
        <v>14</v>
      </c>
      <c r="F583" s="30">
        <v>0</v>
      </c>
      <c r="G583" s="30">
        <v>4</v>
      </c>
      <c r="H583" s="159"/>
      <c r="L583" s="21">
        <v>1</v>
      </c>
    </row>
    <row r="584" spans="2:12" ht="18">
      <c r="B584" s="30">
        <v>11</v>
      </c>
      <c r="C584" s="30">
        <v>28</v>
      </c>
      <c r="D584" s="30">
        <v>14</v>
      </c>
      <c r="E584" s="30">
        <v>12</v>
      </c>
      <c r="F584" s="30">
        <v>6</v>
      </c>
      <c r="G584" s="30">
        <v>2</v>
      </c>
      <c r="H584" s="159"/>
      <c r="L584" s="21">
        <v>1</v>
      </c>
    </row>
    <row r="585" spans="2:12" ht="18">
      <c r="B585" s="30">
        <v>11</v>
      </c>
      <c r="C585" s="30">
        <v>28</v>
      </c>
      <c r="D585" s="30">
        <v>15</v>
      </c>
      <c r="E585" s="30">
        <v>10</v>
      </c>
      <c r="F585" s="30">
        <v>2</v>
      </c>
      <c r="G585" s="30">
        <v>3</v>
      </c>
      <c r="H585" s="159"/>
      <c r="L585" s="21">
        <v>1</v>
      </c>
    </row>
    <row r="586" spans="2:12" ht="18">
      <c r="B586" s="30">
        <v>11</v>
      </c>
      <c r="C586" s="30">
        <v>28</v>
      </c>
      <c r="D586" s="30">
        <v>16</v>
      </c>
      <c r="E586" s="30">
        <v>9</v>
      </c>
      <c r="F586" s="30">
        <v>4</v>
      </c>
      <c r="G586" s="30">
        <v>2</v>
      </c>
      <c r="H586" s="159"/>
      <c r="L586" s="21">
        <v>1</v>
      </c>
    </row>
    <row r="587" spans="2:12" ht="18">
      <c r="B587" s="30">
        <v>11</v>
      </c>
      <c r="C587" s="30">
        <v>36</v>
      </c>
      <c r="D587" s="30">
        <v>14</v>
      </c>
      <c r="E587" s="30">
        <v>17</v>
      </c>
      <c r="F587" s="30">
        <v>6</v>
      </c>
      <c r="G587" s="30">
        <v>1</v>
      </c>
      <c r="H587" s="159"/>
      <c r="L587" s="21">
        <v>1</v>
      </c>
    </row>
    <row r="588" spans="2:12" ht="18">
      <c r="B588" s="30">
        <v>11</v>
      </c>
      <c r="C588" s="30">
        <v>36</v>
      </c>
      <c r="D588" s="30">
        <v>15</v>
      </c>
      <c r="E588" s="30">
        <v>23</v>
      </c>
      <c r="F588" s="30">
        <v>2</v>
      </c>
      <c r="G588" s="30">
        <v>0</v>
      </c>
      <c r="H588" s="159"/>
      <c r="L588" s="21">
        <v>1</v>
      </c>
    </row>
    <row r="589" spans="2:12" ht="18">
      <c r="B589" s="30">
        <v>11</v>
      </c>
      <c r="C589" s="30">
        <v>56</v>
      </c>
      <c r="D589" s="30">
        <v>15</v>
      </c>
      <c r="E589" s="30">
        <v>10</v>
      </c>
      <c r="F589" s="30">
        <v>9</v>
      </c>
      <c r="G589" s="30">
        <v>0</v>
      </c>
      <c r="H589" s="159"/>
      <c r="L589" s="21">
        <v>1</v>
      </c>
    </row>
    <row r="590" spans="2:12" ht="18">
      <c r="B590" s="30">
        <v>11</v>
      </c>
      <c r="C590" s="30">
        <v>56</v>
      </c>
      <c r="D590" s="30">
        <v>16</v>
      </c>
      <c r="E590" s="30">
        <v>10</v>
      </c>
      <c r="F590" s="30">
        <v>3</v>
      </c>
      <c r="G590" s="30">
        <v>1</v>
      </c>
      <c r="H590" s="159"/>
      <c r="L590" s="21">
        <v>1</v>
      </c>
    </row>
    <row r="591" spans="2:12" ht="18">
      <c r="B591" s="30"/>
      <c r="C591" s="30"/>
      <c r="D591" s="30"/>
      <c r="E591" s="30"/>
      <c r="F591" s="30"/>
      <c r="G591" s="30"/>
      <c r="H591" s="159"/>
      <c r="L591" s="21">
        <v>1</v>
      </c>
    </row>
    <row r="592" spans="2:12" ht="18">
      <c r="B592" s="30"/>
      <c r="C592" s="30"/>
      <c r="D592" s="30"/>
      <c r="E592" s="30"/>
      <c r="F592" s="30"/>
      <c r="G592" s="30"/>
      <c r="H592" s="159"/>
      <c r="L592" s="21">
        <v>1</v>
      </c>
    </row>
    <row r="593" spans="2:12" ht="18">
      <c r="B593" s="30"/>
      <c r="C593" s="30"/>
      <c r="D593" s="30"/>
      <c r="E593" s="30"/>
      <c r="F593" s="30"/>
      <c r="G593" s="30"/>
      <c r="H593" s="159"/>
      <c r="L593" s="21">
        <v>1</v>
      </c>
    </row>
    <row r="594" spans="2:12" ht="18">
      <c r="B594" s="30"/>
      <c r="C594" s="30"/>
      <c r="D594" s="30"/>
      <c r="E594" s="30"/>
      <c r="F594" s="30"/>
      <c r="G594" s="30"/>
      <c r="H594" s="159"/>
      <c r="L594" s="21">
        <v>1</v>
      </c>
    </row>
    <row r="595" spans="2:12" ht="18">
      <c r="B595" s="30"/>
      <c r="C595" s="30"/>
      <c r="D595" s="30"/>
      <c r="E595" s="30"/>
      <c r="F595" s="30"/>
      <c r="G595" s="30"/>
      <c r="H595" s="159"/>
      <c r="L595" s="21">
        <v>1</v>
      </c>
    </row>
    <row r="596" spans="2:12" ht="18">
      <c r="B596" s="30"/>
      <c r="C596" s="30"/>
      <c r="D596" s="30"/>
      <c r="E596" s="30"/>
      <c r="F596" s="30"/>
      <c r="G596" s="30"/>
      <c r="H596" s="159"/>
      <c r="L596" s="21">
        <v>1</v>
      </c>
    </row>
    <row r="597" spans="2:12" ht="18">
      <c r="B597" s="30"/>
      <c r="C597" s="30"/>
      <c r="D597" s="30"/>
      <c r="E597" s="30"/>
      <c r="F597" s="30"/>
      <c r="G597" s="30"/>
      <c r="H597" s="159"/>
      <c r="L597" s="21">
        <v>1</v>
      </c>
    </row>
    <row r="598" spans="2:12" ht="18">
      <c r="B598" s="30"/>
      <c r="C598" s="30"/>
      <c r="D598" s="30"/>
      <c r="E598" s="30"/>
      <c r="F598" s="30"/>
      <c r="G598" s="30"/>
      <c r="H598" s="159"/>
      <c r="L598" s="21">
        <v>1</v>
      </c>
    </row>
    <row r="599" spans="2:12" ht="18">
      <c r="B599" s="30"/>
      <c r="C599" s="30"/>
      <c r="D599" s="30"/>
      <c r="E599" s="30"/>
      <c r="F599" s="30"/>
      <c r="G599" s="30"/>
      <c r="H599" s="159"/>
      <c r="L599" s="21">
        <v>1</v>
      </c>
    </row>
    <row r="600" spans="2:12" ht="18">
      <c r="B600" s="30"/>
      <c r="C600" s="30"/>
      <c r="D600" s="30"/>
      <c r="E600" s="30"/>
      <c r="F600" s="30"/>
      <c r="G600" s="30"/>
      <c r="H600" s="159"/>
      <c r="L600" s="21">
        <v>1</v>
      </c>
    </row>
    <row r="601" spans="2:12" ht="18">
      <c r="B601" s="30"/>
      <c r="C601" s="30"/>
      <c r="D601" s="30"/>
      <c r="E601" s="30"/>
      <c r="F601" s="30"/>
      <c r="G601" s="30"/>
      <c r="H601" s="159"/>
      <c r="L601" s="21">
        <v>1</v>
      </c>
    </row>
    <row r="602" spans="2:12" ht="18">
      <c r="B602" s="30"/>
      <c r="C602" s="30"/>
      <c r="D602" s="30"/>
      <c r="E602" s="30"/>
      <c r="F602" s="30"/>
      <c r="G602" s="30"/>
      <c r="H602" s="159"/>
      <c r="L602" s="21">
        <v>1</v>
      </c>
    </row>
    <row r="603" spans="2:12" ht="18">
      <c r="B603" s="30"/>
      <c r="C603" s="30"/>
      <c r="D603" s="30"/>
      <c r="E603" s="30"/>
      <c r="F603" s="30"/>
      <c r="G603" s="30"/>
      <c r="H603" s="159"/>
      <c r="L603" s="21">
        <v>1</v>
      </c>
    </row>
    <row r="604" spans="2:12" ht="18">
      <c r="B604" s="30"/>
      <c r="C604" s="30"/>
      <c r="D604" s="30"/>
      <c r="E604" s="30"/>
      <c r="F604" s="30"/>
      <c r="G604" s="30"/>
      <c r="H604" s="159"/>
      <c r="L604" s="21">
        <v>1</v>
      </c>
    </row>
    <row r="605" spans="2:12" ht="18">
      <c r="B605" s="30"/>
      <c r="C605" s="30"/>
      <c r="D605" s="30"/>
      <c r="E605" s="30"/>
      <c r="F605" s="30"/>
      <c r="G605" s="30"/>
      <c r="H605" s="159"/>
      <c r="L605" s="21">
        <v>1</v>
      </c>
    </row>
    <row r="606" spans="2:12" ht="18">
      <c r="B606" s="30"/>
      <c r="C606" s="30"/>
      <c r="D606" s="30"/>
      <c r="E606" s="30"/>
      <c r="F606" s="30"/>
      <c r="G606" s="30"/>
      <c r="H606" s="159"/>
      <c r="L606" s="21">
        <v>1</v>
      </c>
    </row>
    <row r="607" spans="2:12" ht="18">
      <c r="B607" s="30"/>
      <c r="C607" s="30"/>
      <c r="D607" s="30"/>
      <c r="E607" s="30"/>
      <c r="F607" s="30"/>
      <c r="G607" s="30"/>
      <c r="H607" s="159"/>
      <c r="L607" s="21">
        <v>1</v>
      </c>
    </row>
    <row r="608" spans="2:12" ht="18">
      <c r="B608" s="30"/>
      <c r="C608" s="30"/>
      <c r="D608" s="30"/>
      <c r="E608" s="30"/>
      <c r="F608" s="30"/>
      <c r="G608" s="30"/>
      <c r="H608" s="159"/>
      <c r="L608" s="21">
        <v>1</v>
      </c>
    </row>
    <row r="609" spans="2:12" ht="18">
      <c r="B609" s="30"/>
      <c r="C609" s="30"/>
      <c r="D609" s="30"/>
      <c r="E609" s="30"/>
      <c r="F609" s="30"/>
      <c r="G609" s="30"/>
      <c r="H609" s="159"/>
      <c r="L609" s="21">
        <v>1</v>
      </c>
    </row>
    <row r="610" spans="2:12" ht="18">
      <c r="B610" s="30"/>
      <c r="C610" s="30"/>
      <c r="D610" s="30"/>
      <c r="E610" s="30"/>
      <c r="F610" s="30"/>
      <c r="G610" s="30"/>
      <c r="H610" s="159"/>
      <c r="L610" s="21">
        <v>1</v>
      </c>
    </row>
    <row r="611" spans="2:12" ht="18">
      <c r="B611" s="30"/>
      <c r="C611" s="30"/>
      <c r="D611" s="30"/>
      <c r="E611" s="30"/>
      <c r="F611" s="30"/>
      <c r="G611" s="30"/>
      <c r="H611" s="159"/>
      <c r="L611" s="21">
        <v>1</v>
      </c>
    </row>
    <row r="612" spans="2:12" ht="18">
      <c r="B612" s="30"/>
      <c r="C612" s="30"/>
      <c r="D612" s="30"/>
      <c r="E612" s="30"/>
      <c r="F612" s="30"/>
      <c r="G612" s="30"/>
      <c r="H612" s="159"/>
      <c r="L612" s="21">
        <v>1</v>
      </c>
    </row>
    <row r="613" spans="2:12" ht="18">
      <c r="B613" s="30"/>
      <c r="C613" s="30"/>
      <c r="D613" s="30"/>
      <c r="E613" s="30"/>
      <c r="F613" s="30"/>
      <c r="G613" s="30"/>
      <c r="H613" s="159"/>
      <c r="L613" s="21">
        <v>1</v>
      </c>
    </row>
    <row r="614" spans="2:12" ht="18">
      <c r="B614" s="30"/>
      <c r="C614" s="30"/>
      <c r="D614" s="30"/>
      <c r="E614" s="30"/>
      <c r="F614" s="30"/>
      <c r="G614" s="30"/>
      <c r="H614" s="159"/>
      <c r="L614" s="21">
        <v>1</v>
      </c>
    </row>
    <row r="615" spans="2:12" ht="18">
      <c r="B615" s="30"/>
      <c r="C615" s="30"/>
      <c r="D615" s="30"/>
      <c r="E615" s="30"/>
      <c r="F615" s="30"/>
      <c r="G615" s="30"/>
      <c r="H615" s="159"/>
      <c r="L615" s="21">
        <v>1</v>
      </c>
    </row>
    <row r="616" spans="2:12" ht="18">
      <c r="B616" s="30"/>
      <c r="C616" s="30"/>
      <c r="D616" s="30"/>
      <c r="E616" s="30"/>
      <c r="F616" s="30"/>
      <c r="G616" s="30"/>
      <c r="H616" s="159"/>
      <c r="L616" s="21">
        <v>1</v>
      </c>
    </row>
    <row r="617" spans="2:12" ht="18">
      <c r="B617" s="30"/>
      <c r="C617" s="30"/>
      <c r="D617" s="30"/>
      <c r="E617" s="30"/>
      <c r="F617" s="30"/>
      <c r="G617" s="30"/>
      <c r="H617" s="159"/>
      <c r="L617" s="21">
        <v>1</v>
      </c>
    </row>
    <row r="618" spans="2:12" ht="18">
      <c r="B618" s="30"/>
      <c r="C618" s="30"/>
      <c r="D618" s="30"/>
      <c r="E618" s="30"/>
      <c r="F618" s="30"/>
      <c r="G618" s="30"/>
      <c r="H618" s="159"/>
      <c r="L618" s="21">
        <v>1</v>
      </c>
    </row>
    <row r="619" spans="2:12" ht="18">
      <c r="B619" s="30"/>
      <c r="C619" s="30"/>
      <c r="D619" s="30"/>
      <c r="E619" s="30"/>
      <c r="F619" s="30"/>
      <c r="G619" s="30"/>
      <c r="H619" s="159"/>
      <c r="L619" s="21">
        <v>1</v>
      </c>
    </row>
    <row r="620" spans="2:12" ht="18">
      <c r="B620" s="30"/>
      <c r="C620" s="30"/>
      <c r="D620" s="30"/>
      <c r="E620" s="30"/>
      <c r="F620" s="30"/>
      <c r="G620" s="30"/>
      <c r="H620" s="159"/>
      <c r="L620" s="21">
        <v>1</v>
      </c>
    </row>
    <row r="621" spans="2:12" ht="18">
      <c r="B621" s="30"/>
      <c r="C621" s="30"/>
      <c r="D621" s="30"/>
      <c r="E621" s="30"/>
      <c r="F621" s="30"/>
      <c r="G621" s="30"/>
      <c r="H621" s="159"/>
      <c r="L621" s="21">
        <v>1</v>
      </c>
    </row>
    <row r="622" spans="2:12" ht="18">
      <c r="B622" s="30"/>
      <c r="C622" s="30"/>
      <c r="D622" s="30"/>
      <c r="E622" s="30"/>
      <c r="F622" s="30"/>
      <c r="G622" s="30"/>
      <c r="H622" s="159"/>
      <c r="L622" s="21">
        <v>1</v>
      </c>
    </row>
    <row r="623" spans="2:12" ht="18">
      <c r="B623" s="30"/>
      <c r="C623" s="30"/>
      <c r="D623" s="30"/>
      <c r="E623" s="30"/>
      <c r="F623" s="30"/>
      <c r="G623" s="30"/>
      <c r="H623" s="159"/>
      <c r="L623" s="21">
        <v>1</v>
      </c>
    </row>
    <row r="624" spans="2:12" ht="18">
      <c r="B624" s="30"/>
      <c r="C624" s="30"/>
      <c r="D624" s="30"/>
      <c r="E624" s="30"/>
      <c r="F624" s="30"/>
      <c r="G624" s="30"/>
      <c r="H624" s="159"/>
      <c r="L624" s="21">
        <v>1</v>
      </c>
    </row>
    <row r="625" spans="2:12" ht="18">
      <c r="B625" s="30"/>
      <c r="C625" s="30"/>
      <c r="D625" s="30"/>
      <c r="E625" s="30"/>
      <c r="F625" s="30"/>
      <c r="G625" s="30"/>
      <c r="H625" s="159"/>
      <c r="L625" s="21">
        <v>1</v>
      </c>
    </row>
    <row r="626" spans="2:12" ht="18">
      <c r="B626" s="30"/>
      <c r="C626" s="30"/>
      <c r="D626" s="30"/>
      <c r="E626" s="30"/>
      <c r="F626" s="30"/>
      <c r="G626" s="30"/>
      <c r="H626" s="159"/>
      <c r="L626" s="21">
        <v>1</v>
      </c>
    </row>
    <row r="627" spans="2:12" ht="18">
      <c r="B627" s="30"/>
      <c r="C627" s="30"/>
      <c r="D627" s="30"/>
      <c r="E627" s="30"/>
      <c r="F627" s="30"/>
      <c r="G627" s="30"/>
      <c r="H627" s="159"/>
      <c r="L627" s="21">
        <v>1</v>
      </c>
    </row>
    <row r="628" spans="2:12" ht="18">
      <c r="B628" s="30"/>
      <c r="C628" s="30"/>
      <c r="D628" s="30"/>
      <c r="E628" s="30"/>
      <c r="F628" s="30"/>
      <c r="G628" s="30"/>
      <c r="H628" s="159"/>
      <c r="L628" s="21">
        <v>1</v>
      </c>
    </row>
    <row r="629" spans="2:12" ht="18">
      <c r="B629" s="30"/>
      <c r="C629" s="30"/>
      <c r="D629" s="30"/>
      <c r="E629" s="30"/>
      <c r="F629" s="30"/>
      <c r="G629" s="30"/>
      <c r="H629" s="159"/>
      <c r="L629" s="21">
        <v>1</v>
      </c>
    </row>
    <row r="630" spans="2:12" ht="18">
      <c r="B630" s="30"/>
      <c r="C630" s="30"/>
      <c r="D630" s="30"/>
      <c r="E630" s="30"/>
      <c r="F630" s="30"/>
      <c r="G630" s="30"/>
      <c r="H630" s="159"/>
      <c r="L630" s="21">
        <v>1</v>
      </c>
    </row>
    <row r="631" spans="2:12" ht="18">
      <c r="B631" s="30"/>
      <c r="C631" s="30"/>
      <c r="D631" s="30"/>
      <c r="E631" s="30"/>
      <c r="F631" s="30"/>
      <c r="G631" s="30"/>
      <c r="H631" s="159"/>
      <c r="L631" s="21">
        <v>1</v>
      </c>
    </row>
    <row r="632" spans="2:12" ht="18">
      <c r="B632" s="30"/>
      <c r="C632" s="30"/>
      <c r="D632" s="30"/>
      <c r="E632" s="30"/>
      <c r="F632" s="30"/>
      <c r="G632" s="30"/>
      <c r="H632" s="159"/>
      <c r="L632" s="21">
        <v>1</v>
      </c>
    </row>
    <row r="633" spans="2:12" ht="18">
      <c r="B633" s="30"/>
      <c r="C633" s="30"/>
      <c r="D633" s="30"/>
      <c r="E633" s="30"/>
      <c r="F633" s="30"/>
      <c r="G633" s="30"/>
      <c r="H633" s="159"/>
      <c r="L633" s="21">
        <v>1</v>
      </c>
    </row>
    <row r="634" spans="2:12" ht="18">
      <c r="B634" s="30"/>
      <c r="C634" s="30"/>
      <c r="D634" s="30"/>
      <c r="E634" s="30"/>
      <c r="F634" s="30"/>
      <c r="G634" s="30"/>
      <c r="H634" s="159"/>
      <c r="L634" s="21">
        <v>1</v>
      </c>
    </row>
    <row r="635" spans="2:12" ht="18">
      <c r="B635" s="30"/>
      <c r="C635" s="30"/>
      <c r="D635" s="30"/>
      <c r="E635" s="30"/>
      <c r="F635" s="30"/>
      <c r="G635" s="30"/>
      <c r="H635" s="159"/>
      <c r="L635" s="21">
        <v>1</v>
      </c>
    </row>
    <row r="636" spans="2:12" ht="18">
      <c r="B636" s="30"/>
      <c r="C636" s="30"/>
      <c r="D636" s="30"/>
      <c r="E636" s="30"/>
      <c r="F636" s="30"/>
      <c r="G636" s="30"/>
      <c r="H636" s="159"/>
      <c r="L636" s="21">
        <v>1</v>
      </c>
    </row>
    <row r="637" spans="2:12" ht="18">
      <c r="B637" s="30"/>
      <c r="C637" s="30"/>
      <c r="D637" s="30"/>
      <c r="E637" s="30"/>
      <c r="F637" s="30"/>
      <c r="G637" s="30"/>
      <c r="H637" s="159"/>
      <c r="L637" s="21">
        <v>1</v>
      </c>
    </row>
    <row r="638" spans="2:12" ht="18">
      <c r="B638" s="30"/>
      <c r="C638" s="30"/>
      <c r="D638" s="30"/>
      <c r="E638" s="30"/>
      <c r="F638" s="30"/>
      <c r="G638" s="30"/>
      <c r="H638" s="159"/>
      <c r="L638" s="21">
        <v>1</v>
      </c>
    </row>
    <row r="639" spans="2:12" ht="18">
      <c r="B639" s="30"/>
      <c r="C639" s="30"/>
      <c r="D639" s="30"/>
      <c r="E639" s="30"/>
      <c r="F639" s="30"/>
      <c r="G639" s="30"/>
      <c r="H639" s="159"/>
      <c r="L639" s="21">
        <v>1</v>
      </c>
    </row>
    <row r="640" spans="2:12" ht="18">
      <c r="B640" s="30"/>
      <c r="C640" s="30"/>
      <c r="D640" s="30"/>
      <c r="E640" s="30"/>
      <c r="F640" s="30"/>
      <c r="G640" s="30"/>
      <c r="H640" s="159"/>
      <c r="L640" s="21">
        <v>1</v>
      </c>
    </row>
    <row r="641" spans="2:12" ht="18">
      <c r="B641" s="30"/>
      <c r="C641" s="30"/>
      <c r="D641" s="30"/>
      <c r="E641" s="30"/>
      <c r="F641" s="30"/>
      <c r="G641" s="30"/>
      <c r="H641" s="159"/>
      <c r="L641" s="21">
        <v>1</v>
      </c>
    </row>
    <row r="642" spans="2:12" ht="18">
      <c r="B642" s="30"/>
      <c r="C642" s="30"/>
      <c r="D642" s="30"/>
      <c r="E642" s="30"/>
      <c r="F642" s="30"/>
      <c r="G642" s="30"/>
      <c r="H642" s="159"/>
      <c r="L642" s="21">
        <v>1</v>
      </c>
    </row>
    <row r="643" spans="2:12" ht="18">
      <c r="B643" s="30"/>
      <c r="C643" s="30"/>
      <c r="D643" s="30"/>
      <c r="E643" s="30"/>
      <c r="F643" s="30"/>
      <c r="G643" s="30"/>
      <c r="H643" s="159"/>
      <c r="L643" s="21">
        <v>1</v>
      </c>
    </row>
    <row r="644" spans="2:12" ht="18">
      <c r="B644" s="30"/>
      <c r="C644" s="30"/>
      <c r="D644" s="30"/>
      <c r="E644" s="30"/>
      <c r="F644" s="30"/>
      <c r="G644" s="30"/>
      <c r="H644" s="159"/>
      <c r="L644" s="21">
        <v>1</v>
      </c>
    </row>
    <row r="645" spans="2:12" ht="18">
      <c r="B645" s="30"/>
      <c r="C645" s="30"/>
      <c r="D645" s="30"/>
      <c r="E645" s="30"/>
      <c r="F645" s="30"/>
      <c r="G645" s="30"/>
      <c r="H645" s="159"/>
      <c r="L645" s="21">
        <v>1</v>
      </c>
    </row>
    <row r="646" spans="2:12" ht="18">
      <c r="B646" s="30"/>
      <c r="C646" s="30"/>
      <c r="D646" s="30"/>
      <c r="E646" s="30"/>
      <c r="F646" s="30"/>
      <c r="G646" s="30"/>
      <c r="H646" s="159"/>
      <c r="L646" s="21">
        <v>1</v>
      </c>
    </row>
    <row r="647" spans="2:12" ht="18">
      <c r="B647" s="30"/>
      <c r="C647" s="30"/>
      <c r="D647" s="30"/>
      <c r="E647" s="30"/>
      <c r="F647" s="30"/>
      <c r="G647" s="30"/>
      <c r="H647" s="159"/>
      <c r="L647" s="21">
        <v>1</v>
      </c>
    </row>
    <row r="648" spans="2:12" ht="18">
      <c r="B648" s="30"/>
      <c r="C648" s="30"/>
      <c r="D648" s="30"/>
      <c r="E648" s="30"/>
      <c r="F648" s="30"/>
      <c r="G648" s="30"/>
      <c r="H648" s="159"/>
      <c r="L648" s="21">
        <v>1</v>
      </c>
    </row>
    <row r="649" spans="2:12" ht="18">
      <c r="B649" s="30"/>
      <c r="C649" s="30"/>
      <c r="D649" s="30"/>
      <c r="E649" s="30"/>
      <c r="F649" s="30"/>
      <c r="G649" s="30"/>
      <c r="H649" s="159"/>
      <c r="L649" s="21">
        <v>1</v>
      </c>
    </row>
    <row r="650" spans="2:12" ht="18">
      <c r="B650" s="30"/>
      <c r="C650" s="30"/>
      <c r="D650" s="30"/>
      <c r="E650" s="30"/>
      <c r="F650" s="30"/>
      <c r="G650" s="30"/>
      <c r="H650" s="159"/>
      <c r="L650" s="21">
        <v>1</v>
      </c>
    </row>
    <row r="651" spans="2:12" ht="18">
      <c r="B651" s="30"/>
      <c r="C651" s="30"/>
      <c r="D651" s="30"/>
      <c r="E651" s="30"/>
      <c r="F651" s="30"/>
      <c r="G651" s="30"/>
      <c r="H651" s="159"/>
      <c r="L651" s="21">
        <v>1</v>
      </c>
    </row>
    <row r="652" spans="2:12" ht="18">
      <c r="B652" s="30"/>
      <c r="C652" s="30"/>
      <c r="D652" s="30"/>
      <c r="E652" s="30"/>
      <c r="F652" s="30"/>
      <c r="G652" s="30"/>
      <c r="H652" s="159"/>
      <c r="L652" s="21">
        <v>1</v>
      </c>
    </row>
    <row r="653" spans="2:12" ht="18">
      <c r="B653" s="30"/>
      <c r="C653" s="30"/>
      <c r="D653" s="30"/>
      <c r="E653" s="30"/>
      <c r="F653" s="30"/>
      <c r="G653" s="30"/>
      <c r="H653" s="159"/>
      <c r="L653" s="21">
        <v>1</v>
      </c>
    </row>
    <row r="654" spans="2:12" ht="18">
      <c r="B654" s="30"/>
      <c r="C654" s="30"/>
      <c r="D654" s="30"/>
      <c r="E654" s="30"/>
      <c r="F654" s="30"/>
      <c r="G654" s="30"/>
      <c r="H654" s="159"/>
      <c r="L654" s="21">
        <v>1</v>
      </c>
    </row>
    <row r="655" spans="2:12" ht="18">
      <c r="B655" s="30"/>
      <c r="C655" s="30"/>
      <c r="D655" s="30"/>
      <c r="E655" s="30"/>
      <c r="F655" s="30"/>
      <c r="G655" s="30"/>
      <c r="H655" s="159"/>
      <c r="L655" s="21">
        <v>1</v>
      </c>
    </row>
    <row r="656" spans="2:12" ht="18">
      <c r="B656" s="30"/>
      <c r="C656" s="30"/>
      <c r="D656" s="30"/>
      <c r="E656" s="30"/>
      <c r="F656" s="30"/>
      <c r="G656" s="30"/>
      <c r="H656" s="159"/>
      <c r="L656" s="21">
        <v>1</v>
      </c>
    </row>
    <row r="657" spans="2:12" ht="18">
      <c r="B657" s="30"/>
      <c r="C657" s="30"/>
      <c r="D657" s="30"/>
      <c r="E657" s="30"/>
      <c r="F657" s="30"/>
      <c r="G657" s="30"/>
      <c r="H657" s="159"/>
      <c r="L657" s="21">
        <v>1</v>
      </c>
    </row>
    <row r="658" spans="2:12" ht="18">
      <c r="B658" s="30"/>
      <c r="C658" s="30"/>
      <c r="D658" s="30"/>
      <c r="E658" s="30"/>
      <c r="F658" s="30"/>
      <c r="G658" s="30"/>
      <c r="H658" s="159"/>
      <c r="L658" s="21">
        <v>1</v>
      </c>
    </row>
    <row r="659" spans="2:12" ht="18">
      <c r="B659" s="30"/>
      <c r="C659" s="30"/>
      <c r="D659" s="30"/>
      <c r="E659" s="30"/>
      <c r="F659" s="30"/>
      <c r="G659" s="30"/>
      <c r="H659" s="159"/>
      <c r="L659" s="21">
        <v>1</v>
      </c>
    </row>
    <row r="660" spans="2:12" ht="18">
      <c r="B660" s="30"/>
      <c r="C660" s="30"/>
      <c r="D660" s="30"/>
      <c r="E660" s="30"/>
      <c r="F660" s="30"/>
      <c r="G660" s="30"/>
      <c r="H660" s="159"/>
      <c r="L660" s="21">
        <v>1</v>
      </c>
    </row>
    <row r="661" spans="2:12" ht="18">
      <c r="B661" s="30"/>
      <c r="C661" s="30"/>
      <c r="D661" s="30"/>
      <c r="E661" s="30"/>
      <c r="F661" s="30"/>
      <c r="G661" s="30"/>
      <c r="H661" s="159"/>
      <c r="L661" s="21">
        <v>1</v>
      </c>
    </row>
    <row r="662" spans="2:12" ht="18">
      <c r="B662" s="30"/>
      <c r="C662" s="30"/>
      <c r="D662" s="30"/>
      <c r="E662" s="30"/>
      <c r="F662" s="30"/>
      <c r="G662" s="30"/>
      <c r="H662" s="159"/>
      <c r="L662" s="21">
        <v>1</v>
      </c>
    </row>
    <row r="663" spans="2:12" ht="18">
      <c r="B663" s="30"/>
      <c r="C663" s="30"/>
      <c r="D663" s="30"/>
      <c r="E663" s="30"/>
      <c r="F663" s="30"/>
      <c r="G663" s="30"/>
      <c r="H663" s="159"/>
      <c r="L663" s="21">
        <v>1</v>
      </c>
    </row>
    <row r="664" spans="2:12" ht="18">
      <c r="B664" s="30"/>
      <c r="C664" s="30"/>
      <c r="D664" s="30"/>
      <c r="E664" s="30"/>
      <c r="F664" s="30"/>
      <c r="G664" s="30"/>
      <c r="H664" s="159"/>
      <c r="L664" s="21">
        <v>1</v>
      </c>
    </row>
    <row r="665" spans="2:12" ht="18">
      <c r="B665" s="30"/>
      <c r="C665" s="30"/>
      <c r="D665" s="30"/>
      <c r="E665" s="30"/>
      <c r="F665" s="30"/>
      <c r="G665" s="30"/>
      <c r="H665" s="159"/>
      <c r="L665" s="21">
        <v>1</v>
      </c>
    </row>
    <row r="666" spans="2:12" ht="18">
      <c r="B666" s="30"/>
      <c r="C666" s="30"/>
      <c r="D666" s="30"/>
      <c r="E666" s="30"/>
      <c r="F666" s="30"/>
      <c r="G666" s="30"/>
      <c r="H666" s="159"/>
      <c r="L666" s="21">
        <v>1</v>
      </c>
    </row>
    <row r="667" spans="2:12" ht="18">
      <c r="B667" s="30"/>
      <c r="C667" s="30"/>
      <c r="D667" s="30"/>
      <c r="E667" s="30"/>
      <c r="F667" s="30"/>
      <c r="G667" s="30"/>
      <c r="H667" s="159"/>
      <c r="L667" s="21">
        <v>1</v>
      </c>
    </row>
    <row r="668" spans="2:12" ht="18">
      <c r="B668" s="30"/>
      <c r="C668" s="30"/>
      <c r="D668" s="30"/>
      <c r="E668" s="30"/>
      <c r="F668" s="30"/>
      <c r="G668" s="30"/>
      <c r="H668" s="159"/>
      <c r="L668" s="21">
        <v>1</v>
      </c>
    </row>
    <row r="669" spans="2:12" ht="18">
      <c r="B669" s="30"/>
      <c r="C669" s="30"/>
      <c r="D669" s="30"/>
      <c r="E669" s="30"/>
      <c r="F669" s="30"/>
      <c r="G669" s="30"/>
      <c r="H669" s="159"/>
      <c r="L669" s="21">
        <v>1</v>
      </c>
    </row>
    <row r="670" spans="2:12" ht="18">
      <c r="B670" s="30"/>
      <c r="C670" s="30"/>
      <c r="D670" s="30"/>
      <c r="E670" s="30"/>
      <c r="F670" s="30"/>
      <c r="G670" s="30"/>
      <c r="H670" s="159"/>
      <c r="L670" s="21">
        <v>1</v>
      </c>
    </row>
    <row r="671" spans="2:12" ht="18">
      <c r="B671" s="30"/>
      <c r="C671" s="30"/>
      <c r="D671" s="30"/>
      <c r="E671" s="30"/>
      <c r="F671" s="30"/>
      <c r="G671" s="30"/>
      <c r="H671" s="159"/>
      <c r="L671" s="21">
        <v>1</v>
      </c>
    </row>
    <row r="672" spans="2:12" ht="18">
      <c r="B672" s="30"/>
      <c r="C672" s="30"/>
      <c r="D672" s="30"/>
      <c r="E672" s="30"/>
      <c r="F672" s="30"/>
      <c r="G672" s="30"/>
      <c r="H672" s="159"/>
      <c r="L672" s="21">
        <v>1</v>
      </c>
    </row>
    <row r="673" spans="2:12" ht="18">
      <c r="B673" s="30"/>
      <c r="C673" s="30"/>
      <c r="D673" s="30"/>
      <c r="E673" s="30"/>
      <c r="F673" s="30"/>
      <c r="G673" s="30"/>
      <c r="H673" s="159"/>
      <c r="L673" s="21">
        <v>1</v>
      </c>
    </row>
    <row r="674" spans="2:12" ht="18">
      <c r="B674" s="30"/>
      <c r="C674" s="30"/>
      <c r="D674" s="30"/>
      <c r="E674" s="30"/>
      <c r="F674" s="30"/>
      <c r="G674" s="30"/>
      <c r="H674" s="159"/>
      <c r="L674" s="21">
        <v>1</v>
      </c>
    </row>
    <row r="675" spans="2:12" ht="18">
      <c r="B675" s="30"/>
      <c r="C675" s="30"/>
      <c r="D675" s="30"/>
      <c r="E675" s="30"/>
      <c r="F675" s="30"/>
      <c r="G675" s="30"/>
      <c r="H675" s="159"/>
      <c r="L675" s="21">
        <v>1</v>
      </c>
    </row>
    <row r="676" spans="2:12" ht="18">
      <c r="B676" s="30"/>
      <c r="C676" s="30"/>
      <c r="D676" s="30"/>
      <c r="E676" s="30"/>
      <c r="F676" s="30"/>
      <c r="G676" s="30"/>
      <c r="H676" s="159"/>
      <c r="L676" s="21">
        <v>1</v>
      </c>
    </row>
    <row r="677" spans="2:12" ht="18">
      <c r="B677" s="30"/>
      <c r="C677" s="30"/>
      <c r="D677" s="30"/>
      <c r="E677" s="30"/>
      <c r="F677" s="30"/>
      <c r="G677" s="30"/>
      <c r="H677" s="159"/>
      <c r="L677" s="21">
        <v>1</v>
      </c>
    </row>
    <row r="678" spans="2:12" ht="18">
      <c r="B678" s="30"/>
      <c r="C678" s="30"/>
      <c r="D678" s="30"/>
      <c r="E678" s="30"/>
      <c r="F678" s="30"/>
      <c r="G678" s="30"/>
      <c r="H678" s="159"/>
      <c r="L678" s="21">
        <v>1</v>
      </c>
    </row>
    <row r="679" spans="2:12" ht="18">
      <c r="B679" s="30"/>
      <c r="C679" s="30"/>
      <c r="D679" s="30"/>
      <c r="E679" s="30"/>
      <c r="F679" s="30"/>
      <c r="G679" s="30"/>
      <c r="H679" s="159"/>
      <c r="L679" s="21">
        <v>1</v>
      </c>
    </row>
    <row r="680" spans="2:12" ht="18">
      <c r="B680" s="30"/>
      <c r="C680" s="30"/>
      <c r="D680" s="30"/>
      <c r="E680" s="30"/>
      <c r="F680" s="30"/>
      <c r="G680" s="30"/>
      <c r="H680" s="159"/>
      <c r="L680" s="21">
        <v>1</v>
      </c>
    </row>
    <row r="681" spans="2:12" ht="18">
      <c r="B681" s="30"/>
      <c r="C681" s="30"/>
      <c r="D681" s="30"/>
      <c r="E681" s="30"/>
      <c r="F681" s="30"/>
      <c r="G681" s="30"/>
      <c r="H681" s="159"/>
      <c r="L681" s="21">
        <v>1</v>
      </c>
    </row>
    <row r="682" spans="2:12" ht="18">
      <c r="B682" s="30"/>
      <c r="C682" s="30"/>
      <c r="D682" s="30"/>
      <c r="E682" s="30"/>
      <c r="F682" s="30"/>
      <c r="G682" s="30"/>
      <c r="H682" s="159"/>
      <c r="L682" s="21">
        <v>1</v>
      </c>
    </row>
    <row r="683" spans="2:12" ht="18">
      <c r="B683" s="30"/>
      <c r="C683" s="30"/>
      <c r="D683" s="30"/>
      <c r="E683" s="30"/>
      <c r="F683" s="30"/>
      <c r="G683" s="30"/>
      <c r="H683" s="159"/>
      <c r="L683" s="21">
        <v>1</v>
      </c>
    </row>
    <row r="684" spans="2:12" ht="18">
      <c r="B684" s="30"/>
      <c r="C684" s="30"/>
      <c r="D684" s="30"/>
      <c r="E684" s="30"/>
      <c r="F684" s="30"/>
      <c r="G684" s="30"/>
      <c r="H684" s="159"/>
      <c r="L684" s="21">
        <v>1</v>
      </c>
    </row>
    <row r="685" spans="2:12" ht="18">
      <c r="B685" s="30"/>
      <c r="C685" s="30"/>
      <c r="D685" s="30"/>
      <c r="E685" s="30"/>
      <c r="F685" s="30"/>
      <c r="G685" s="30"/>
      <c r="H685" s="159"/>
      <c r="L685" s="21">
        <v>1</v>
      </c>
    </row>
    <row r="686" spans="2:12" ht="18">
      <c r="B686" s="30"/>
      <c r="C686" s="30"/>
      <c r="D686" s="30"/>
      <c r="E686" s="30"/>
      <c r="F686" s="30"/>
      <c r="G686" s="30"/>
      <c r="H686" s="159"/>
      <c r="L686" s="21">
        <v>1</v>
      </c>
    </row>
    <row r="687" spans="2:12" ht="18">
      <c r="B687" s="30"/>
      <c r="C687" s="30"/>
      <c r="D687" s="30"/>
      <c r="E687" s="30"/>
      <c r="F687" s="30"/>
      <c r="G687" s="30"/>
      <c r="H687" s="159"/>
      <c r="L687" s="21">
        <v>1</v>
      </c>
    </row>
    <row r="688" spans="2:12" ht="18">
      <c r="B688" s="30"/>
      <c r="C688" s="30"/>
      <c r="D688" s="30"/>
      <c r="E688" s="30"/>
      <c r="F688" s="30"/>
      <c r="G688" s="30"/>
      <c r="H688" s="159"/>
      <c r="L688" s="21">
        <v>1</v>
      </c>
    </row>
    <row r="689" spans="2:12" ht="18">
      <c r="B689" s="30"/>
      <c r="C689" s="30"/>
      <c r="D689" s="30"/>
      <c r="E689" s="30"/>
      <c r="F689" s="30"/>
      <c r="G689" s="30"/>
      <c r="H689" s="159"/>
      <c r="L689" s="21">
        <v>1</v>
      </c>
    </row>
    <row r="690" spans="2:12" ht="18">
      <c r="B690" s="30"/>
      <c r="C690" s="30"/>
      <c r="D690" s="30"/>
      <c r="E690" s="30"/>
      <c r="F690" s="30"/>
      <c r="G690" s="30"/>
      <c r="H690" s="159"/>
      <c r="L690" s="21">
        <v>1</v>
      </c>
    </row>
    <row r="691" spans="2:12" ht="18">
      <c r="B691" s="30"/>
      <c r="C691" s="30"/>
      <c r="D691" s="30"/>
      <c r="E691" s="30"/>
      <c r="F691" s="30"/>
      <c r="G691" s="30"/>
      <c r="H691" s="159"/>
      <c r="L691" s="21">
        <v>1</v>
      </c>
    </row>
    <row r="692" spans="2:12" ht="18">
      <c r="B692" s="30"/>
      <c r="C692" s="30"/>
      <c r="D692" s="30"/>
      <c r="E692" s="30"/>
      <c r="F692" s="30"/>
      <c r="G692" s="30"/>
      <c r="H692" s="159"/>
      <c r="L692" s="21">
        <v>1</v>
      </c>
    </row>
    <row r="693" spans="2:12" ht="18">
      <c r="B693" s="30"/>
      <c r="C693" s="30"/>
      <c r="D693" s="30"/>
      <c r="E693" s="30"/>
      <c r="F693" s="30"/>
      <c r="G693" s="30"/>
      <c r="H693" s="159"/>
      <c r="L693" s="21">
        <v>1</v>
      </c>
    </row>
    <row r="694" spans="2:12" ht="18">
      <c r="B694" s="30"/>
      <c r="C694" s="30"/>
      <c r="D694" s="30"/>
      <c r="E694" s="30"/>
      <c r="F694" s="30"/>
      <c r="G694" s="30"/>
      <c r="H694" s="159"/>
      <c r="L694" s="21">
        <v>1</v>
      </c>
    </row>
    <row r="695" spans="2:12" ht="18">
      <c r="B695" s="30"/>
      <c r="C695" s="30"/>
      <c r="D695" s="30"/>
      <c r="E695" s="30"/>
      <c r="F695" s="30"/>
      <c r="G695" s="30"/>
      <c r="H695" s="159"/>
      <c r="L695" s="21">
        <v>1</v>
      </c>
    </row>
    <row r="696" spans="2:12" ht="18">
      <c r="B696" s="30"/>
      <c r="C696" s="30"/>
      <c r="D696" s="30"/>
      <c r="E696" s="30"/>
      <c r="F696" s="30"/>
      <c r="G696" s="30"/>
      <c r="H696" s="159"/>
      <c r="L696" s="21">
        <v>1</v>
      </c>
    </row>
    <row r="697" spans="2:12" ht="18">
      <c r="B697" s="30"/>
      <c r="C697" s="30"/>
      <c r="D697" s="30"/>
      <c r="E697" s="30"/>
      <c r="F697" s="30"/>
      <c r="G697" s="30"/>
      <c r="H697" s="159"/>
      <c r="L697" s="21">
        <v>1</v>
      </c>
    </row>
    <row r="698" spans="2:12" ht="18">
      <c r="B698" s="30"/>
      <c r="C698" s="30"/>
      <c r="D698" s="30"/>
      <c r="E698" s="30"/>
      <c r="F698" s="30"/>
      <c r="G698" s="30"/>
      <c r="H698" s="159"/>
      <c r="L698" s="21">
        <v>1</v>
      </c>
    </row>
    <row r="699" spans="2:12" ht="18">
      <c r="B699" s="30"/>
      <c r="C699" s="30"/>
      <c r="D699" s="30"/>
      <c r="E699" s="30"/>
      <c r="F699" s="30"/>
      <c r="G699" s="30"/>
      <c r="H699" s="159"/>
      <c r="L699" s="21">
        <v>1</v>
      </c>
    </row>
    <row r="700" spans="2:12" ht="18">
      <c r="B700" s="30"/>
      <c r="C700" s="30"/>
      <c r="D700" s="30"/>
      <c r="E700" s="30"/>
      <c r="F700" s="30"/>
      <c r="G700" s="30"/>
      <c r="H700" s="159"/>
      <c r="L700" s="21">
        <v>1</v>
      </c>
    </row>
    <row r="701" spans="2:12" ht="18">
      <c r="B701" s="30"/>
      <c r="C701" s="30"/>
      <c r="D701" s="30"/>
      <c r="E701" s="30"/>
      <c r="F701" s="30"/>
      <c r="G701" s="30"/>
      <c r="H701" s="159"/>
      <c r="L701" s="21">
        <v>1</v>
      </c>
    </row>
    <row r="702" spans="2:12" ht="18">
      <c r="B702" s="30"/>
      <c r="C702" s="30"/>
      <c r="D702" s="30"/>
      <c r="E702" s="30"/>
      <c r="F702" s="30"/>
      <c r="G702" s="30"/>
      <c r="H702" s="159"/>
      <c r="L702" s="21">
        <v>1</v>
      </c>
    </row>
    <row r="703" spans="2:12" ht="18">
      <c r="B703" s="30"/>
      <c r="C703" s="30"/>
      <c r="D703" s="30"/>
      <c r="E703" s="30"/>
      <c r="F703" s="30"/>
      <c r="G703" s="30"/>
      <c r="H703" s="159"/>
      <c r="L703" s="21">
        <v>1</v>
      </c>
    </row>
    <row r="704" spans="2:12" ht="18">
      <c r="B704" s="30"/>
      <c r="C704" s="30"/>
      <c r="D704" s="30"/>
      <c r="E704" s="30"/>
      <c r="F704" s="30"/>
      <c r="G704" s="30"/>
      <c r="H704" s="159"/>
      <c r="L704" s="21">
        <v>1</v>
      </c>
    </row>
    <row r="705" spans="2:12" ht="18">
      <c r="B705" s="30"/>
      <c r="C705" s="30"/>
      <c r="D705" s="30"/>
      <c r="E705" s="30"/>
      <c r="F705" s="30"/>
      <c r="G705" s="30"/>
      <c r="H705" s="159"/>
      <c r="L705" s="21">
        <v>1</v>
      </c>
    </row>
    <row r="706" spans="2:12" ht="18">
      <c r="B706" s="30"/>
      <c r="C706" s="30"/>
      <c r="D706" s="30"/>
      <c r="E706" s="30"/>
      <c r="F706" s="30"/>
      <c r="G706" s="30"/>
      <c r="H706" s="159"/>
      <c r="L706" s="21">
        <v>1</v>
      </c>
    </row>
    <row r="707" spans="2:12" ht="18">
      <c r="B707" s="30"/>
      <c r="C707" s="30"/>
      <c r="D707" s="30"/>
      <c r="E707" s="30"/>
      <c r="F707" s="30"/>
      <c r="G707" s="30"/>
      <c r="H707" s="159"/>
      <c r="L707" s="21">
        <v>1</v>
      </c>
    </row>
    <row r="708" spans="2:12" ht="18">
      <c r="B708" s="30"/>
      <c r="C708" s="30"/>
      <c r="D708" s="30"/>
      <c r="E708" s="30"/>
      <c r="F708" s="30"/>
      <c r="G708" s="30"/>
      <c r="H708" s="159"/>
      <c r="L708" s="21">
        <v>1</v>
      </c>
    </row>
    <row r="709" spans="2:12" ht="18">
      <c r="B709" s="30"/>
      <c r="C709" s="30"/>
      <c r="D709" s="30"/>
      <c r="E709" s="30"/>
      <c r="F709" s="30"/>
      <c r="G709" s="30"/>
      <c r="H709" s="159"/>
      <c r="L709" s="21">
        <v>1</v>
      </c>
    </row>
    <row r="710" spans="2:12" ht="18">
      <c r="B710" s="30"/>
      <c r="C710" s="30"/>
      <c r="D710" s="30"/>
      <c r="E710" s="30"/>
      <c r="F710" s="30"/>
      <c r="G710" s="30"/>
      <c r="H710" s="159"/>
      <c r="L710" s="21">
        <v>1</v>
      </c>
    </row>
    <row r="711" spans="2:12" ht="18">
      <c r="B711" s="30"/>
      <c r="C711" s="30"/>
      <c r="D711" s="30"/>
      <c r="E711" s="30"/>
      <c r="F711" s="30"/>
      <c r="G711" s="30"/>
      <c r="H711" s="159"/>
      <c r="L711" s="21">
        <v>1</v>
      </c>
    </row>
    <row r="712" spans="2:12" ht="18">
      <c r="B712" s="30"/>
      <c r="C712" s="30"/>
      <c r="D712" s="30"/>
      <c r="E712" s="30"/>
      <c r="F712" s="30"/>
      <c r="G712" s="30"/>
      <c r="H712" s="159"/>
      <c r="L712" s="21">
        <v>1</v>
      </c>
    </row>
    <row r="713" spans="2:12" ht="18">
      <c r="B713" s="30"/>
      <c r="C713" s="30"/>
      <c r="D713" s="30"/>
      <c r="E713" s="30"/>
      <c r="F713" s="30"/>
      <c r="G713" s="30"/>
      <c r="H713" s="159"/>
      <c r="L713" s="21">
        <v>1</v>
      </c>
    </row>
    <row r="714" spans="2:12" ht="18">
      <c r="B714" s="30"/>
      <c r="C714" s="30"/>
      <c r="D714" s="30"/>
      <c r="E714" s="30"/>
      <c r="F714" s="30"/>
      <c r="G714" s="30"/>
      <c r="H714" s="159"/>
      <c r="L714" s="21">
        <v>1</v>
      </c>
    </row>
    <row r="715" spans="2:12" ht="18">
      <c r="B715" s="30"/>
      <c r="C715" s="30"/>
      <c r="D715" s="30"/>
      <c r="E715" s="30"/>
      <c r="F715" s="30"/>
      <c r="G715" s="30"/>
      <c r="H715" s="159"/>
      <c r="L715" s="21">
        <v>1</v>
      </c>
    </row>
    <row r="716" spans="2:12" ht="18">
      <c r="B716" s="30"/>
      <c r="C716" s="30"/>
      <c r="D716" s="30"/>
      <c r="E716" s="30"/>
      <c r="F716" s="30"/>
      <c r="G716" s="30"/>
      <c r="H716" s="159"/>
      <c r="L716" s="21">
        <v>1</v>
      </c>
    </row>
    <row r="717" spans="2:12" ht="18">
      <c r="B717" s="30"/>
      <c r="C717" s="30"/>
      <c r="D717" s="30"/>
      <c r="E717" s="30"/>
      <c r="F717" s="30"/>
      <c r="G717" s="30"/>
      <c r="H717" s="159"/>
      <c r="L717" s="21">
        <v>1</v>
      </c>
    </row>
    <row r="718" spans="2:12" ht="18">
      <c r="B718" s="30"/>
      <c r="C718" s="30"/>
      <c r="D718" s="30"/>
      <c r="E718" s="30"/>
      <c r="F718" s="30"/>
      <c r="G718" s="30"/>
      <c r="H718" s="159"/>
      <c r="L718" s="21">
        <v>1</v>
      </c>
    </row>
    <row r="719" spans="2:12" ht="18">
      <c r="B719" s="30"/>
      <c r="C719" s="30"/>
      <c r="D719" s="30"/>
      <c r="E719" s="30"/>
      <c r="F719" s="30"/>
      <c r="G719" s="30"/>
      <c r="H719" s="159"/>
      <c r="L719" s="21">
        <v>1</v>
      </c>
    </row>
    <row r="720" spans="2:12" ht="18">
      <c r="B720" s="30"/>
      <c r="C720" s="30"/>
      <c r="D720" s="30"/>
      <c r="E720" s="30"/>
      <c r="F720" s="30"/>
      <c r="G720" s="30"/>
      <c r="H720" s="159"/>
      <c r="L720" s="21">
        <v>1</v>
      </c>
    </row>
    <row r="721" spans="2:12" ht="18">
      <c r="B721" s="30"/>
      <c r="C721" s="30"/>
      <c r="D721" s="30"/>
      <c r="E721" s="30"/>
      <c r="F721" s="30"/>
      <c r="G721" s="30"/>
      <c r="H721" s="159"/>
      <c r="L721" s="21">
        <v>1</v>
      </c>
    </row>
    <row r="722" spans="2:12" ht="18">
      <c r="B722" s="30"/>
      <c r="C722" s="30"/>
      <c r="D722" s="30"/>
      <c r="E722" s="30"/>
      <c r="F722" s="30"/>
      <c r="G722" s="30"/>
      <c r="H722" s="159"/>
      <c r="L722" s="21">
        <v>1</v>
      </c>
    </row>
    <row r="723" spans="2:12" ht="18">
      <c r="B723" s="30"/>
      <c r="C723" s="30"/>
      <c r="D723" s="30"/>
      <c r="E723" s="30"/>
      <c r="F723" s="30"/>
      <c r="G723" s="30"/>
      <c r="H723" s="159"/>
      <c r="L723" s="21">
        <v>1</v>
      </c>
    </row>
    <row r="724" spans="2:12" ht="18">
      <c r="B724" s="30"/>
      <c r="C724" s="30"/>
      <c r="D724" s="30"/>
      <c r="E724" s="30"/>
      <c r="F724" s="30"/>
      <c r="G724" s="30"/>
      <c r="H724" s="159"/>
      <c r="L724" s="21">
        <v>1</v>
      </c>
    </row>
    <row r="725" spans="2:12" ht="18">
      <c r="B725" s="30"/>
      <c r="C725" s="30"/>
      <c r="D725" s="30"/>
      <c r="E725" s="30"/>
      <c r="F725" s="30"/>
      <c r="G725" s="30"/>
      <c r="H725" s="159"/>
      <c r="L725" s="21">
        <v>1</v>
      </c>
    </row>
    <row r="726" spans="2:12" ht="18">
      <c r="B726" s="30"/>
      <c r="C726" s="30"/>
      <c r="D726" s="30"/>
      <c r="E726" s="30"/>
      <c r="F726" s="30"/>
      <c r="G726" s="30"/>
      <c r="H726" s="159"/>
      <c r="L726" s="21">
        <v>1</v>
      </c>
    </row>
    <row r="727" spans="2:12" ht="18">
      <c r="B727" s="30"/>
      <c r="C727" s="30"/>
      <c r="D727" s="30"/>
      <c r="E727" s="30"/>
      <c r="F727" s="30"/>
      <c r="G727" s="30"/>
      <c r="H727" s="159"/>
      <c r="L727" s="21">
        <v>1</v>
      </c>
    </row>
    <row r="728" spans="2:12" ht="18">
      <c r="B728" s="30"/>
      <c r="C728" s="30"/>
      <c r="D728" s="30"/>
      <c r="E728" s="30"/>
      <c r="F728" s="30"/>
      <c r="G728" s="30"/>
      <c r="H728" s="159"/>
      <c r="L728" s="21">
        <v>1</v>
      </c>
    </row>
    <row r="729" spans="2:12" ht="18">
      <c r="B729" s="30"/>
      <c r="C729" s="30"/>
      <c r="D729" s="30"/>
      <c r="E729" s="30"/>
      <c r="F729" s="30"/>
      <c r="G729" s="30"/>
      <c r="H729" s="159"/>
      <c r="L729" s="21">
        <v>1</v>
      </c>
    </row>
    <row r="730" spans="2:12" ht="18">
      <c r="B730" s="30"/>
      <c r="C730" s="30"/>
      <c r="D730" s="30"/>
      <c r="E730" s="30"/>
      <c r="F730" s="30"/>
      <c r="G730" s="30"/>
      <c r="H730" s="159"/>
      <c r="L730" s="21">
        <v>1</v>
      </c>
    </row>
    <row r="731" spans="2:12" ht="18">
      <c r="B731" s="30"/>
      <c r="C731" s="30"/>
      <c r="D731" s="30"/>
      <c r="E731" s="30"/>
      <c r="F731" s="30"/>
      <c r="G731" s="30"/>
      <c r="H731" s="159"/>
      <c r="L731" s="21">
        <v>1</v>
      </c>
    </row>
    <row r="732" spans="2:12" ht="18">
      <c r="B732" s="30"/>
      <c r="C732" s="30"/>
      <c r="D732" s="30"/>
      <c r="E732" s="30"/>
      <c r="F732" s="30"/>
      <c r="G732" s="30"/>
      <c r="H732" s="159"/>
      <c r="L732" s="21">
        <v>1</v>
      </c>
    </row>
    <row r="733" spans="2:12" ht="18">
      <c r="B733" s="30"/>
      <c r="C733" s="30"/>
      <c r="D733" s="30"/>
      <c r="E733" s="30"/>
      <c r="F733" s="30"/>
      <c r="G733" s="30"/>
      <c r="H733" s="159"/>
      <c r="L733" s="21">
        <v>1</v>
      </c>
    </row>
    <row r="734" spans="2:12" ht="18">
      <c r="B734" s="30"/>
      <c r="C734" s="30"/>
      <c r="D734" s="30"/>
      <c r="E734" s="30"/>
      <c r="F734" s="30"/>
      <c r="G734" s="30"/>
      <c r="H734" s="159"/>
      <c r="L734" s="21">
        <v>1</v>
      </c>
    </row>
    <row r="735" spans="2:12" ht="18">
      <c r="B735" s="30"/>
      <c r="C735" s="30"/>
      <c r="D735" s="30"/>
      <c r="E735" s="30"/>
      <c r="F735" s="30"/>
      <c r="G735" s="30"/>
      <c r="H735" s="159"/>
      <c r="L735" s="21">
        <v>1</v>
      </c>
    </row>
    <row r="736" spans="2:12" ht="18">
      <c r="B736" s="30"/>
      <c r="C736" s="30"/>
      <c r="D736" s="30"/>
      <c r="E736" s="30"/>
      <c r="F736" s="30"/>
      <c r="G736" s="30"/>
      <c r="H736" s="159"/>
      <c r="L736" s="21">
        <v>1</v>
      </c>
    </row>
    <row r="737" spans="2:12" ht="18">
      <c r="B737" s="30"/>
      <c r="C737" s="30"/>
      <c r="D737" s="30"/>
      <c r="E737" s="30"/>
      <c r="F737" s="30"/>
      <c r="G737" s="30"/>
      <c r="H737" s="159"/>
      <c r="L737" s="21">
        <v>1</v>
      </c>
    </row>
    <row r="738" spans="2:12" ht="18">
      <c r="B738" s="30"/>
      <c r="C738" s="30"/>
      <c r="D738" s="30"/>
      <c r="E738" s="30"/>
      <c r="F738" s="30"/>
      <c r="G738" s="30"/>
      <c r="H738" s="159"/>
      <c r="L738" s="21">
        <v>1</v>
      </c>
    </row>
    <row r="739" spans="2:12" ht="18">
      <c r="B739" s="30"/>
      <c r="C739" s="30"/>
      <c r="D739" s="30"/>
      <c r="E739" s="30"/>
      <c r="F739" s="30"/>
      <c r="G739" s="30"/>
      <c r="H739" s="159"/>
      <c r="L739" s="21">
        <v>1</v>
      </c>
    </row>
    <row r="740" spans="2:12" ht="18">
      <c r="B740" s="30"/>
      <c r="C740" s="30"/>
      <c r="D740" s="30"/>
      <c r="E740" s="30"/>
      <c r="F740" s="30"/>
      <c r="G740" s="30"/>
      <c r="H740" s="159"/>
      <c r="L740" s="21">
        <v>1</v>
      </c>
    </row>
    <row r="741" spans="2:12" ht="18">
      <c r="B741" s="30"/>
      <c r="C741" s="30"/>
      <c r="D741" s="30"/>
      <c r="E741" s="30"/>
      <c r="F741" s="30"/>
      <c r="G741" s="30"/>
      <c r="H741" s="159"/>
      <c r="L741" s="21">
        <v>1</v>
      </c>
    </row>
    <row r="742" spans="2:12" ht="18">
      <c r="B742" s="30"/>
      <c r="C742" s="30"/>
      <c r="D742" s="30"/>
      <c r="E742" s="30"/>
      <c r="F742" s="30"/>
      <c r="G742" s="30"/>
      <c r="H742" s="159"/>
      <c r="L742" s="21">
        <v>1</v>
      </c>
    </row>
    <row r="743" spans="2:12" ht="18">
      <c r="B743" s="30"/>
      <c r="C743" s="30"/>
      <c r="D743" s="30"/>
      <c r="E743" s="30"/>
      <c r="F743" s="30"/>
      <c r="G743" s="30"/>
      <c r="H743" s="159"/>
      <c r="L743" s="21">
        <v>1</v>
      </c>
    </row>
    <row r="744" spans="2:12" ht="18">
      <c r="B744" s="30"/>
      <c r="C744" s="30"/>
      <c r="D744" s="30"/>
      <c r="E744" s="30"/>
      <c r="F744" s="30"/>
      <c r="G744" s="30"/>
      <c r="H744" s="159"/>
      <c r="L744" s="21">
        <v>1</v>
      </c>
    </row>
    <row r="745" spans="2:12" ht="18">
      <c r="B745" s="30"/>
      <c r="C745" s="30"/>
      <c r="D745" s="30"/>
      <c r="E745" s="30"/>
      <c r="F745" s="30"/>
      <c r="G745" s="30"/>
      <c r="H745" s="159"/>
      <c r="L745" s="21">
        <v>1</v>
      </c>
    </row>
    <row r="746" spans="2:12" ht="18">
      <c r="B746" s="30"/>
      <c r="C746" s="30"/>
      <c r="D746" s="30"/>
      <c r="E746" s="30"/>
      <c r="F746" s="30"/>
      <c r="G746" s="30"/>
      <c r="H746" s="159"/>
      <c r="L746" s="21">
        <v>1</v>
      </c>
    </row>
    <row r="747" spans="2:12" ht="18">
      <c r="B747" s="30"/>
      <c r="C747" s="30"/>
      <c r="D747" s="30"/>
      <c r="E747" s="30"/>
      <c r="F747" s="30"/>
      <c r="G747" s="30"/>
      <c r="H747" s="159"/>
      <c r="L747" s="21">
        <v>1</v>
      </c>
    </row>
    <row r="748" spans="2:12" ht="18">
      <c r="B748" s="30"/>
      <c r="C748" s="30"/>
      <c r="D748" s="30"/>
      <c r="E748" s="30"/>
      <c r="F748" s="30"/>
      <c r="G748" s="30"/>
      <c r="H748" s="159"/>
      <c r="L748" s="21">
        <v>1</v>
      </c>
    </row>
    <row r="749" spans="2:12" ht="18">
      <c r="B749" s="30"/>
      <c r="C749" s="30"/>
      <c r="D749" s="30"/>
      <c r="E749" s="30"/>
      <c r="F749" s="30"/>
      <c r="G749" s="30"/>
      <c r="H749" s="159"/>
      <c r="L749" s="21">
        <v>1</v>
      </c>
    </row>
    <row r="750" spans="2:12" ht="18">
      <c r="B750" s="30"/>
      <c r="C750" s="30"/>
      <c r="D750" s="30"/>
      <c r="E750" s="30"/>
      <c r="F750" s="30"/>
      <c r="G750" s="30"/>
      <c r="H750" s="159"/>
      <c r="L750" s="21">
        <v>1</v>
      </c>
    </row>
    <row r="751" spans="2:12" ht="18">
      <c r="B751" s="30"/>
      <c r="C751" s="30"/>
      <c r="D751" s="30"/>
      <c r="E751" s="30"/>
      <c r="F751" s="30"/>
      <c r="G751" s="30"/>
      <c r="H751" s="159"/>
      <c r="L751" s="21">
        <v>1</v>
      </c>
    </row>
    <row r="752" spans="2:12" ht="18">
      <c r="B752" s="30"/>
      <c r="C752" s="30"/>
      <c r="D752" s="30"/>
      <c r="E752" s="30"/>
      <c r="F752" s="30"/>
      <c r="G752" s="30"/>
      <c r="H752" s="159"/>
      <c r="L752" s="21">
        <v>1</v>
      </c>
    </row>
    <row r="753" spans="2:12" ht="18">
      <c r="B753" s="30"/>
      <c r="C753" s="30"/>
      <c r="D753" s="30"/>
      <c r="E753" s="30"/>
      <c r="F753" s="30"/>
      <c r="G753" s="30"/>
      <c r="H753" s="159"/>
      <c r="L753" s="21">
        <v>1</v>
      </c>
    </row>
    <row r="754" spans="2:12" ht="18">
      <c r="B754" s="30"/>
      <c r="C754" s="30"/>
      <c r="D754" s="30"/>
      <c r="E754" s="30"/>
      <c r="F754" s="30"/>
      <c r="G754" s="30"/>
      <c r="H754" s="159"/>
      <c r="L754" s="21">
        <v>1</v>
      </c>
    </row>
    <row r="755" spans="2:12" ht="18">
      <c r="B755" s="30"/>
      <c r="C755" s="30"/>
      <c r="D755" s="30"/>
      <c r="E755" s="30"/>
      <c r="F755" s="30"/>
      <c r="G755" s="30"/>
      <c r="H755" s="159"/>
      <c r="L755" s="21">
        <v>1</v>
      </c>
    </row>
    <row r="756" spans="2:12" ht="18">
      <c r="B756" s="30"/>
      <c r="C756" s="30"/>
      <c r="D756" s="30"/>
      <c r="E756" s="30"/>
      <c r="F756" s="30"/>
      <c r="G756" s="30"/>
      <c r="H756" s="159"/>
      <c r="L756" s="21">
        <v>1</v>
      </c>
    </row>
    <row r="757" spans="2:12" ht="18">
      <c r="B757" s="30"/>
      <c r="C757" s="30"/>
      <c r="D757" s="30"/>
      <c r="E757" s="30"/>
      <c r="F757" s="30"/>
      <c r="G757" s="30"/>
      <c r="H757" s="159"/>
      <c r="L757" s="21">
        <v>1</v>
      </c>
    </row>
    <row r="758" spans="2:12" ht="18">
      <c r="B758" s="30"/>
      <c r="C758" s="30"/>
      <c r="D758" s="30"/>
      <c r="E758" s="30"/>
      <c r="F758" s="30"/>
      <c r="G758" s="30"/>
      <c r="H758" s="159"/>
      <c r="L758" s="21">
        <v>1</v>
      </c>
    </row>
    <row r="759" spans="2:12" ht="18">
      <c r="B759" s="30"/>
      <c r="C759" s="30"/>
      <c r="D759" s="30"/>
      <c r="E759" s="30"/>
      <c r="F759" s="30"/>
      <c r="G759" s="30"/>
      <c r="H759" s="159"/>
      <c r="L759" s="21">
        <v>1</v>
      </c>
    </row>
    <row r="760" spans="2:12" ht="18">
      <c r="B760" s="30"/>
      <c r="C760" s="30"/>
      <c r="D760" s="30"/>
      <c r="E760" s="30"/>
      <c r="F760" s="30"/>
      <c r="G760" s="30"/>
      <c r="H760" s="159"/>
      <c r="L760" s="21">
        <v>1</v>
      </c>
    </row>
    <row r="761" spans="2:12" ht="18">
      <c r="B761" s="30"/>
      <c r="C761" s="30"/>
      <c r="D761" s="30"/>
      <c r="E761" s="30"/>
      <c r="F761" s="30"/>
      <c r="G761" s="30"/>
      <c r="H761" s="159"/>
      <c r="L761" s="21">
        <v>1</v>
      </c>
    </row>
    <row r="762" spans="2:12" ht="18">
      <c r="B762" s="30"/>
      <c r="C762" s="30"/>
      <c r="D762" s="30"/>
      <c r="E762" s="30"/>
      <c r="F762" s="30"/>
      <c r="G762" s="30"/>
      <c r="H762" s="159"/>
      <c r="L762" s="21">
        <v>1</v>
      </c>
    </row>
    <row r="763" spans="2:12" ht="18">
      <c r="B763" s="30"/>
      <c r="C763" s="30"/>
      <c r="D763" s="30"/>
      <c r="E763" s="30"/>
      <c r="F763" s="30"/>
      <c r="G763" s="30"/>
      <c r="H763" s="159"/>
      <c r="L763" s="21">
        <v>1</v>
      </c>
    </row>
    <row r="764" spans="2:12" ht="18">
      <c r="B764" s="30"/>
      <c r="C764" s="30"/>
      <c r="D764" s="30"/>
      <c r="E764" s="30"/>
      <c r="F764" s="30"/>
      <c r="G764" s="30"/>
      <c r="H764" s="159"/>
      <c r="L764" s="21">
        <v>1</v>
      </c>
    </row>
    <row r="765" spans="2:12" ht="18">
      <c r="B765" s="30"/>
      <c r="C765" s="30"/>
      <c r="D765" s="30"/>
      <c r="E765" s="30"/>
      <c r="F765" s="30"/>
      <c r="G765" s="30"/>
      <c r="H765" s="159"/>
      <c r="L765" s="21">
        <v>1</v>
      </c>
    </row>
    <row r="766" spans="2:12" ht="18">
      <c r="B766" s="30"/>
      <c r="C766" s="30"/>
      <c r="D766" s="30"/>
      <c r="E766" s="30"/>
      <c r="F766" s="30"/>
      <c r="G766" s="30"/>
      <c r="H766" s="159"/>
      <c r="L766" s="21">
        <v>1</v>
      </c>
    </row>
    <row r="767" spans="2:12" ht="18">
      <c r="B767" s="30"/>
      <c r="C767" s="30"/>
      <c r="D767" s="30"/>
      <c r="E767" s="30"/>
      <c r="F767" s="30"/>
      <c r="G767" s="30"/>
      <c r="H767" s="159"/>
      <c r="L767" s="21">
        <v>1</v>
      </c>
    </row>
    <row r="768" spans="2:12" ht="18">
      <c r="B768" s="30"/>
      <c r="C768" s="30"/>
      <c r="D768" s="30"/>
      <c r="E768" s="30"/>
      <c r="F768" s="30"/>
      <c r="G768" s="30"/>
      <c r="H768" s="159"/>
      <c r="L768" s="21">
        <v>1</v>
      </c>
    </row>
    <row r="769" spans="2:12" ht="18">
      <c r="B769" s="30"/>
      <c r="C769" s="30"/>
      <c r="D769" s="30"/>
      <c r="E769" s="30"/>
      <c r="F769" s="30"/>
      <c r="G769" s="30"/>
      <c r="H769" s="159"/>
      <c r="L769" s="21">
        <v>1</v>
      </c>
    </row>
    <row r="770" spans="2:12" ht="18">
      <c r="B770" s="30"/>
      <c r="C770" s="30"/>
      <c r="D770" s="30"/>
      <c r="E770" s="30"/>
      <c r="F770" s="30"/>
      <c r="G770" s="30"/>
      <c r="H770" s="159"/>
      <c r="L770" s="21">
        <v>1</v>
      </c>
    </row>
    <row r="771" spans="2:12" ht="18">
      <c r="B771" s="30"/>
      <c r="C771" s="30"/>
      <c r="D771" s="30"/>
      <c r="E771" s="30"/>
      <c r="F771" s="30"/>
      <c r="G771" s="30"/>
      <c r="H771" s="159"/>
      <c r="L771" s="21">
        <v>1</v>
      </c>
    </row>
    <row r="772" spans="2:12" ht="18">
      <c r="B772" s="30"/>
      <c r="C772" s="30"/>
      <c r="D772" s="30"/>
      <c r="E772" s="30"/>
      <c r="F772" s="30"/>
      <c r="G772" s="30"/>
      <c r="H772" s="159"/>
      <c r="L772" s="21">
        <v>1</v>
      </c>
    </row>
    <row r="773" spans="2:12" ht="18">
      <c r="B773" s="30"/>
      <c r="C773" s="30"/>
      <c r="D773" s="30"/>
      <c r="E773" s="30"/>
      <c r="F773" s="30"/>
      <c r="G773" s="30"/>
      <c r="H773" s="159"/>
      <c r="L773" s="21">
        <v>1</v>
      </c>
    </row>
    <row r="774" spans="2:12" ht="18">
      <c r="B774" s="30"/>
      <c r="C774" s="30"/>
      <c r="D774" s="30"/>
      <c r="E774" s="30"/>
      <c r="F774" s="30"/>
      <c r="G774" s="30"/>
      <c r="H774" s="159"/>
      <c r="L774" s="21">
        <v>1</v>
      </c>
    </row>
    <row r="775" spans="2:12" ht="18">
      <c r="B775" s="30"/>
      <c r="C775" s="30"/>
      <c r="D775" s="30"/>
      <c r="E775" s="30"/>
      <c r="F775" s="30"/>
      <c r="G775" s="30"/>
      <c r="H775" s="159"/>
      <c r="L775" s="21">
        <v>1</v>
      </c>
    </row>
    <row r="776" spans="2:12" ht="18">
      <c r="B776" s="30"/>
      <c r="C776" s="30"/>
      <c r="D776" s="30"/>
      <c r="E776" s="30"/>
      <c r="F776" s="30"/>
      <c r="G776" s="30"/>
      <c r="H776" s="159"/>
      <c r="L776" s="21">
        <v>1</v>
      </c>
    </row>
    <row r="777" spans="2:12" ht="18">
      <c r="B777" s="30"/>
      <c r="C777" s="30"/>
      <c r="D777" s="30"/>
      <c r="E777" s="30"/>
      <c r="F777" s="30"/>
      <c r="G777" s="30"/>
      <c r="H777" s="159"/>
      <c r="L777" s="21">
        <v>1</v>
      </c>
    </row>
    <row r="778" spans="2:12" ht="18">
      <c r="B778" s="30"/>
      <c r="C778" s="30"/>
      <c r="D778" s="30"/>
      <c r="E778" s="30"/>
      <c r="F778" s="30"/>
      <c r="G778" s="30"/>
      <c r="H778" s="159"/>
      <c r="L778" s="21">
        <v>1</v>
      </c>
    </row>
    <row r="779" spans="2:12" ht="18">
      <c r="B779" s="30"/>
      <c r="C779" s="30"/>
      <c r="D779" s="30"/>
      <c r="E779" s="30"/>
      <c r="F779" s="30"/>
      <c r="G779" s="30"/>
      <c r="H779" s="159"/>
      <c r="L779" s="21">
        <v>1</v>
      </c>
    </row>
    <row r="780" spans="2:12" ht="18">
      <c r="B780" s="30"/>
      <c r="C780" s="30"/>
      <c r="D780" s="30"/>
      <c r="E780" s="30"/>
      <c r="F780" s="30"/>
      <c r="G780" s="30"/>
      <c r="H780" s="159"/>
      <c r="L780" s="21">
        <v>1</v>
      </c>
    </row>
    <row r="781" spans="2:12" ht="18">
      <c r="B781" s="30"/>
      <c r="C781" s="30"/>
      <c r="D781" s="30"/>
      <c r="E781" s="30"/>
      <c r="F781" s="30"/>
      <c r="G781" s="30"/>
      <c r="H781" s="159"/>
      <c r="L781" s="21">
        <v>1</v>
      </c>
    </row>
    <row r="782" spans="2:12" ht="18">
      <c r="B782" s="30"/>
      <c r="C782" s="30"/>
      <c r="D782" s="30"/>
      <c r="E782" s="30"/>
      <c r="F782" s="30"/>
      <c r="G782" s="30"/>
      <c r="H782" s="159"/>
      <c r="L782" s="21">
        <v>1</v>
      </c>
    </row>
    <row r="783" spans="2:12" ht="18">
      <c r="B783" s="30"/>
      <c r="C783" s="30"/>
      <c r="D783" s="30"/>
      <c r="E783" s="30"/>
      <c r="F783" s="30"/>
      <c r="G783" s="30"/>
      <c r="H783" s="159"/>
      <c r="L783" s="21">
        <v>1</v>
      </c>
    </row>
    <row r="784" spans="2:12" ht="18">
      <c r="B784" s="30"/>
      <c r="C784" s="30"/>
      <c r="D784" s="30"/>
      <c r="E784" s="30"/>
      <c r="F784" s="30"/>
      <c r="G784" s="30"/>
      <c r="H784" s="159"/>
      <c r="L784" s="21">
        <v>1</v>
      </c>
    </row>
    <row r="785" spans="2:12" ht="18">
      <c r="B785" s="30"/>
      <c r="C785" s="30"/>
      <c r="D785" s="30"/>
      <c r="E785" s="30"/>
      <c r="F785" s="30"/>
      <c r="G785" s="30"/>
      <c r="H785" s="159"/>
      <c r="L785" s="21">
        <v>1</v>
      </c>
    </row>
    <row r="786" spans="2:12" ht="18">
      <c r="B786" s="30"/>
      <c r="C786" s="30"/>
      <c r="D786" s="30"/>
      <c r="E786" s="30"/>
      <c r="F786" s="30"/>
      <c r="G786" s="30"/>
      <c r="H786" s="159"/>
      <c r="L786" s="21">
        <v>1</v>
      </c>
    </row>
    <row r="787" spans="2:12" ht="18">
      <c r="B787" s="30"/>
      <c r="C787" s="30"/>
      <c r="D787" s="30"/>
      <c r="E787" s="30"/>
      <c r="F787" s="30"/>
      <c r="G787" s="30"/>
      <c r="H787" s="159"/>
      <c r="L787" s="21">
        <v>1</v>
      </c>
    </row>
    <row r="788" spans="2:12" ht="18">
      <c r="B788" s="30"/>
      <c r="C788" s="30"/>
      <c r="D788" s="30"/>
      <c r="E788" s="30"/>
      <c r="F788" s="30"/>
      <c r="G788" s="30"/>
      <c r="H788" s="159"/>
      <c r="L788" s="21">
        <v>1</v>
      </c>
    </row>
    <row r="789" spans="2:12" ht="18">
      <c r="B789" s="30"/>
      <c r="C789" s="30"/>
      <c r="D789" s="30"/>
      <c r="E789" s="30"/>
      <c r="F789" s="30"/>
      <c r="G789" s="30"/>
      <c r="H789" s="159"/>
      <c r="L789" s="21">
        <v>1</v>
      </c>
    </row>
    <row r="790" spans="2:12" ht="18">
      <c r="B790" s="30"/>
      <c r="C790" s="30"/>
      <c r="D790" s="30"/>
      <c r="E790" s="30"/>
      <c r="F790" s="30"/>
      <c r="G790" s="30"/>
      <c r="H790" s="159"/>
      <c r="L790" s="21">
        <v>1</v>
      </c>
    </row>
    <row r="791" spans="2:12" ht="18">
      <c r="B791" s="30"/>
      <c r="C791" s="30"/>
      <c r="D791" s="30"/>
      <c r="E791" s="30"/>
      <c r="F791" s="30"/>
      <c r="G791" s="30"/>
      <c r="H791" s="159"/>
      <c r="L791" s="21">
        <v>1</v>
      </c>
    </row>
    <row r="792" spans="2:12" ht="18">
      <c r="B792" s="30"/>
      <c r="C792" s="30"/>
      <c r="D792" s="30"/>
      <c r="E792" s="30"/>
      <c r="F792" s="30"/>
      <c r="G792" s="30"/>
      <c r="H792" s="159"/>
      <c r="L792" s="21">
        <v>1</v>
      </c>
    </row>
    <row r="793" spans="2:12" ht="18">
      <c r="B793" s="30"/>
      <c r="C793" s="30"/>
      <c r="D793" s="30"/>
      <c r="E793" s="30"/>
      <c r="F793" s="30"/>
      <c r="G793" s="30"/>
      <c r="H793" s="159"/>
      <c r="L793" s="21">
        <v>1</v>
      </c>
    </row>
    <row r="794" spans="2:12" ht="18">
      <c r="B794" s="30"/>
      <c r="C794" s="30"/>
      <c r="D794" s="30"/>
      <c r="E794" s="30"/>
      <c r="F794" s="30"/>
      <c r="G794" s="30"/>
      <c r="H794" s="159"/>
      <c r="L794" s="21">
        <v>1</v>
      </c>
    </row>
    <row r="795" spans="2:12" ht="18">
      <c r="B795" s="30"/>
      <c r="C795" s="30"/>
      <c r="D795" s="30"/>
      <c r="E795" s="30"/>
      <c r="F795" s="30"/>
      <c r="G795" s="30"/>
      <c r="H795" s="159"/>
      <c r="L795" s="21">
        <v>1</v>
      </c>
    </row>
    <row r="796" spans="2:12" ht="18">
      <c r="B796" s="30"/>
      <c r="C796" s="30"/>
      <c r="D796" s="30"/>
      <c r="E796" s="30"/>
      <c r="F796" s="30"/>
      <c r="G796" s="30"/>
      <c r="H796" s="159"/>
      <c r="L796" s="21">
        <v>1</v>
      </c>
    </row>
    <row r="797" spans="2:12" ht="18">
      <c r="B797" s="30"/>
      <c r="C797" s="30"/>
      <c r="D797" s="30"/>
      <c r="E797" s="30"/>
      <c r="F797" s="30"/>
      <c r="G797" s="30"/>
      <c r="H797" s="159"/>
      <c r="L797" s="21">
        <v>1</v>
      </c>
    </row>
    <row r="798" spans="2:12" ht="18">
      <c r="B798" s="30"/>
      <c r="C798" s="30"/>
      <c r="D798" s="30"/>
      <c r="E798" s="30"/>
      <c r="F798" s="30"/>
      <c r="G798" s="30"/>
      <c r="H798" s="159"/>
      <c r="L798" s="21">
        <v>1</v>
      </c>
    </row>
    <row r="799" spans="2:12" ht="18">
      <c r="B799" s="30"/>
      <c r="C799" s="30"/>
      <c r="D799" s="30"/>
      <c r="E799" s="30"/>
      <c r="F799" s="30"/>
      <c r="G799" s="30"/>
      <c r="H799" s="159"/>
      <c r="L799" s="21">
        <v>1</v>
      </c>
    </row>
    <row r="800" spans="2:12" ht="18">
      <c r="B800" s="30"/>
      <c r="C800" s="30"/>
      <c r="D800" s="30"/>
      <c r="E800" s="30"/>
      <c r="F800" s="30"/>
      <c r="G800" s="30"/>
      <c r="H800" s="159"/>
      <c r="L800" s="21">
        <v>1</v>
      </c>
    </row>
    <row r="801" spans="2:12" ht="18">
      <c r="B801" s="30"/>
      <c r="C801" s="30"/>
      <c r="D801" s="30"/>
      <c r="E801" s="30"/>
      <c r="F801" s="30"/>
      <c r="G801" s="30"/>
      <c r="H801" s="159"/>
      <c r="L801" s="21">
        <v>1</v>
      </c>
    </row>
    <row r="802" spans="2:12" ht="18">
      <c r="B802" s="30"/>
      <c r="C802" s="30"/>
      <c r="D802" s="30"/>
      <c r="E802" s="30"/>
      <c r="F802" s="30"/>
      <c r="G802" s="30"/>
      <c r="H802" s="159"/>
      <c r="L802" s="21">
        <v>1</v>
      </c>
    </row>
    <row r="803" spans="2:12" ht="18">
      <c r="B803" s="30"/>
      <c r="C803" s="30"/>
      <c r="D803" s="30"/>
      <c r="E803" s="30"/>
      <c r="F803" s="30"/>
      <c r="G803" s="30"/>
      <c r="H803" s="159"/>
      <c r="L803" s="21">
        <v>1</v>
      </c>
    </row>
    <row r="804" spans="2:12" ht="18">
      <c r="B804" s="30"/>
      <c r="C804" s="30"/>
      <c r="D804" s="30"/>
      <c r="E804" s="30"/>
      <c r="F804" s="30"/>
      <c r="G804" s="30"/>
      <c r="H804" s="159"/>
      <c r="L804" s="21">
        <v>1</v>
      </c>
    </row>
    <row r="805" spans="2:12" ht="18">
      <c r="B805" s="30"/>
      <c r="C805" s="30"/>
      <c r="D805" s="30"/>
      <c r="E805" s="30"/>
      <c r="F805" s="30"/>
      <c r="G805" s="30"/>
      <c r="H805" s="159"/>
      <c r="L805" s="21">
        <v>1</v>
      </c>
    </row>
    <row r="806" spans="2:12" ht="18">
      <c r="B806" s="30"/>
      <c r="C806" s="30"/>
      <c r="D806" s="30"/>
      <c r="E806" s="30"/>
      <c r="F806" s="30"/>
      <c r="G806" s="30"/>
      <c r="H806" s="159"/>
      <c r="L806" s="21">
        <v>1</v>
      </c>
    </row>
    <row r="807" spans="2:12" ht="18">
      <c r="B807" s="30"/>
      <c r="C807" s="30"/>
      <c r="D807" s="30"/>
      <c r="E807" s="30"/>
      <c r="F807" s="30"/>
      <c r="G807" s="30"/>
      <c r="H807" s="159"/>
      <c r="L807" s="21">
        <v>1</v>
      </c>
    </row>
    <row r="808" spans="2:12" ht="18">
      <c r="B808" s="30"/>
      <c r="C808" s="30"/>
      <c r="D808" s="30"/>
      <c r="E808" s="30"/>
      <c r="F808" s="30"/>
      <c r="G808" s="30"/>
      <c r="H808" s="159"/>
      <c r="L808" s="21">
        <v>1</v>
      </c>
    </row>
    <row r="809" spans="2:12" ht="18">
      <c r="B809" s="30"/>
      <c r="C809" s="30"/>
      <c r="D809" s="30"/>
      <c r="E809" s="30"/>
      <c r="F809" s="30"/>
      <c r="G809" s="30"/>
      <c r="H809" s="159"/>
      <c r="L809" s="21">
        <v>1</v>
      </c>
    </row>
    <row r="810" spans="2:12" ht="18">
      <c r="B810" s="30"/>
      <c r="C810" s="30"/>
      <c r="D810" s="30"/>
      <c r="E810" s="30"/>
      <c r="F810" s="30"/>
      <c r="G810" s="30"/>
      <c r="H810" s="159"/>
      <c r="L810" s="21">
        <v>1</v>
      </c>
    </row>
    <row r="811" spans="2:12" ht="18">
      <c r="B811" s="30"/>
      <c r="C811" s="30"/>
      <c r="D811" s="30"/>
      <c r="E811" s="30"/>
      <c r="F811" s="30"/>
      <c r="G811" s="30"/>
      <c r="H811" s="159"/>
      <c r="L811" s="21">
        <v>1</v>
      </c>
    </row>
    <row r="812" spans="2:12" ht="18">
      <c r="B812" s="30"/>
      <c r="C812" s="30"/>
      <c r="D812" s="30"/>
      <c r="E812" s="30"/>
      <c r="F812" s="30"/>
      <c r="G812" s="30"/>
      <c r="H812" s="159"/>
      <c r="L812" s="21">
        <v>1</v>
      </c>
    </row>
    <row r="813" spans="2:12" ht="18">
      <c r="B813" s="30"/>
      <c r="C813" s="30"/>
      <c r="D813" s="30"/>
      <c r="E813" s="30"/>
      <c r="F813" s="30"/>
      <c r="G813" s="30"/>
      <c r="H813" s="159"/>
      <c r="L813" s="21">
        <v>1</v>
      </c>
    </row>
    <row r="814" spans="2:12" ht="18">
      <c r="B814" s="30"/>
      <c r="C814" s="30"/>
      <c r="D814" s="30"/>
      <c r="E814" s="30"/>
      <c r="F814" s="30"/>
      <c r="G814" s="30"/>
      <c r="H814" s="159"/>
      <c r="L814" s="21">
        <v>1</v>
      </c>
    </row>
    <row r="815" spans="2:12" ht="18">
      <c r="B815" s="30"/>
      <c r="C815" s="30"/>
      <c r="D815" s="30"/>
      <c r="E815" s="30"/>
      <c r="F815" s="30"/>
      <c r="G815" s="30"/>
      <c r="H815" s="159"/>
      <c r="L815" s="21">
        <v>1</v>
      </c>
    </row>
    <row r="816" spans="2:12" ht="18">
      <c r="B816" s="30"/>
      <c r="C816" s="30"/>
      <c r="D816" s="30"/>
      <c r="E816" s="30"/>
      <c r="F816" s="30"/>
      <c r="G816" s="30"/>
      <c r="H816" s="159"/>
      <c r="L816" s="21">
        <v>1</v>
      </c>
    </row>
    <row r="817" spans="2:12" ht="18">
      <c r="B817" s="30"/>
      <c r="C817" s="30"/>
      <c r="D817" s="30"/>
      <c r="E817" s="30"/>
      <c r="F817" s="30"/>
      <c r="G817" s="30"/>
      <c r="H817" s="159"/>
      <c r="L817" s="21">
        <v>1</v>
      </c>
    </row>
    <row r="818" spans="2:12" ht="18">
      <c r="B818" s="30"/>
      <c r="C818" s="30"/>
      <c r="D818" s="30"/>
      <c r="E818" s="30"/>
      <c r="F818" s="30"/>
      <c r="G818" s="30"/>
      <c r="H818" s="159"/>
      <c r="L818" s="21">
        <v>1</v>
      </c>
    </row>
    <row r="819" spans="2:12" ht="18">
      <c r="B819" s="30"/>
      <c r="C819" s="30"/>
      <c r="D819" s="30"/>
      <c r="E819" s="30"/>
      <c r="F819" s="30"/>
      <c r="G819" s="30"/>
      <c r="H819" s="159"/>
      <c r="L819" s="21">
        <v>1</v>
      </c>
    </row>
    <row r="820" spans="2:12" ht="18">
      <c r="B820" s="30"/>
      <c r="C820" s="30"/>
      <c r="D820" s="30"/>
      <c r="E820" s="30"/>
      <c r="F820" s="30"/>
      <c r="G820" s="30"/>
      <c r="H820" s="159"/>
      <c r="L820" s="21">
        <v>1</v>
      </c>
    </row>
    <row r="821" spans="2:12" ht="18">
      <c r="B821" s="30"/>
      <c r="C821" s="30"/>
      <c r="D821" s="30"/>
      <c r="E821" s="30"/>
      <c r="F821" s="30"/>
      <c r="G821" s="30"/>
      <c r="H821" s="159"/>
      <c r="L821" s="21">
        <v>1</v>
      </c>
    </row>
    <row r="822" spans="2:12" ht="18">
      <c r="B822" s="30"/>
      <c r="C822" s="30"/>
      <c r="D822" s="30"/>
      <c r="E822" s="30"/>
      <c r="F822" s="30"/>
      <c r="G822" s="30"/>
      <c r="H822" s="159"/>
      <c r="L822" s="21">
        <v>1</v>
      </c>
    </row>
    <row r="823" spans="2:12" ht="18">
      <c r="B823" s="30"/>
      <c r="C823" s="30"/>
      <c r="D823" s="30"/>
      <c r="E823" s="30"/>
      <c r="F823" s="30"/>
      <c r="G823" s="30"/>
      <c r="H823" s="159"/>
      <c r="L823" s="21">
        <v>1</v>
      </c>
    </row>
    <row r="824" spans="2:12" ht="18">
      <c r="B824" s="30"/>
      <c r="C824" s="30"/>
      <c r="D824" s="30"/>
      <c r="E824" s="30"/>
      <c r="F824" s="30"/>
      <c r="G824" s="30"/>
      <c r="H824" s="159"/>
      <c r="L824" s="21">
        <v>1</v>
      </c>
    </row>
    <row r="825" spans="2:12" ht="18">
      <c r="B825" s="30"/>
      <c r="C825" s="30"/>
      <c r="D825" s="30"/>
      <c r="E825" s="30"/>
      <c r="F825" s="30"/>
      <c r="G825" s="30"/>
      <c r="H825" s="159"/>
      <c r="L825" s="21">
        <v>1</v>
      </c>
    </row>
    <row r="826" spans="2:12" ht="18">
      <c r="B826" s="30"/>
      <c r="C826" s="30"/>
      <c r="D826" s="30"/>
      <c r="E826" s="30"/>
      <c r="F826" s="30"/>
      <c r="G826" s="30"/>
      <c r="H826" s="159"/>
      <c r="L826" s="21">
        <v>1</v>
      </c>
    </row>
    <row r="827" spans="2:12" ht="18">
      <c r="B827" s="30"/>
      <c r="C827" s="30"/>
      <c r="D827" s="30"/>
      <c r="E827" s="30"/>
      <c r="F827" s="30"/>
      <c r="G827" s="30"/>
      <c r="H827" s="159"/>
      <c r="L827" s="21">
        <v>1</v>
      </c>
    </row>
    <row r="828" spans="2:12" ht="18">
      <c r="B828" s="30"/>
      <c r="C828" s="30"/>
      <c r="D828" s="30"/>
      <c r="E828" s="30"/>
      <c r="F828" s="30"/>
      <c r="G828" s="30"/>
      <c r="H828" s="159"/>
      <c r="L828" s="21">
        <v>1</v>
      </c>
    </row>
    <row r="829" spans="2:12" ht="18">
      <c r="B829" s="30"/>
      <c r="C829" s="30"/>
      <c r="D829" s="30"/>
      <c r="E829" s="30"/>
      <c r="F829" s="30"/>
      <c r="G829" s="30"/>
      <c r="H829" s="159"/>
      <c r="L829" s="21">
        <v>1</v>
      </c>
    </row>
    <row r="830" spans="2:12" ht="18">
      <c r="B830" s="30"/>
      <c r="C830" s="30"/>
      <c r="D830" s="30"/>
      <c r="E830" s="30"/>
      <c r="F830" s="30"/>
      <c r="G830" s="30"/>
      <c r="H830" s="159"/>
      <c r="L830" s="21">
        <v>1</v>
      </c>
    </row>
    <row r="831" spans="2:12" ht="18">
      <c r="B831" s="30"/>
      <c r="C831" s="30"/>
      <c r="D831" s="30"/>
      <c r="E831" s="30"/>
      <c r="F831" s="30"/>
      <c r="G831" s="30"/>
      <c r="H831" s="159"/>
      <c r="L831" s="21">
        <v>1</v>
      </c>
    </row>
    <row r="832" spans="2:12" ht="18">
      <c r="B832" s="30"/>
      <c r="C832" s="30"/>
      <c r="D832" s="30"/>
      <c r="E832" s="30"/>
      <c r="F832" s="30"/>
      <c r="G832" s="30"/>
      <c r="H832" s="159"/>
      <c r="L832" s="21">
        <v>1</v>
      </c>
    </row>
    <row r="833" spans="2:12" ht="18">
      <c r="B833" s="30"/>
      <c r="C833" s="30"/>
      <c r="D833" s="30"/>
      <c r="E833" s="30"/>
      <c r="F833" s="30"/>
      <c r="G833" s="30"/>
      <c r="H833" s="159"/>
      <c r="L833" s="21">
        <v>1</v>
      </c>
    </row>
    <row r="834" spans="2:12" ht="18">
      <c r="B834" s="30"/>
      <c r="C834" s="30"/>
      <c r="D834" s="30"/>
      <c r="E834" s="30"/>
      <c r="F834" s="30"/>
      <c r="G834" s="30"/>
      <c r="H834" s="159"/>
      <c r="L834" s="21">
        <v>1</v>
      </c>
    </row>
    <row r="835" spans="2:12" ht="18">
      <c r="B835" s="30"/>
      <c r="C835" s="30"/>
      <c r="D835" s="30"/>
      <c r="E835" s="30"/>
      <c r="F835" s="30"/>
      <c r="G835" s="30"/>
      <c r="H835" s="159"/>
      <c r="L835" s="21">
        <v>1</v>
      </c>
    </row>
    <row r="836" spans="2:12" ht="18">
      <c r="B836" s="30"/>
      <c r="C836" s="30"/>
      <c r="D836" s="30"/>
      <c r="E836" s="30"/>
      <c r="F836" s="30"/>
      <c r="G836" s="30"/>
      <c r="H836" s="159"/>
      <c r="L836" s="21">
        <v>1</v>
      </c>
    </row>
    <row r="837" spans="2:12" ht="18">
      <c r="B837" s="30"/>
      <c r="C837" s="30"/>
      <c r="D837" s="30"/>
      <c r="E837" s="30"/>
      <c r="F837" s="30"/>
      <c r="G837" s="30"/>
      <c r="H837" s="159"/>
      <c r="L837" s="21">
        <v>1</v>
      </c>
    </row>
    <row r="838" spans="2:12" ht="18">
      <c r="B838" s="30"/>
      <c r="C838" s="30"/>
      <c r="D838" s="30"/>
      <c r="E838" s="30"/>
      <c r="F838" s="30"/>
      <c r="G838" s="30"/>
      <c r="H838" s="159"/>
      <c r="L838" s="21">
        <v>1</v>
      </c>
    </row>
    <row r="839" spans="2:12" ht="18">
      <c r="B839" s="30"/>
      <c r="C839" s="30"/>
      <c r="D839" s="30"/>
      <c r="E839" s="30"/>
      <c r="F839" s="30"/>
      <c r="G839" s="30"/>
      <c r="H839" s="159"/>
      <c r="L839" s="21">
        <v>1</v>
      </c>
    </row>
    <row r="840" spans="2:12" ht="18">
      <c r="B840" s="30"/>
      <c r="C840" s="30"/>
      <c r="D840" s="30"/>
      <c r="E840" s="30"/>
      <c r="F840" s="30"/>
      <c r="G840" s="30"/>
      <c r="H840" s="159"/>
      <c r="L840" s="21">
        <v>1</v>
      </c>
    </row>
    <row r="841" spans="2:12" ht="18">
      <c r="B841" s="30"/>
      <c r="C841" s="30"/>
      <c r="D841" s="30"/>
      <c r="E841" s="30"/>
      <c r="F841" s="30"/>
      <c r="G841" s="30"/>
      <c r="H841" s="159"/>
      <c r="L841" s="21">
        <v>1</v>
      </c>
    </row>
    <row r="842" spans="2:12" ht="18">
      <c r="B842" s="30"/>
      <c r="C842" s="30"/>
      <c r="D842" s="30"/>
      <c r="E842" s="30"/>
      <c r="F842" s="30"/>
      <c r="G842" s="30"/>
      <c r="H842" s="159"/>
      <c r="L842" s="21">
        <v>1</v>
      </c>
    </row>
    <row r="843" spans="2:12" ht="18">
      <c r="B843" s="30"/>
      <c r="C843" s="30"/>
      <c r="D843" s="30"/>
      <c r="E843" s="30"/>
      <c r="F843" s="30"/>
      <c r="G843" s="30"/>
      <c r="H843" s="159"/>
      <c r="L843" s="21">
        <v>1</v>
      </c>
    </row>
    <row r="844" spans="2:12" ht="18">
      <c r="B844" s="30"/>
      <c r="C844" s="30"/>
      <c r="D844" s="30"/>
      <c r="E844" s="30"/>
      <c r="F844" s="30"/>
      <c r="G844" s="30"/>
      <c r="H844" s="159"/>
      <c r="L844" s="21">
        <v>1</v>
      </c>
    </row>
    <row r="845" spans="2:12" ht="18">
      <c r="B845" s="30"/>
      <c r="C845" s="30"/>
      <c r="D845" s="30"/>
      <c r="E845" s="30"/>
      <c r="F845" s="30"/>
      <c r="G845" s="30"/>
      <c r="H845" s="159"/>
      <c r="L845" s="21">
        <v>1</v>
      </c>
    </row>
    <row r="846" spans="2:12" ht="18">
      <c r="B846" s="30"/>
      <c r="C846" s="30"/>
      <c r="D846" s="30"/>
      <c r="E846" s="30"/>
      <c r="F846" s="30"/>
      <c r="G846" s="30"/>
      <c r="H846" s="159"/>
      <c r="L846" s="21">
        <v>1</v>
      </c>
    </row>
    <row r="847" spans="2:12" ht="18">
      <c r="B847" s="30"/>
      <c r="C847" s="30"/>
      <c r="D847" s="30"/>
      <c r="E847" s="30"/>
      <c r="F847" s="30"/>
      <c r="G847" s="30"/>
      <c r="H847" s="159"/>
      <c r="L847" s="21">
        <v>1</v>
      </c>
    </row>
    <row r="848" spans="2:12" ht="18">
      <c r="B848" s="30"/>
      <c r="C848" s="30"/>
      <c r="D848" s="30"/>
      <c r="E848" s="30"/>
      <c r="F848" s="30"/>
      <c r="G848" s="30"/>
      <c r="H848" s="159"/>
      <c r="L848" s="21">
        <v>1</v>
      </c>
    </row>
    <row r="849" spans="2:12" ht="27.75" thickBot="1">
      <c r="B849" s="19" t="s">
        <v>3</v>
      </c>
      <c r="C849" s="19" t="s">
        <v>3</v>
      </c>
      <c r="D849" s="19" t="s">
        <v>3</v>
      </c>
      <c r="E849" s="20" t="s">
        <v>3</v>
      </c>
      <c r="F849" s="20" t="s">
        <v>3</v>
      </c>
      <c r="G849" s="20" t="s">
        <v>3</v>
      </c>
      <c r="H849" s="160"/>
      <c r="L849" s="74" t="s">
        <v>3</v>
      </c>
    </row>
    <row r="850" spans="2:12" ht="13.5" thickTop="1"/>
  </sheetData>
  <sheetProtection sheet="1" objects="1" scenarios="1" selectLockedCells="1"/>
  <customSheetViews>
    <customSheetView guid="{E103CAA9-E8FB-4228-A076-3C3E3EEEC109}" showGridLines="0" showRowCol="0">
      <pane ySplit="7" topLeftCell="A12" activePane="bottomLeft" state="frozen"/>
      <selection pane="bottomLeft" activeCell="I3" sqref="I3"/>
      <pageMargins left="0.7" right="0.7" top="0.75" bottom="0.75" header="0.3" footer="0.3"/>
      <pageSetup paperSize="9" orientation="portrait" r:id="rId1"/>
    </customSheetView>
    <customSheetView guid="{37EA6283-F051-4D0B-81C6-34EEB84CCDF0}" showGridLines="0" showRowCol="0">
      <pane ySplit="8" topLeftCell="A9" activePane="bottomLeft" state="frozen"/>
      <selection pane="bottomLeft" activeCell="I3" sqref="I3"/>
      <pageMargins left="0.7" right="0.7" top="0.75" bottom="0.75" header="0.3" footer="0.3"/>
      <pageSetup paperSize="9" orientation="portrait" r:id="rId2"/>
    </customSheetView>
    <customSheetView guid="{A6A06E36-D96E-4193-B19F-8D7934C6230C}" showGridLines="0" showRowCol="0">
      <pane ySplit="8" topLeftCell="A12" activePane="bottomLeft" state="frozen"/>
      <selection pane="bottomLeft" activeCell="I3" sqref="I3"/>
      <pageMargins left="0.7" right="0.7" top="0.75" bottom="0.75" header="0.3" footer="0.3"/>
      <pageSetup paperSize="9" orientation="portrait" r:id="rId3"/>
    </customSheetView>
  </customSheetViews>
  <mergeCells count="4">
    <mergeCell ref="R8:T8"/>
    <mergeCell ref="U8:W8"/>
    <mergeCell ref="M9:N9"/>
    <mergeCell ref="O8:Q8"/>
  </mergeCells>
  <dataValidations count="4">
    <dataValidation type="list" allowBlank="1" showDropDown="1" showInputMessage="1" showErrorMessage="1" sqref="C9:C848">
      <formula1>$N$32:$N$73</formula1>
    </dataValidation>
    <dataValidation type="list" allowBlank="1" showDropDown="1" showInputMessage="1" showErrorMessage="1" sqref="B9:B848">
      <formula1>$C$6</formula1>
    </dataValidation>
    <dataValidation allowBlank="1" showInputMessage="1" showErrorMessage="1" errorTitle="Dato no valido" error="El valor esta fuera de rango [0,30] o No es un numero" sqref="E9:H848"/>
    <dataValidation type="list" allowBlank="1" showDropDown="1" showInputMessage="1" showErrorMessage="1" sqref="D9:D848">
      <formula1>$N$10:$N$29</formula1>
    </dataValidation>
  </dataValidations>
  <hyperlinks>
    <hyperlink ref="I2" location="PPrincipal!A1" display="* Pagina Principal"/>
    <hyperlink ref="I3" location="Falcón!A1" display="Falcón"/>
    <hyperlink ref="I4" location="Portuguesa!A1" display="Portuguesa"/>
    <hyperlink ref="I5" location="Yaracuy!A1" display="Yaracuy"/>
  </hyperlinks>
  <pageMargins left="0.7" right="0.7" top="0.75" bottom="0.75" header="0.3" footer="0.3"/>
  <pageSetup paperSize="9" orientation="portrait" r:id="rId4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4"/>
  <sheetViews>
    <sheetView showGridLines="0" showRowColHeaders="0" workbookViewId="0">
      <selection activeCell="J3" sqref="J3"/>
    </sheetView>
  </sheetViews>
  <sheetFormatPr baseColWidth="10" defaultColWidth="15.7109375" defaultRowHeight="22.5" customHeight="1"/>
  <cols>
    <col min="1" max="16384" width="15.7109375" style="53"/>
  </cols>
  <sheetData>
    <row r="1" spans="1:11" ht="15" customHeight="1">
      <c r="J1" s="87"/>
      <c r="K1" s="104"/>
    </row>
    <row r="2" spans="1:11" ht="15" customHeight="1">
      <c r="J2" s="80" t="s">
        <v>8</v>
      </c>
      <c r="K2" s="104"/>
    </row>
    <row r="3" spans="1:11" ht="15" customHeight="1">
      <c r="J3" s="80" t="s">
        <v>31</v>
      </c>
      <c r="K3" s="104"/>
    </row>
    <row r="4" spans="1:11" ht="15" customHeight="1">
      <c r="J4" s="80" t="s">
        <v>78</v>
      </c>
      <c r="K4" s="104"/>
    </row>
    <row r="5" spans="1:11" ht="15" customHeight="1">
      <c r="G5" s="56"/>
      <c r="J5" s="80" t="s">
        <v>79</v>
      </c>
      <c r="K5" s="104"/>
    </row>
    <row r="6" spans="1:11" ht="15" customHeight="1">
      <c r="A6" s="168" t="s">
        <v>35</v>
      </c>
      <c r="B6" s="168"/>
      <c r="C6" s="168"/>
      <c r="D6" s="168"/>
      <c r="E6" s="168"/>
      <c r="F6" s="168"/>
    </row>
    <row r="25" spans="2:7" ht="22.5" customHeight="1">
      <c r="B25" s="168"/>
      <c r="C25" s="168"/>
      <c r="D25" s="168"/>
      <c r="E25" s="168"/>
      <c r="F25" s="168"/>
      <c r="G25" s="168"/>
    </row>
    <row r="44" spans="7:7" ht="22.5" customHeight="1">
      <c r="G44" s="56"/>
    </row>
  </sheetData>
  <customSheetViews>
    <customSheetView guid="{E103CAA9-E8FB-4228-A076-3C3E3EEEC109}" showGridLines="0" showRowCol="0">
      <selection activeCell="J3" sqref="J3"/>
      <pageMargins left="0.7" right="0.7" top="0.75" bottom="0.75" header="0.3" footer="0.3"/>
      <pageSetup paperSize="9" orientation="portrait" r:id="rId1"/>
    </customSheetView>
    <customSheetView guid="{37EA6283-F051-4D0B-81C6-34EEB84CCDF0}" showGridLines="0" showRowCol="0">
      <selection activeCell="J3" sqref="J3"/>
      <pageMargins left="0.7" right="0.7" top="0.75" bottom="0.75" header="0.3" footer="0.3"/>
      <pageSetup paperSize="9" orientation="portrait" r:id="rId2"/>
    </customSheetView>
    <customSheetView guid="{A6A06E36-D96E-4193-B19F-8D7934C6230C}" showGridLines="0" showRowCol="0">
      <selection activeCell="J3" sqref="J3"/>
      <pageMargins left="0.7" right="0.7" top="0.75" bottom="0.75" header="0.3" footer="0.3"/>
      <pageSetup paperSize="9" orientation="portrait" r:id="rId3"/>
    </customSheetView>
  </customSheetViews>
  <mergeCells count="2">
    <mergeCell ref="B25:G25"/>
    <mergeCell ref="A6:F6"/>
  </mergeCells>
  <hyperlinks>
    <hyperlink ref="J2" location="PPrincipal!A1" display="* Pagina Principal"/>
    <hyperlink ref="J3" location="GFalcón!A1" display="Falcón"/>
    <hyperlink ref="J4" location="GPortuguesa!A1" display="Portuguesa"/>
    <hyperlink ref="J5" location="GYaracuy!A1" display="Yaracuy"/>
  </hyperlinks>
  <pageMargins left="0.7" right="0.7" top="0.75" bottom="0.75" header="0.3" footer="0.3"/>
  <pageSetup paperSize="9" orientation="portrait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57"/>
  <sheetViews>
    <sheetView showGridLines="0" showRowColHeaders="0" workbookViewId="0">
      <selection activeCell="Y5" sqref="Y5"/>
    </sheetView>
  </sheetViews>
  <sheetFormatPr baseColWidth="10" defaultRowHeight="15" customHeight="1"/>
  <cols>
    <col min="1" max="1" width="0.85546875" style="67" customWidth="1"/>
    <col min="2" max="2" width="7.140625" style="67" customWidth="1"/>
    <col min="3" max="13" width="5.5703125" style="67" customWidth="1"/>
    <col min="14" max="14" width="5.5703125" style="68" customWidth="1"/>
    <col min="15" max="22" width="5.5703125" style="67" customWidth="1"/>
    <col min="23" max="23" width="0.7109375" style="67" customWidth="1"/>
    <col min="24" max="24" width="16.85546875" style="67" customWidth="1"/>
    <col min="25" max="25" width="13.7109375" style="67" customWidth="1"/>
    <col min="26" max="26" width="13.5703125" style="67" customWidth="1"/>
    <col min="27" max="27" width="12.5703125" style="67" customWidth="1"/>
    <col min="28" max="42" width="5" style="67" customWidth="1"/>
    <col min="43" max="43" width="3.140625" style="67" customWidth="1"/>
    <col min="44" max="46" width="11.28515625" style="67" customWidth="1"/>
    <col min="47" max="16384" width="11.42578125" style="67"/>
  </cols>
  <sheetData>
    <row r="1" spans="1:34" ht="31.5" customHeight="1">
      <c r="B1" s="169" t="s">
        <v>36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</row>
    <row r="2" spans="1:34" ht="15" customHeight="1">
      <c r="C2" s="85"/>
      <c r="Y2" s="80" t="s">
        <v>8</v>
      </c>
      <c r="Z2" s="85"/>
      <c r="AA2" s="88"/>
    </row>
    <row r="3" spans="1:34" ht="15" customHeight="1">
      <c r="C3" s="85"/>
      <c r="Y3" s="80" t="s">
        <v>31</v>
      </c>
      <c r="AA3" s="88"/>
    </row>
    <row r="4" spans="1:34" ht="15" customHeight="1">
      <c r="C4" s="85"/>
      <c r="Y4" s="80" t="s">
        <v>78</v>
      </c>
      <c r="Z4" s="85"/>
      <c r="AA4" s="88"/>
    </row>
    <row r="5" spans="1:34" ht="15" customHeight="1">
      <c r="C5" s="85"/>
      <c r="Y5" s="80" t="s">
        <v>79</v>
      </c>
      <c r="Z5" s="85"/>
      <c r="AA5" s="88"/>
    </row>
    <row r="6" spans="1:34" s="1" customFormat="1" ht="15" customHeight="1" thickBot="1">
      <c r="A6" s="57"/>
      <c r="B6" s="64"/>
      <c r="C6" s="64"/>
      <c r="D6" s="64"/>
      <c r="E6" s="64"/>
      <c r="F6" s="64"/>
      <c r="G6" s="64"/>
      <c r="H6" s="64"/>
      <c r="I6" s="64"/>
      <c r="J6" s="64"/>
      <c r="K6" s="64"/>
      <c r="L6" s="67"/>
      <c r="M6" s="67"/>
      <c r="N6" s="68"/>
      <c r="O6" s="67"/>
      <c r="P6" s="67"/>
      <c r="Q6" s="67"/>
      <c r="R6" s="67"/>
      <c r="S6" s="67"/>
      <c r="T6" s="67"/>
      <c r="U6" s="67"/>
      <c r="V6" s="67"/>
      <c r="W6" s="67"/>
      <c r="X6" s="67"/>
      <c r="Z6" s="67"/>
      <c r="AA6" s="67"/>
      <c r="AB6" s="67"/>
      <c r="AC6" s="67"/>
    </row>
    <row r="7" spans="1:34" s="65" customFormat="1" ht="15" customHeight="1" thickBot="1">
      <c r="A7" s="58"/>
      <c r="B7" s="89" t="s">
        <v>0</v>
      </c>
      <c r="C7" s="81">
        <v>0.3125</v>
      </c>
      <c r="D7" s="82">
        <v>0.33333333333333298</v>
      </c>
      <c r="E7" s="82">
        <v>0.35416666666666702</v>
      </c>
      <c r="F7" s="82">
        <v>0.375</v>
      </c>
      <c r="G7" s="82">
        <v>0.39583333333333298</v>
      </c>
      <c r="H7" s="82">
        <v>0.41666666666666702</v>
      </c>
      <c r="I7" s="82">
        <v>0.4375</v>
      </c>
      <c r="J7" s="82">
        <v>0.45833333333333298</v>
      </c>
      <c r="K7" s="82">
        <v>0.47916666666666702</v>
      </c>
      <c r="L7" s="82">
        <v>0.5</v>
      </c>
      <c r="M7" s="82">
        <v>0.52083333333333304</v>
      </c>
      <c r="N7" s="82">
        <v>4.1666666666666664E-2</v>
      </c>
      <c r="O7" s="82">
        <v>6.25E-2</v>
      </c>
      <c r="P7" s="82">
        <v>8.3333333333333329E-2</v>
      </c>
      <c r="Q7" s="82">
        <v>0.104166666666667</v>
      </c>
      <c r="R7" s="82">
        <v>0.125</v>
      </c>
      <c r="S7" s="82">
        <v>0.14583333333333301</v>
      </c>
      <c r="T7" s="82">
        <v>0.16666666666666599</v>
      </c>
      <c r="U7" s="82">
        <v>0.187499999999999</v>
      </c>
      <c r="V7" s="83">
        <v>0.20833333333333201</v>
      </c>
      <c r="W7" s="67"/>
      <c r="X7" s="170" t="s">
        <v>7</v>
      </c>
      <c r="Y7" s="170" t="s">
        <v>49</v>
      </c>
      <c r="Z7" s="170" t="s">
        <v>50</v>
      </c>
      <c r="AA7" s="172" t="s">
        <v>4</v>
      </c>
    </row>
    <row r="8" spans="1:34" ht="15" customHeight="1" thickBot="1">
      <c r="B8" s="89" t="s">
        <v>2</v>
      </c>
      <c r="C8" s="140">
        <v>1</v>
      </c>
      <c r="D8" s="141">
        <v>2</v>
      </c>
      <c r="E8" s="141">
        <v>3</v>
      </c>
      <c r="F8" s="141">
        <v>4</v>
      </c>
      <c r="G8" s="141">
        <v>5</v>
      </c>
      <c r="H8" s="141">
        <v>6</v>
      </c>
      <c r="I8" s="141">
        <v>7</v>
      </c>
      <c r="J8" s="141">
        <v>8</v>
      </c>
      <c r="K8" s="141">
        <v>9</v>
      </c>
      <c r="L8" s="141">
        <v>10</v>
      </c>
      <c r="M8" s="141">
        <v>11</v>
      </c>
      <c r="N8" s="141">
        <v>12</v>
      </c>
      <c r="O8" s="141">
        <v>13</v>
      </c>
      <c r="P8" s="141">
        <v>14</v>
      </c>
      <c r="Q8" s="141">
        <v>15</v>
      </c>
      <c r="R8" s="141">
        <v>16</v>
      </c>
      <c r="S8" s="141">
        <v>17</v>
      </c>
      <c r="T8" s="141">
        <v>18</v>
      </c>
      <c r="U8" s="141">
        <v>19</v>
      </c>
      <c r="V8" s="142">
        <v>20</v>
      </c>
      <c r="X8" s="171"/>
      <c r="Y8" s="171"/>
      <c r="Z8" s="171"/>
      <c r="AA8" s="173"/>
      <c r="AC8" s="68"/>
      <c r="AD8" s="68"/>
      <c r="AE8" s="68"/>
      <c r="AF8" s="68"/>
      <c r="AG8" s="68"/>
      <c r="AH8" s="68"/>
    </row>
    <row r="9" spans="1:34" ht="15" customHeight="1">
      <c r="A9" s="139"/>
      <c r="B9" s="143">
        <v>23</v>
      </c>
      <c r="C9" s="144">
        <f t="shared" ref="C9:L18" si="0">SUMIFS(SumaLA,CentroLA,$B9,TurnoLA,C$8)</f>
        <v>1</v>
      </c>
      <c r="D9" s="144">
        <f t="shared" si="0"/>
        <v>1</v>
      </c>
      <c r="E9" s="144">
        <f t="shared" si="0"/>
        <v>1</v>
      </c>
      <c r="F9" s="144">
        <f t="shared" si="0"/>
        <v>1</v>
      </c>
      <c r="G9" s="144">
        <f t="shared" si="0"/>
        <v>1</v>
      </c>
      <c r="H9" s="144">
        <f t="shared" si="0"/>
        <v>1</v>
      </c>
      <c r="I9" s="144">
        <f t="shared" si="0"/>
        <v>1</v>
      </c>
      <c r="J9" s="144">
        <f t="shared" si="0"/>
        <v>1</v>
      </c>
      <c r="K9" s="144">
        <f t="shared" si="0"/>
        <v>1</v>
      </c>
      <c r="L9" s="144">
        <f t="shared" si="0"/>
        <v>1</v>
      </c>
      <c r="M9" s="144">
        <f t="shared" ref="M9:V18" si="1">SUMIFS(SumaLA,CentroLA,$B9,TurnoLA,M$8)</f>
        <v>1</v>
      </c>
      <c r="N9" s="144">
        <f t="shared" si="1"/>
        <v>1</v>
      </c>
      <c r="O9" s="144">
        <f t="shared" si="1"/>
        <v>1</v>
      </c>
      <c r="P9" s="144">
        <f t="shared" si="1"/>
        <v>1</v>
      </c>
      <c r="Q9" s="144">
        <f t="shared" si="1"/>
        <v>0</v>
      </c>
      <c r="R9" s="144">
        <f t="shared" si="1"/>
        <v>0</v>
      </c>
      <c r="S9" s="144">
        <f t="shared" si="1"/>
        <v>0</v>
      </c>
      <c r="T9" s="144">
        <f t="shared" si="1"/>
        <v>0</v>
      </c>
      <c r="U9" s="144">
        <f t="shared" si="1"/>
        <v>0</v>
      </c>
      <c r="V9" s="145">
        <f t="shared" si="1"/>
        <v>0</v>
      </c>
      <c r="X9" s="109" t="s">
        <v>52</v>
      </c>
      <c r="Y9" s="113">
        <f t="shared" ref="Y9:Y50" si="2">SUMIF(CentroLA,$B9,Henri_Falcon)</f>
        <v>309</v>
      </c>
      <c r="Z9" s="113">
        <f t="shared" ref="Z9:Z50" si="3">SUMIF(CentroLA,$B9,Pedro_Pablo_Alcantara)</f>
        <v>78</v>
      </c>
      <c r="AA9" s="132">
        <f t="shared" ref="AA9:AA50" si="4">SUMIF(CentroLA,$B9,OtroLA)</f>
        <v>78</v>
      </c>
    </row>
    <row r="10" spans="1:34" ht="15" customHeight="1">
      <c r="A10" s="139"/>
      <c r="B10" s="146">
        <v>24</v>
      </c>
      <c r="C10" s="71">
        <f t="shared" si="0"/>
        <v>1</v>
      </c>
      <c r="D10" s="71">
        <f t="shared" si="0"/>
        <v>1</v>
      </c>
      <c r="E10" s="71">
        <f t="shared" si="0"/>
        <v>1</v>
      </c>
      <c r="F10" s="71">
        <f t="shared" si="0"/>
        <v>1</v>
      </c>
      <c r="G10" s="71">
        <f t="shared" si="0"/>
        <v>1</v>
      </c>
      <c r="H10" s="71">
        <f t="shared" si="0"/>
        <v>1</v>
      </c>
      <c r="I10" s="71">
        <f t="shared" si="0"/>
        <v>1</v>
      </c>
      <c r="J10" s="71">
        <f t="shared" si="0"/>
        <v>1</v>
      </c>
      <c r="K10" s="71">
        <f t="shared" si="0"/>
        <v>1</v>
      </c>
      <c r="L10" s="71">
        <f t="shared" si="0"/>
        <v>1</v>
      </c>
      <c r="M10" s="71">
        <f t="shared" si="1"/>
        <v>1</v>
      </c>
      <c r="N10" s="71">
        <f t="shared" si="1"/>
        <v>1</v>
      </c>
      <c r="O10" s="71">
        <f t="shared" si="1"/>
        <v>1</v>
      </c>
      <c r="P10" s="71">
        <f t="shared" si="1"/>
        <v>1</v>
      </c>
      <c r="Q10" s="71">
        <f t="shared" si="1"/>
        <v>1</v>
      </c>
      <c r="R10" s="71">
        <f t="shared" si="1"/>
        <v>0</v>
      </c>
      <c r="S10" s="71">
        <f t="shared" si="1"/>
        <v>0</v>
      </c>
      <c r="T10" s="71">
        <f t="shared" si="1"/>
        <v>0</v>
      </c>
      <c r="U10" s="71">
        <f t="shared" si="1"/>
        <v>0</v>
      </c>
      <c r="V10" s="136">
        <f t="shared" si="1"/>
        <v>0</v>
      </c>
      <c r="X10" s="109" t="s">
        <v>53</v>
      </c>
      <c r="Y10" s="113">
        <f t="shared" si="2"/>
        <v>224</v>
      </c>
      <c r="Z10" s="113">
        <f t="shared" si="3"/>
        <v>30</v>
      </c>
      <c r="AA10" s="132">
        <f t="shared" si="4"/>
        <v>16</v>
      </c>
    </row>
    <row r="11" spans="1:34" ht="15" customHeight="1">
      <c r="A11" s="139"/>
      <c r="B11" s="146">
        <v>25</v>
      </c>
      <c r="C11" s="71">
        <f t="shared" si="0"/>
        <v>1</v>
      </c>
      <c r="D11" s="71">
        <f t="shared" si="0"/>
        <v>1</v>
      </c>
      <c r="E11" s="71">
        <f t="shared" si="0"/>
        <v>1</v>
      </c>
      <c r="F11" s="71">
        <f t="shared" si="0"/>
        <v>1</v>
      </c>
      <c r="G11" s="71">
        <f t="shared" si="0"/>
        <v>1</v>
      </c>
      <c r="H11" s="71">
        <f t="shared" si="0"/>
        <v>2</v>
      </c>
      <c r="I11" s="71">
        <f t="shared" si="0"/>
        <v>1</v>
      </c>
      <c r="J11" s="71">
        <f t="shared" si="0"/>
        <v>1</v>
      </c>
      <c r="K11" s="71">
        <f t="shared" si="0"/>
        <v>1</v>
      </c>
      <c r="L11" s="71">
        <f t="shared" si="0"/>
        <v>1</v>
      </c>
      <c r="M11" s="71">
        <f t="shared" si="1"/>
        <v>1</v>
      </c>
      <c r="N11" s="71">
        <f t="shared" si="1"/>
        <v>1</v>
      </c>
      <c r="O11" s="71">
        <f t="shared" si="1"/>
        <v>1</v>
      </c>
      <c r="P11" s="71">
        <f t="shared" si="1"/>
        <v>1</v>
      </c>
      <c r="Q11" s="71">
        <f t="shared" si="1"/>
        <v>0</v>
      </c>
      <c r="R11" s="71">
        <f t="shared" si="1"/>
        <v>0</v>
      </c>
      <c r="S11" s="71">
        <f t="shared" si="1"/>
        <v>0</v>
      </c>
      <c r="T11" s="71">
        <f t="shared" si="1"/>
        <v>0</v>
      </c>
      <c r="U11" s="71">
        <f t="shared" si="1"/>
        <v>0</v>
      </c>
      <c r="V11" s="136">
        <f t="shared" si="1"/>
        <v>0</v>
      </c>
      <c r="X11" s="109" t="s">
        <v>53</v>
      </c>
      <c r="Y11" s="113">
        <f t="shared" si="2"/>
        <v>101</v>
      </c>
      <c r="Z11" s="113">
        <f t="shared" si="3"/>
        <v>121</v>
      </c>
      <c r="AA11" s="132">
        <f t="shared" si="4"/>
        <v>55</v>
      </c>
    </row>
    <row r="12" spans="1:34" ht="15" customHeight="1">
      <c r="A12" s="139"/>
      <c r="B12" s="146">
        <v>26</v>
      </c>
      <c r="C12" s="71">
        <f t="shared" si="0"/>
        <v>1</v>
      </c>
      <c r="D12" s="71">
        <f t="shared" si="0"/>
        <v>1</v>
      </c>
      <c r="E12" s="71">
        <f t="shared" si="0"/>
        <v>1</v>
      </c>
      <c r="F12" s="71">
        <f t="shared" si="0"/>
        <v>1</v>
      </c>
      <c r="G12" s="71">
        <f t="shared" si="0"/>
        <v>1</v>
      </c>
      <c r="H12" s="71">
        <f t="shared" si="0"/>
        <v>1</v>
      </c>
      <c r="I12" s="71">
        <f t="shared" si="0"/>
        <v>1</v>
      </c>
      <c r="J12" s="71">
        <f t="shared" si="0"/>
        <v>1</v>
      </c>
      <c r="K12" s="71">
        <f t="shared" si="0"/>
        <v>1</v>
      </c>
      <c r="L12" s="71">
        <f t="shared" si="0"/>
        <v>1</v>
      </c>
      <c r="M12" s="71">
        <f t="shared" si="1"/>
        <v>1</v>
      </c>
      <c r="N12" s="71">
        <f t="shared" si="1"/>
        <v>1</v>
      </c>
      <c r="O12" s="71">
        <f t="shared" si="1"/>
        <v>1</v>
      </c>
      <c r="P12" s="71">
        <f t="shared" si="1"/>
        <v>1</v>
      </c>
      <c r="Q12" s="71">
        <f t="shared" si="1"/>
        <v>1</v>
      </c>
      <c r="R12" s="71">
        <f t="shared" si="1"/>
        <v>0</v>
      </c>
      <c r="S12" s="71">
        <f t="shared" si="1"/>
        <v>0</v>
      </c>
      <c r="T12" s="71">
        <f t="shared" si="1"/>
        <v>0</v>
      </c>
      <c r="U12" s="71">
        <f t="shared" si="1"/>
        <v>0</v>
      </c>
      <c r="V12" s="136">
        <f t="shared" si="1"/>
        <v>0</v>
      </c>
      <c r="X12" s="109" t="s">
        <v>53</v>
      </c>
      <c r="Y12" s="113">
        <f t="shared" si="2"/>
        <v>227</v>
      </c>
      <c r="Z12" s="113">
        <f t="shared" si="3"/>
        <v>161</v>
      </c>
      <c r="AA12" s="132">
        <f t="shared" si="4"/>
        <v>50</v>
      </c>
    </row>
    <row r="13" spans="1:34" ht="15" customHeight="1">
      <c r="A13" s="139"/>
      <c r="B13" s="146">
        <v>27</v>
      </c>
      <c r="C13" s="71">
        <f t="shared" si="0"/>
        <v>1</v>
      </c>
      <c r="D13" s="71">
        <f t="shared" si="0"/>
        <v>1</v>
      </c>
      <c r="E13" s="71">
        <f t="shared" si="0"/>
        <v>1</v>
      </c>
      <c r="F13" s="71">
        <f t="shared" si="0"/>
        <v>1</v>
      </c>
      <c r="G13" s="71">
        <f t="shared" si="0"/>
        <v>1</v>
      </c>
      <c r="H13" s="71">
        <f t="shared" si="0"/>
        <v>1</v>
      </c>
      <c r="I13" s="71">
        <f t="shared" si="0"/>
        <v>1</v>
      </c>
      <c r="J13" s="71">
        <f t="shared" si="0"/>
        <v>1</v>
      </c>
      <c r="K13" s="71">
        <f t="shared" si="0"/>
        <v>1</v>
      </c>
      <c r="L13" s="71">
        <f t="shared" si="0"/>
        <v>1</v>
      </c>
      <c r="M13" s="71">
        <f t="shared" si="1"/>
        <v>1</v>
      </c>
      <c r="N13" s="71">
        <f t="shared" si="1"/>
        <v>1</v>
      </c>
      <c r="O13" s="71">
        <f t="shared" si="1"/>
        <v>1</v>
      </c>
      <c r="P13" s="71">
        <f t="shared" si="1"/>
        <v>1</v>
      </c>
      <c r="Q13" s="71">
        <f t="shared" si="1"/>
        <v>0</v>
      </c>
      <c r="R13" s="71">
        <f t="shared" si="1"/>
        <v>0</v>
      </c>
      <c r="S13" s="71">
        <f t="shared" si="1"/>
        <v>0</v>
      </c>
      <c r="T13" s="71">
        <f t="shared" si="1"/>
        <v>0</v>
      </c>
      <c r="U13" s="71">
        <f t="shared" si="1"/>
        <v>0</v>
      </c>
      <c r="V13" s="136">
        <f t="shared" si="1"/>
        <v>0</v>
      </c>
      <c r="X13" s="109" t="s">
        <v>53</v>
      </c>
      <c r="Y13" s="113">
        <f t="shared" si="2"/>
        <v>130</v>
      </c>
      <c r="Z13" s="113">
        <f t="shared" si="3"/>
        <v>12</v>
      </c>
      <c r="AA13" s="132">
        <f t="shared" si="4"/>
        <v>10</v>
      </c>
    </row>
    <row r="14" spans="1:34" ht="15" customHeight="1">
      <c r="A14" s="139"/>
      <c r="B14" s="146">
        <v>28</v>
      </c>
      <c r="C14" s="71">
        <f t="shared" si="0"/>
        <v>1</v>
      </c>
      <c r="D14" s="71">
        <f t="shared" si="0"/>
        <v>1</v>
      </c>
      <c r="E14" s="71">
        <f t="shared" si="0"/>
        <v>1</v>
      </c>
      <c r="F14" s="71">
        <f t="shared" si="0"/>
        <v>1</v>
      </c>
      <c r="G14" s="71">
        <f t="shared" si="0"/>
        <v>1</v>
      </c>
      <c r="H14" s="71">
        <f t="shared" si="0"/>
        <v>1</v>
      </c>
      <c r="I14" s="71">
        <f t="shared" si="0"/>
        <v>1</v>
      </c>
      <c r="J14" s="71">
        <f t="shared" si="0"/>
        <v>1</v>
      </c>
      <c r="K14" s="71">
        <f t="shared" si="0"/>
        <v>1</v>
      </c>
      <c r="L14" s="71">
        <f t="shared" si="0"/>
        <v>1</v>
      </c>
      <c r="M14" s="71">
        <f t="shared" si="1"/>
        <v>1</v>
      </c>
      <c r="N14" s="71">
        <f t="shared" si="1"/>
        <v>1</v>
      </c>
      <c r="O14" s="71">
        <f t="shared" si="1"/>
        <v>1</v>
      </c>
      <c r="P14" s="71">
        <f t="shared" si="1"/>
        <v>1</v>
      </c>
      <c r="Q14" s="71">
        <f t="shared" si="1"/>
        <v>1</v>
      </c>
      <c r="R14" s="71">
        <f t="shared" si="1"/>
        <v>1</v>
      </c>
      <c r="S14" s="71">
        <f t="shared" si="1"/>
        <v>0</v>
      </c>
      <c r="T14" s="71">
        <f t="shared" si="1"/>
        <v>0</v>
      </c>
      <c r="U14" s="71">
        <f t="shared" si="1"/>
        <v>0</v>
      </c>
      <c r="V14" s="136">
        <f t="shared" si="1"/>
        <v>0</v>
      </c>
      <c r="X14" s="109" t="s">
        <v>53</v>
      </c>
      <c r="Y14" s="113">
        <f t="shared" si="2"/>
        <v>142</v>
      </c>
      <c r="Z14" s="113">
        <f t="shared" si="3"/>
        <v>87</v>
      </c>
      <c r="AA14" s="132">
        <f t="shared" si="4"/>
        <v>41</v>
      </c>
    </row>
    <row r="15" spans="1:34" ht="15" customHeight="1">
      <c r="A15" s="139"/>
      <c r="B15" s="146">
        <v>29</v>
      </c>
      <c r="C15" s="71">
        <f t="shared" si="0"/>
        <v>2</v>
      </c>
      <c r="D15" s="71">
        <f t="shared" si="0"/>
        <v>1</v>
      </c>
      <c r="E15" s="71">
        <f t="shared" si="0"/>
        <v>0</v>
      </c>
      <c r="F15" s="71">
        <f t="shared" si="0"/>
        <v>1</v>
      </c>
      <c r="G15" s="71">
        <f t="shared" si="0"/>
        <v>1</v>
      </c>
      <c r="H15" s="71">
        <f t="shared" si="0"/>
        <v>1</v>
      </c>
      <c r="I15" s="71">
        <f t="shared" si="0"/>
        <v>1</v>
      </c>
      <c r="J15" s="71">
        <f t="shared" si="0"/>
        <v>1</v>
      </c>
      <c r="K15" s="71">
        <f t="shared" si="0"/>
        <v>1</v>
      </c>
      <c r="L15" s="71">
        <f t="shared" si="0"/>
        <v>1</v>
      </c>
      <c r="M15" s="71">
        <f t="shared" si="1"/>
        <v>1</v>
      </c>
      <c r="N15" s="71">
        <f t="shared" si="1"/>
        <v>1</v>
      </c>
      <c r="O15" s="71">
        <f t="shared" si="1"/>
        <v>1</v>
      </c>
      <c r="P15" s="71">
        <f t="shared" si="1"/>
        <v>1</v>
      </c>
      <c r="Q15" s="71">
        <f t="shared" si="1"/>
        <v>1</v>
      </c>
      <c r="R15" s="71">
        <f t="shared" si="1"/>
        <v>0</v>
      </c>
      <c r="S15" s="71">
        <f t="shared" si="1"/>
        <v>0</v>
      </c>
      <c r="T15" s="71">
        <f t="shared" si="1"/>
        <v>0</v>
      </c>
      <c r="U15" s="71">
        <f t="shared" si="1"/>
        <v>0</v>
      </c>
      <c r="V15" s="136">
        <f t="shared" si="1"/>
        <v>0</v>
      </c>
      <c r="X15" s="109" t="s">
        <v>53</v>
      </c>
      <c r="Y15" s="113">
        <f t="shared" si="2"/>
        <v>341</v>
      </c>
      <c r="Z15" s="113">
        <f t="shared" si="3"/>
        <v>44</v>
      </c>
      <c r="AA15" s="132">
        <f t="shared" si="4"/>
        <v>20</v>
      </c>
    </row>
    <row r="16" spans="1:34" ht="15" customHeight="1">
      <c r="A16" s="139"/>
      <c r="B16" s="146">
        <v>30</v>
      </c>
      <c r="C16" s="71">
        <f t="shared" si="0"/>
        <v>2</v>
      </c>
      <c r="D16" s="71">
        <f t="shared" si="0"/>
        <v>1</v>
      </c>
      <c r="E16" s="71">
        <f t="shared" si="0"/>
        <v>1</v>
      </c>
      <c r="F16" s="71">
        <f t="shared" si="0"/>
        <v>1</v>
      </c>
      <c r="G16" s="71">
        <f t="shared" si="0"/>
        <v>1</v>
      </c>
      <c r="H16" s="71">
        <f t="shared" si="0"/>
        <v>1</v>
      </c>
      <c r="I16" s="71">
        <f t="shared" si="0"/>
        <v>1</v>
      </c>
      <c r="J16" s="71">
        <f t="shared" si="0"/>
        <v>1</v>
      </c>
      <c r="K16" s="71">
        <f t="shared" si="0"/>
        <v>1</v>
      </c>
      <c r="L16" s="71">
        <f t="shared" si="0"/>
        <v>2</v>
      </c>
      <c r="M16" s="71">
        <f t="shared" si="1"/>
        <v>1</v>
      </c>
      <c r="N16" s="71">
        <f t="shared" si="1"/>
        <v>1</v>
      </c>
      <c r="O16" s="71">
        <f t="shared" si="1"/>
        <v>1</v>
      </c>
      <c r="P16" s="71">
        <f t="shared" si="1"/>
        <v>1</v>
      </c>
      <c r="Q16" s="71">
        <f t="shared" si="1"/>
        <v>1</v>
      </c>
      <c r="R16" s="71">
        <f t="shared" si="1"/>
        <v>0</v>
      </c>
      <c r="S16" s="71">
        <f t="shared" si="1"/>
        <v>0</v>
      </c>
      <c r="T16" s="71">
        <f t="shared" si="1"/>
        <v>0</v>
      </c>
      <c r="U16" s="71">
        <f t="shared" si="1"/>
        <v>0</v>
      </c>
      <c r="V16" s="136">
        <f t="shared" si="1"/>
        <v>0</v>
      </c>
      <c r="X16" s="109" t="s">
        <v>53</v>
      </c>
      <c r="Y16" s="113">
        <f t="shared" si="2"/>
        <v>161</v>
      </c>
      <c r="Z16" s="113">
        <f t="shared" si="3"/>
        <v>80</v>
      </c>
      <c r="AA16" s="132">
        <f t="shared" si="4"/>
        <v>28</v>
      </c>
    </row>
    <row r="17" spans="1:27" ht="15" customHeight="1">
      <c r="A17" s="139"/>
      <c r="B17" s="146">
        <v>31</v>
      </c>
      <c r="C17" s="71">
        <f t="shared" si="0"/>
        <v>1</v>
      </c>
      <c r="D17" s="71">
        <f t="shared" si="0"/>
        <v>1</v>
      </c>
      <c r="E17" s="71">
        <f t="shared" si="0"/>
        <v>1</v>
      </c>
      <c r="F17" s="71">
        <f t="shared" si="0"/>
        <v>1</v>
      </c>
      <c r="G17" s="71">
        <f t="shared" si="0"/>
        <v>1</v>
      </c>
      <c r="H17" s="71">
        <f t="shared" si="0"/>
        <v>1</v>
      </c>
      <c r="I17" s="71">
        <f t="shared" si="0"/>
        <v>1</v>
      </c>
      <c r="J17" s="71">
        <f t="shared" si="0"/>
        <v>1</v>
      </c>
      <c r="K17" s="71">
        <f t="shared" si="0"/>
        <v>1</v>
      </c>
      <c r="L17" s="71">
        <f t="shared" si="0"/>
        <v>1</v>
      </c>
      <c r="M17" s="71">
        <f t="shared" si="1"/>
        <v>1</v>
      </c>
      <c r="N17" s="71">
        <f t="shared" si="1"/>
        <v>1</v>
      </c>
      <c r="O17" s="71">
        <f t="shared" si="1"/>
        <v>1</v>
      </c>
      <c r="P17" s="71">
        <f t="shared" si="1"/>
        <v>1</v>
      </c>
      <c r="Q17" s="71">
        <f t="shared" si="1"/>
        <v>1</v>
      </c>
      <c r="R17" s="71">
        <f t="shared" si="1"/>
        <v>1</v>
      </c>
      <c r="S17" s="71">
        <f t="shared" si="1"/>
        <v>1</v>
      </c>
      <c r="T17" s="71">
        <f t="shared" si="1"/>
        <v>0</v>
      </c>
      <c r="U17" s="71">
        <f t="shared" si="1"/>
        <v>0</v>
      </c>
      <c r="V17" s="136">
        <f t="shared" si="1"/>
        <v>0</v>
      </c>
      <c r="X17" s="109" t="s">
        <v>53</v>
      </c>
      <c r="Y17" s="113">
        <f t="shared" si="2"/>
        <v>345</v>
      </c>
      <c r="Z17" s="113">
        <f t="shared" si="3"/>
        <v>12</v>
      </c>
      <c r="AA17" s="132">
        <f t="shared" si="4"/>
        <v>30</v>
      </c>
    </row>
    <row r="18" spans="1:27" ht="15" customHeight="1">
      <c r="A18" s="139"/>
      <c r="B18" s="146">
        <v>32</v>
      </c>
      <c r="C18" s="71">
        <f t="shared" si="0"/>
        <v>1</v>
      </c>
      <c r="D18" s="71">
        <f t="shared" si="0"/>
        <v>1</v>
      </c>
      <c r="E18" s="71">
        <f t="shared" si="0"/>
        <v>1</v>
      </c>
      <c r="F18" s="71">
        <f t="shared" si="0"/>
        <v>1</v>
      </c>
      <c r="G18" s="71">
        <f t="shared" si="0"/>
        <v>1</v>
      </c>
      <c r="H18" s="71">
        <f t="shared" si="0"/>
        <v>1</v>
      </c>
      <c r="I18" s="71">
        <f t="shared" si="0"/>
        <v>1</v>
      </c>
      <c r="J18" s="71">
        <f t="shared" si="0"/>
        <v>1</v>
      </c>
      <c r="K18" s="71">
        <f t="shared" si="0"/>
        <v>1</v>
      </c>
      <c r="L18" s="71">
        <f t="shared" si="0"/>
        <v>1</v>
      </c>
      <c r="M18" s="71">
        <f t="shared" si="1"/>
        <v>1</v>
      </c>
      <c r="N18" s="71">
        <f t="shared" si="1"/>
        <v>0</v>
      </c>
      <c r="O18" s="71">
        <f t="shared" si="1"/>
        <v>0</v>
      </c>
      <c r="P18" s="71">
        <f t="shared" si="1"/>
        <v>0</v>
      </c>
      <c r="Q18" s="71">
        <f t="shared" si="1"/>
        <v>0</v>
      </c>
      <c r="R18" s="71">
        <f t="shared" si="1"/>
        <v>0</v>
      </c>
      <c r="S18" s="71">
        <f t="shared" si="1"/>
        <v>0</v>
      </c>
      <c r="T18" s="71">
        <f t="shared" si="1"/>
        <v>0</v>
      </c>
      <c r="U18" s="71">
        <f t="shared" si="1"/>
        <v>0</v>
      </c>
      <c r="V18" s="136">
        <f t="shared" si="1"/>
        <v>0</v>
      </c>
      <c r="X18" s="109" t="s">
        <v>53</v>
      </c>
      <c r="Y18" s="113">
        <f t="shared" si="2"/>
        <v>154</v>
      </c>
      <c r="Z18" s="113">
        <f t="shared" si="3"/>
        <v>8</v>
      </c>
      <c r="AA18" s="132">
        <f t="shared" si="4"/>
        <v>5</v>
      </c>
    </row>
    <row r="19" spans="1:27" ht="15" customHeight="1">
      <c r="A19" s="139"/>
      <c r="B19" s="146">
        <v>33</v>
      </c>
      <c r="C19" s="71">
        <f t="shared" ref="C19:L28" si="5">SUMIFS(SumaLA,CentroLA,$B19,TurnoLA,C$8)</f>
        <v>2</v>
      </c>
      <c r="D19" s="71">
        <f t="shared" si="5"/>
        <v>1</v>
      </c>
      <c r="E19" s="71">
        <f t="shared" si="5"/>
        <v>1</v>
      </c>
      <c r="F19" s="71">
        <f t="shared" si="5"/>
        <v>1</v>
      </c>
      <c r="G19" s="71">
        <f t="shared" si="5"/>
        <v>1</v>
      </c>
      <c r="H19" s="71">
        <f t="shared" si="5"/>
        <v>1</v>
      </c>
      <c r="I19" s="71">
        <f t="shared" si="5"/>
        <v>1</v>
      </c>
      <c r="J19" s="71">
        <f t="shared" si="5"/>
        <v>1</v>
      </c>
      <c r="K19" s="71">
        <f t="shared" si="5"/>
        <v>0</v>
      </c>
      <c r="L19" s="71">
        <f t="shared" si="5"/>
        <v>0</v>
      </c>
      <c r="M19" s="71">
        <f t="shared" ref="M19:V28" si="6">SUMIFS(SumaLA,CentroLA,$B19,TurnoLA,M$8)</f>
        <v>0</v>
      </c>
      <c r="N19" s="71">
        <f t="shared" si="6"/>
        <v>0</v>
      </c>
      <c r="O19" s="71">
        <f t="shared" si="6"/>
        <v>0</v>
      </c>
      <c r="P19" s="71">
        <f t="shared" si="6"/>
        <v>0</v>
      </c>
      <c r="Q19" s="71">
        <f t="shared" si="6"/>
        <v>0</v>
      </c>
      <c r="R19" s="71">
        <f t="shared" si="6"/>
        <v>0</v>
      </c>
      <c r="S19" s="71">
        <f t="shared" si="6"/>
        <v>0</v>
      </c>
      <c r="T19" s="71">
        <f t="shared" si="6"/>
        <v>0</v>
      </c>
      <c r="U19" s="71">
        <f t="shared" si="6"/>
        <v>0</v>
      </c>
      <c r="V19" s="136">
        <f t="shared" si="6"/>
        <v>0</v>
      </c>
      <c r="X19" s="109" t="s">
        <v>53</v>
      </c>
      <c r="Y19" s="113">
        <f t="shared" si="2"/>
        <v>163</v>
      </c>
      <c r="Z19" s="113">
        <f t="shared" si="3"/>
        <v>14</v>
      </c>
      <c r="AA19" s="132">
        <f t="shared" si="4"/>
        <v>44</v>
      </c>
    </row>
    <row r="20" spans="1:27" ht="15" customHeight="1">
      <c r="A20" s="139"/>
      <c r="B20" s="146">
        <v>34</v>
      </c>
      <c r="C20" s="71">
        <f t="shared" si="5"/>
        <v>1</v>
      </c>
      <c r="D20" s="71">
        <f t="shared" si="5"/>
        <v>1</v>
      </c>
      <c r="E20" s="71">
        <f t="shared" si="5"/>
        <v>1</v>
      </c>
      <c r="F20" s="71">
        <f t="shared" si="5"/>
        <v>1</v>
      </c>
      <c r="G20" s="71">
        <f t="shared" si="5"/>
        <v>1</v>
      </c>
      <c r="H20" s="71">
        <f t="shared" si="5"/>
        <v>1</v>
      </c>
      <c r="I20" s="71">
        <f t="shared" si="5"/>
        <v>1</v>
      </c>
      <c r="J20" s="71">
        <f t="shared" si="5"/>
        <v>1</v>
      </c>
      <c r="K20" s="71">
        <f t="shared" si="5"/>
        <v>1</v>
      </c>
      <c r="L20" s="71">
        <f t="shared" si="5"/>
        <v>1</v>
      </c>
      <c r="M20" s="71">
        <f t="shared" si="6"/>
        <v>1</v>
      </c>
      <c r="N20" s="71">
        <f t="shared" si="6"/>
        <v>1</v>
      </c>
      <c r="O20" s="71">
        <f t="shared" si="6"/>
        <v>1</v>
      </c>
      <c r="P20" s="71">
        <f t="shared" si="6"/>
        <v>0</v>
      </c>
      <c r="Q20" s="71">
        <f t="shared" si="6"/>
        <v>0</v>
      </c>
      <c r="R20" s="71">
        <f t="shared" si="6"/>
        <v>0</v>
      </c>
      <c r="S20" s="71">
        <f t="shared" si="6"/>
        <v>0</v>
      </c>
      <c r="T20" s="71">
        <f t="shared" si="6"/>
        <v>0</v>
      </c>
      <c r="U20" s="71">
        <f t="shared" si="6"/>
        <v>0</v>
      </c>
      <c r="V20" s="136">
        <f t="shared" si="6"/>
        <v>0</v>
      </c>
      <c r="X20" s="109" t="s">
        <v>53</v>
      </c>
      <c r="Y20" s="113">
        <f t="shared" si="2"/>
        <v>233</v>
      </c>
      <c r="Z20" s="113">
        <f t="shared" si="3"/>
        <v>22</v>
      </c>
      <c r="AA20" s="132">
        <f t="shared" si="4"/>
        <v>60</v>
      </c>
    </row>
    <row r="21" spans="1:27" ht="15" customHeight="1">
      <c r="A21" s="139"/>
      <c r="B21" s="146">
        <v>35</v>
      </c>
      <c r="C21" s="71">
        <f t="shared" si="5"/>
        <v>1</v>
      </c>
      <c r="D21" s="71">
        <f t="shared" si="5"/>
        <v>1</v>
      </c>
      <c r="E21" s="71">
        <f t="shared" si="5"/>
        <v>1</v>
      </c>
      <c r="F21" s="71">
        <f t="shared" si="5"/>
        <v>1</v>
      </c>
      <c r="G21" s="71">
        <f t="shared" si="5"/>
        <v>1</v>
      </c>
      <c r="H21" s="71">
        <f t="shared" si="5"/>
        <v>1</v>
      </c>
      <c r="I21" s="71">
        <f t="shared" si="5"/>
        <v>1</v>
      </c>
      <c r="J21" s="71">
        <f t="shared" si="5"/>
        <v>1</v>
      </c>
      <c r="K21" s="71">
        <f t="shared" si="5"/>
        <v>1</v>
      </c>
      <c r="L21" s="71">
        <f t="shared" si="5"/>
        <v>1</v>
      </c>
      <c r="M21" s="71">
        <f t="shared" si="6"/>
        <v>1</v>
      </c>
      <c r="N21" s="71">
        <f t="shared" si="6"/>
        <v>1</v>
      </c>
      <c r="O21" s="71">
        <f t="shared" si="6"/>
        <v>1</v>
      </c>
      <c r="P21" s="71">
        <f t="shared" si="6"/>
        <v>1</v>
      </c>
      <c r="Q21" s="71">
        <f t="shared" si="6"/>
        <v>1</v>
      </c>
      <c r="R21" s="71">
        <f t="shared" si="6"/>
        <v>0</v>
      </c>
      <c r="S21" s="71">
        <f t="shared" si="6"/>
        <v>0</v>
      </c>
      <c r="T21" s="71">
        <f t="shared" si="6"/>
        <v>0</v>
      </c>
      <c r="U21" s="71">
        <f t="shared" si="6"/>
        <v>0</v>
      </c>
      <c r="V21" s="136">
        <f t="shared" si="6"/>
        <v>0</v>
      </c>
      <c r="X21" s="109" t="s">
        <v>53</v>
      </c>
      <c r="Y21" s="113">
        <f t="shared" si="2"/>
        <v>316</v>
      </c>
      <c r="Z21" s="113">
        <f t="shared" si="3"/>
        <v>8</v>
      </c>
      <c r="AA21" s="132">
        <f t="shared" si="4"/>
        <v>8</v>
      </c>
    </row>
    <row r="22" spans="1:27" ht="15" customHeight="1">
      <c r="A22" s="139"/>
      <c r="B22" s="146">
        <v>36</v>
      </c>
      <c r="C22" s="71">
        <f t="shared" si="5"/>
        <v>1</v>
      </c>
      <c r="D22" s="71">
        <f t="shared" si="5"/>
        <v>0</v>
      </c>
      <c r="E22" s="71">
        <f t="shared" si="5"/>
        <v>1</v>
      </c>
      <c r="F22" s="71">
        <f t="shared" si="5"/>
        <v>1</v>
      </c>
      <c r="G22" s="71">
        <f t="shared" si="5"/>
        <v>1</v>
      </c>
      <c r="H22" s="71">
        <f t="shared" si="5"/>
        <v>1</v>
      </c>
      <c r="I22" s="71">
        <f t="shared" si="5"/>
        <v>1</v>
      </c>
      <c r="J22" s="71">
        <f t="shared" si="5"/>
        <v>1</v>
      </c>
      <c r="K22" s="71">
        <f t="shared" si="5"/>
        <v>1</v>
      </c>
      <c r="L22" s="71">
        <f t="shared" si="5"/>
        <v>1</v>
      </c>
      <c r="M22" s="71">
        <f t="shared" si="6"/>
        <v>1</v>
      </c>
      <c r="N22" s="71">
        <f t="shared" si="6"/>
        <v>1</v>
      </c>
      <c r="O22" s="71">
        <f t="shared" si="6"/>
        <v>1</v>
      </c>
      <c r="P22" s="71">
        <f t="shared" si="6"/>
        <v>1</v>
      </c>
      <c r="Q22" s="71">
        <f t="shared" si="6"/>
        <v>1</v>
      </c>
      <c r="R22" s="71">
        <f t="shared" si="6"/>
        <v>0</v>
      </c>
      <c r="S22" s="71">
        <f t="shared" si="6"/>
        <v>0</v>
      </c>
      <c r="T22" s="71">
        <f t="shared" si="6"/>
        <v>0</v>
      </c>
      <c r="U22" s="71">
        <f t="shared" si="6"/>
        <v>0</v>
      </c>
      <c r="V22" s="136">
        <f t="shared" si="6"/>
        <v>0</v>
      </c>
      <c r="X22" s="109" t="s">
        <v>53</v>
      </c>
      <c r="Y22" s="113">
        <f t="shared" si="2"/>
        <v>268</v>
      </c>
      <c r="Z22" s="113">
        <f t="shared" si="3"/>
        <v>31</v>
      </c>
      <c r="AA22" s="132">
        <f t="shared" si="4"/>
        <v>11</v>
      </c>
    </row>
    <row r="23" spans="1:27" ht="15" customHeight="1">
      <c r="A23" s="139"/>
      <c r="B23" s="146">
        <v>37</v>
      </c>
      <c r="C23" s="71">
        <f t="shared" si="5"/>
        <v>1</v>
      </c>
      <c r="D23" s="71">
        <f t="shared" si="5"/>
        <v>1</v>
      </c>
      <c r="E23" s="71">
        <f t="shared" si="5"/>
        <v>1</v>
      </c>
      <c r="F23" s="71">
        <f t="shared" si="5"/>
        <v>1</v>
      </c>
      <c r="G23" s="71">
        <f t="shared" si="5"/>
        <v>1</v>
      </c>
      <c r="H23" s="71">
        <f t="shared" si="5"/>
        <v>1</v>
      </c>
      <c r="I23" s="71">
        <f t="shared" si="5"/>
        <v>1</v>
      </c>
      <c r="J23" s="71">
        <f t="shared" si="5"/>
        <v>1</v>
      </c>
      <c r="K23" s="71">
        <f t="shared" si="5"/>
        <v>1</v>
      </c>
      <c r="L23" s="71">
        <f t="shared" si="5"/>
        <v>1</v>
      </c>
      <c r="M23" s="71">
        <f t="shared" si="6"/>
        <v>1</v>
      </c>
      <c r="N23" s="71">
        <f t="shared" si="6"/>
        <v>1</v>
      </c>
      <c r="O23" s="71">
        <f t="shared" si="6"/>
        <v>1</v>
      </c>
      <c r="P23" s="71">
        <f t="shared" si="6"/>
        <v>1</v>
      </c>
      <c r="Q23" s="71">
        <f t="shared" si="6"/>
        <v>0</v>
      </c>
      <c r="R23" s="71">
        <f t="shared" si="6"/>
        <v>0</v>
      </c>
      <c r="S23" s="71">
        <f t="shared" si="6"/>
        <v>0</v>
      </c>
      <c r="T23" s="71">
        <f t="shared" si="6"/>
        <v>0</v>
      </c>
      <c r="U23" s="71">
        <f t="shared" si="6"/>
        <v>0</v>
      </c>
      <c r="V23" s="136">
        <f t="shared" si="6"/>
        <v>0</v>
      </c>
      <c r="X23" s="109" t="s">
        <v>53</v>
      </c>
      <c r="Y23" s="113">
        <f t="shared" si="2"/>
        <v>204</v>
      </c>
      <c r="Z23" s="113">
        <f t="shared" si="3"/>
        <v>75</v>
      </c>
      <c r="AA23" s="132">
        <f t="shared" si="4"/>
        <v>56</v>
      </c>
    </row>
    <row r="24" spans="1:27" ht="15" customHeight="1">
      <c r="A24" s="139"/>
      <c r="B24" s="146">
        <v>38</v>
      </c>
      <c r="C24" s="71">
        <f t="shared" si="5"/>
        <v>1</v>
      </c>
      <c r="D24" s="71">
        <f t="shared" si="5"/>
        <v>1</v>
      </c>
      <c r="E24" s="71">
        <f t="shared" si="5"/>
        <v>1</v>
      </c>
      <c r="F24" s="71">
        <f t="shared" si="5"/>
        <v>1</v>
      </c>
      <c r="G24" s="71">
        <f t="shared" si="5"/>
        <v>1</v>
      </c>
      <c r="H24" s="71">
        <f t="shared" si="5"/>
        <v>1</v>
      </c>
      <c r="I24" s="71">
        <f t="shared" si="5"/>
        <v>1</v>
      </c>
      <c r="J24" s="71">
        <f t="shared" si="5"/>
        <v>1</v>
      </c>
      <c r="K24" s="71">
        <f t="shared" si="5"/>
        <v>1</v>
      </c>
      <c r="L24" s="71">
        <f t="shared" si="5"/>
        <v>1</v>
      </c>
      <c r="M24" s="71">
        <f t="shared" si="6"/>
        <v>1</v>
      </c>
      <c r="N24" s="71">
        <f t="shared" si="6"/>
        <v>1</v>
      </c>
      <c r="O24" s="71">
        <f t="shared" si="6"/>
        <v>1</v>
      </c>
      <c r="P24" s="71">
        <f t="shared" si="6"/>
        <v>1</v>
      </c>
      <c r="Q24" s="71">
        <f t="shared" si="6"/>
        <v>0</v>
      </c>
      <c r="R24" s="71">
        <f t="shared" si="6"/>
        <v>0</v>
      </c>
      <c r="S24" s="71">
        <f t="shared" si="6"/>
        <v>0</v>
      </c>
      <c r="T24" s="71">
        <f t="shared" si="6"/>
        <v>0</v>
      </c>
      <c r="U24" s="71">
        <f t="shared" si="6"/>
        <v>0</v>
      </c>
      <c r="V24" s="136">
        <f t="shared" si="6"/>
        <v>0</v>
      </c>
      <c r="X24" s="109" t="s">
        <v>53</v>
      </c>
      <c r="Y24" s="113">
        <f t="shared" si="2"/>
        <v>81</v>
      </c>
      <c r="Z24" s="113">
        <f t="shared" si="3"/>
        <v>29</v>
      </c>
      <c r="AA24" s="132">
        <f t="shared" si="4"/>
        <v>14</v>
      </c>
    </row>
    <row r="25" spans="1:27" ht="15" customHeight="1">
      <c r="A25" s="139"/>
      <c r="B25" s="146">
        <v>39</v>
      </c>
      <c r="C25" s="71">
        <f t="shared" si="5"/>
        <v>1</v>
      </c>
      <c r="D25" s="71">
        <f t="shared" si="5"/>
        <v>1</v>
      </c>
      <c r="E25" s="71">
        <f t="shared" si="5"/>
        <v>1</v>
      </c>
      <c r="F25" s="71">
        <f t="shared" si="5"/>
        <v>1</v>
      </c>
      <c r="G25" s="71">
        <f t="shared" si="5"/>
        <v>1</v>
      </c>
      <c r="H25" s="71">
        <f t="shared" si="5"/>
        <v>1</v>
      </c>
      <c r="I25" s="71">
        <f t="shared" si="5"/>
        <v>1</v>
      </c>
      <c r="J25" s="71">
        <f t="shared" si="5"/>
        <v>1</v>
      </c>
      <c r="K25" s="71">
        <f t="shared" si="5"/>
        <v>1</v>
      </c>
      <c r="L25" s="71">
        <f t="shared" si="5"/>
        <v>1</v>
      </c>
      <c r="M25" s="71">
        <f t="shared" si="6"/>
        <v>1</v>
      </c>
      <c r="N25" s="71">
        <f t="shared" si="6"/>
        <v>1</v>
      </c>
      <c r="O25" s="71">
        <f t="shared" si="6"/>
        <v>1</v>
      </c>
      <c r="P25" s="71">
        <f t="shared" si="6"/>
        <v>1</v>
      </c>
      <c r="Q25" s="71">
        <f t="shared" si="6"/>
        <v>0</v>
      </c>
      <c r="R25" s="71">
        <f t="shared" si="6"/>
        <v>0</v>
      </c>
      <c r="S25" s="71">
        <f t="shared" si="6"/>
        <v>0</v>
      </c>
      <c r="T25" s="71">
        <f t="shared" si="6"/>
        <v>0</v>
      </c>
      <c r="U25" s="71">
        <f t="shared" si="6"/>
        <v>0</v>
      </c>
      <c r="V25" s="136">
        <f t="shared" si="6"/>
        <v>0</v>
      </c>
      <c r="X25" s="109" t="s">
        <v>53</v>
      </c>
      <c r="Y25" s="113">
        <f t="shared" si="2"/>
        <v>140</v>
      </c>
      <c r="Z25" s="113">
        <f t="shared" si="3"/>
        <v>92</v>
      </c>
      <c r="AA25" s="132">
        <f t="shared" si="4"/>
        <v>104</v>
      </c>
    </row>
    <row r="26" spans="1:27" ht="15" customHeight="1">
      <c r="A26" s="139"/>
      <c r="B26" s="146">
        <v>40</v>
      </c>
      <c r="C26" s="71">
        <f t="shared" si="5"/>
        <v>1</v>
      </c>
      <c r="D26" s="71">
        <f t="shared" si="5"/>
        <v>1</v>
      </c>
      <c r="E26" s="71">
        <f t="shared" si="5"/>
        <v>1</v>
      </c>
      <c r="F26" s="71">
        <f t="shared" si="5"/>
        <v>2</v>
      </c>
      <c r="G26" s="71">
        <f t="shared" si="5"/>
        <v>2</v>
      </c>
      <c r="H26" s="71">
        <f t="shared" si="5"/>
        <v>2</v>
      </c>
      <c r="I26" s="71">
        <f t="shared" si="5"/>
        <v>1</v>
      </c>
      <c r="J26" s="71">
        <f t="shared" si="5"/>
        <v>1</v>
      </c>
      <c r="K26" s="71">
        <f t="shared" si="5"/>
        <v>1</v>
      </c>
      <c r="L26" s="71">
        <f t="shared" si="5"/>
        <v>1</v>
      </c>
      <c r="M26" s="71">
        <f t="shared" si="6"/>
        <v>1</v>
      </c>
      <c r="N26" s="71">
        <f t="shared" si="6"/>
        <v>1</v>
      </c>
      <c r="O26" s="71">
        <f t="shared" si="6"/>
        <v>1</v>
      </c>
      <c r="P26" s="71">
        <f t="shared" si="6"/>
        <v>1</v>
      </c>
      <c r="Q26" s="71">
        <f t="shared" si="6"/>
        <v>0</v>
      </c>
      <c r="R26" s="71">
        <f t="shared" si="6"/>
        <v>0</v>
      </c>
      <c r="S26" s="71">
        <f t="shared" si="6"/>
        <v>0</v>
      </c>
      <c r="T26" s="71">
        <f t="shared" si="6"/>
        <v>0</v>
      </c>
      <c r="U26" s="71">
        <f t="shared" si="6"/>
        <v>0</v>
      </c>
      <c r="V26" s="136">
        <f t="shared" si="6"/>
        <v>0</v>
      </c>
      <c r="X26" s="109" t="s">
        <v>53</v>
      </c>
      <c r="Y26" s="113">
        <f t="shared" si="2"/>
        <v>117</v>
      </c>
      <c r="Z26" s="113">
        <f t="shared" si="3"/>
        <v>73</v>
      </c>
      <c r="AA26" s="132">
        <f t="shared" si="4"/>
        <v>59</v>
      </c>
    </row>
    <row r="27" spans="1:27" ht="15" customHeight="1">
      <c r="A27" s="139"/>
      <c r="B27" s="146">
        <v>41</v>
      </c>
      <c r="C27" s="71">
        <f t="shared" si="5"/>
        <v>1</v>
      </c>
      <c r="D27" s="71">
        <f t="shared" si="5"/>
        <v>1</v>
      </c>
      <c r="E27" s="71">
        <f t="shared" si="5"/>
        <v>1</v>
      </c>
      <c r="F27" s="71">
        <f t="shared" si="5"/>
        <v>1</v>
      </c>
      <c r="G27" s="71">
        <f t="shared" si="5"/>
        <v>1</v>
      </c>
      <c r="H27" s="71">
        <f t="shared" si="5"/>
        <v>1</v>
      </c>
      <c r="I27" s="71">
        <f t="shared" si="5"/>
        <v>1</v>
      </c>
      <c r="J27" s="71">
        <f t="shared" si="5"/>
        <v>1</v>
      </c>
      <c r="K27" s="71">
        <f t="shared" si="5"/>
        <v>1</v>
      </c>
      <c r="L27" s="71">
        <f t="shared" si="5"/>
        <v>1</v>
      </c>
      <c r="M27" s="71">
        <f t="shared" si="6"/>
        <v>1</v>
      </c>
      <c r="N27" s="71">
        <f t="shared" si="6"/>
        <v>1</v>
      </c>
      <c r="O27" s="71">
        <f t="shared" si="6"/>
        <v>1</v>
      </c>
      <c r="P27" s="71">
        <f t="shared" si="6"/>
        <v>1</v>
      </c>
      <c r="Q27" s="71">
        <f t="shared" si="6"/>
        <v>1</v>
      </c>
      <c r="R27" s="71">
        <f t="shared" si="6"/>
        <v>0</v>
      </c>
      <c r="S27" s="71">
        <f t="shared" si="6"/>
        <v>0</v>
      </c>
      <c r="T27" s="71">
        <f t="shared" si="6"/>
        <v>0</v>
      </c>
      <c r="U27" s="71">
        <f t="shared" si="6"/>
        <v>0</v>
      </c>
      <c r="V27" s="136">
        <f t="shared" si="6"/>
        <v>0</v>
      </c>
      <c r="X27" s="109" t="s">
        <v>53</v>
      </c>
      <c r="Y27" s="113">
        <f t="shared" si="2"/>
        <v>288</v>
      </c>
      <c r="Z27" s="113">
        <f t="shared" si="3"/>
        <v>145</v>
      </c>
      <c r="AA27" s="132">
        <f t="shared" si="4"/>
        <v>89</v>
      </c>
    </row>
    <row r="28" spans="1:27" ht="15" customHeight="1">
      <c r="A28" s="139"/>
      <c r="B28" s="146">
        <v>42</v>
      </c>
      <c r="C28" s="71">
        <f t="shared" si="5"/>
        <v>1</v>
      </c>
      <c r="D28" s="71">
        <f t="shared" si="5"/>
        <v>1</v>
      </c>
      <c r="E28" s="71">
        <f t="shared" si="5"/>
        <v>1</v>
      </c>
      <c r="F28" s="71">
        <f t="shared" si="5"/>
        <v>1</v>
      </c>
      <c r="G28" s="71">
        <f t="shared" si="5"/>
        <v>1</v>
      </c>
      <c r="H28" s="71">
        <f t="shared" si="5"/>
        <v>1</v>
      </c>
      <c r="I28" s="71">
        <f t="shared" si="5"/>
        <v>1</v>
      </c>
      <c r="J28" s="71">
        <f t="shared" si="5"/>
        <v>1</v>
      </c>
      <c r="K28" s="71">
        <f t="shared" si="5"/>
        <v>1</v>
      </c>
      <c r="L28" s="71">
        <f t="shared" si="5"/>
        <v>1</v>
      </c>
      <c r="M28" s="71">
        <f t="shared" si="6"/>
        <v>1</v>
      </c>
      <c r="N28" s="71">
        <f t="shared" si="6"/>
        <v>0</v>
      </c>
      <c r="O28" s="71">
        <f t="shared" si="6"/>
        <v>0</v>
      </c>
      <c r="P28" s="71">
        <f t="shared" si="6"/>
        <v>0</v>
      </c>
      <c r="Q28" s="71">
        <f t="shared" si="6"/>
        <v>0</v>
      </c>
      <c r="R28" s="71">
        <f t="shared" si="6"/>
        <v>0</v>
      </c>
      <c r="S28" s="71">
        <f t="shared" si="6"/>
        <v>0</v>
      </c>
      <c r="T28" s="71">
        <f t="shared" si="6"/>
        <v>0</v>
      </c>
      <c r="U28" s="71">
        <f t="shared" si="6"/>
        <v>0</v>
      </c>
      <c r="V28" s="136">
        <f t="shared" si="6"/>
        <v>0</v>
      </c>
      <c r="X28" s="109" t="s">
        <v>53</v>
      </c>
      <c r="Y28" s="113">
        <f t="shared" si="2"/>
        <v>172</v>
      </c>
      <c r="Z28" s="113">
        <f t="shared" si="3"/>
        <v>51</v>
      </c>
      <c r="AA28" s="132">
        <f t="shared" si="4"/>
        <v>44</v>
      </c>
    </row>
    <row r="29" spans="1:27" ht="15" customHeight="1">
      <c r="A29" s="139"/>
      <c r="B29" s="146">
        <v>43</v>
      </c>
      <c r="C29" s="71">
        <f t="shared" ref="C29:L44" si="7">SUMIFS(SumaLA,CentroLA,$B29,TurnoLA,C$8)</f>
        <v>1</v>
      </c>
      <c r="D29" s="71">
        <f t="shared" si="7"/>
        <v>1</v>
      </c>
      <c r="E29" s="71">
        <f t="shared" si="7"/>
        <v>1</v>
      </c>
      <c r="F29" s="71">
        <f t="shared" si="7"/>
        <v>1</v>
      </c>
      <c r="G29" s="71">
        <f t="shared" si="7"/>
        <v>1</v>
      </c>
      <c r="H29" s="71">
        <f t="shared" si="7"/>
        <v>1</v>
      </c>
      <c r="I29" s="71">
        <f t="shared" si="7"/>
        <v>1</v>
      </c>
      <c r="J29" s="71">
        <f t="shared" si="7"/>
        <v>1</v>
      </c>
      <c r="K29" s="71">
        <f t="shared" si="7"/>
        <v>1</v>
      </c>
      <c r="L29" s="71">
        <f t="shared" si="7"/>
        <v>2</v>
      </c>
      <c r="M29" s="71">
        <f t="shared" ref="M29:V44" si="8">SUMIFS(SumaLA,CentroLA,$B29,TurnoLA,M$8)</f>
        <v>0</v>
      </c>
      <c r="N29" s="71">
        <f t="shared" si="8"/>
        <v>1</v>
      </c>
      <c r="O29" s="71">
        <f t="shared" si="8"/>
        <v>1</v>
      </c>
      <c r="P29" s="71">
        <f t="shared" si="8"/>
        <v>1</v>
      </c>
      <c r="Q29" s="71">
        <f t="shared" si="8"/>
        <v>0</v>
      </c>
      <c r="R29" s="71">
        <f t="shared" si="8"/>
        <v>0</v>
      </c>
      <c r="S29" s="71">
        <f t="shared" si="8"/>
        <v>0</v>
      </c>
      <c r="T29" s="71">
        <f t="shared" si="8"/>
        <v>0</v>
      </c>
      <c r="U29" s="71">
        <f t="shared" si="8"/>
        <v>0</v>
      </c>
      <c r="V29" s="136">
        <f t="shared" si="8"/>
        <v>0</v>
      </c>
      <c r="X29" s="109" t="s">
        <v>53</v>
      </c>
      <c r="Y29" s="113">
        <f t="shared" si="2"/>
        <v>330</v>
      </c>
      <c r="Z29" s="113">
        <f t="shared" si="3"/>
        <v>85</v>
      </c>
      <c r="AA29" s="132">
        <f t="shared" si="4"/>
        <v>60</v>
      </c>
    </row>
    <row r="30" spans="1:27" ht="15" customHeight="1">
      <c r="A30" s="139"/>
      <c r="B30" s="146">
        <v>44</v>
      </c>
      <c r="C30" s="71">
        <f t="shared" si="7"/>
        <v>1</v>
      </c>
      <c r="D30" s="71">
        <f t="shared" si="7"/>
        <v>1</v>
      </c>
      <c r="E30" s="71">
        <f t="shared" si="7"/>
        <v>1</v>
      </c>
      <c r="F30" s="71">
        <f t="shared" si="7"/>
        <v>1</v>
      </c>
      <c r="G30" s="71">
        <f t="shared" si="7"/>
        <v>1</v>
      </c>
      <c r="H30" s="71">
        <f t="shared" si="7"/>
        <v>1</v>
      </c>
      <c r="I30" s="71">
        <f t="shared" si="7"/>
        <v>1</v>
      </c>
      <c r="J30" s="71">
        <f t="shared" si="7"/>
        <v>1</v>
      </c>
      <c r="K30" s="71">
        <f t="shared" si="7"/>
        <v>1</v>
      </c>
      <c r="L30" s="71">
        <f t="shared" si="7"/>
        <v>1</v>
      </c>
      <c r="M30" s="71">
        <f t="shared" si="8"/>
        <v>1</v>
      </c>
      <c r="N30" s="71">
        <f t="shared" si="8"/>
        <v>1</v>
      </c>
      <c r="O30" s="71">
        <f t="shared" si="8"/>
        <v>1</v>
      </c>
      <c r="P30" s="71">
        <f t="shared" si="8"/>
        <v>1</v>
      </c>
      <c r="Q30" s="71">
        <f t="shared" si="8"/>
        <v>1</v>
      </c>
      <c r="R30" s="71">
        <f t="shared" si="8"/>
        <v>1</v>
      </c>
      <c r="S30" s="71">
        <f t="shared" si="8"/>
        <v>1</v>
      </c>
      <c r="T30" s="71">
        <f t="shared" si="8"/>
        <v>0</v>
      </c>
      <c r="U30" s="71">
        <f t="shared" si="8"/>
        <v>0</v>
      </c>
      <c r="V30" s="136">
        <f t="shared" si="8"/>
        <v>0</v>
      </c>
      <c r="X30" s="109" t="s">
        <v>53</v>
      </c>
      <c r="Y30" s="113">
        <f t="shared" si="2"/>
        <v>69</v>
      </c>
      <c r="Z30" s="113">
        <f t="shared" si="3"/>
        <v>298</v>
      </c>
      <c r="AA30" s="132">
        <f t="shared" si="4"/>
        <v>57</v>
      </c>
    </row>
    <row r="31" spans="1:27" ht="15" customHeight="1">
      <c r="A31" s="139"/>
      <c r="B31" s="146">
        <v>45</v>
      </c>
      <c r="C31" s="71">
        <f t="shared" si="7"/>
        <v>1</v>
      </c>
      <c r="D31" s="71">
        <f t="shared" si="7"/>
        <v>1</v>
      </c>
      <c r="E31" s="71">
        <f t="shared" si="7"/>
        <v>1</v>
      </c>
      <c r="F31" s="71">
        <f t="shared" si="7"/>
        <v>1</v>
      </c>
      <c r="G31" s="71">
        <f t="shared" si="7"/>
        <v>1</v>
      </c>
      <c r="H31" s="71">
        <f t="shared" si="7"/>
        <v>0</v>
      </c>
      <c r="I31" s="71">
        <f t="shared" si="7"/>
        <v>1</v>
      </c>
      <c r="J31" s="71">
        <f t="shared" si="7"/>
        <v>1</v>
      </c>
      <c r="K31" s="71">
        <f t="shared" si="7"/>
        <v>1</v>
      </c>
      <c r="L31" s="71">
        <f t="shared" si="7"/>
        <v>1</v>
      </c>
      <c r="M31" s="71">
        <f t="shared" si="8"/>
        <v>1</v>
      </c>
      <c r="N31" s="71">
        <f t="shared" si="8"/>
        <v>1</v>
      </c>
      <c r="O31" s="71">
        <f t="shared" si="8"/>
        <v>1</v>
      </c>
      <c r="P31" s="71">
        <f t="shared" si="8"/>
        <v>1</v>
      </c>
      <c r="Q31" s="71">
        <f t="shared" si="8"/>
        <v>1</v>
      </c>
      <c r="R31" s="71">
        <f t="shared" si="8"/>
        <v>0</v>
      </c>
      <c r="S31" s="71">
        <f t="shared" si="8"/>
        <v>0</v>
      </c>
      <c r="T31" s="71">
        <f t="shared" si="8"/>
        <v>0</v>
      </c>
      <c r="U31" s="71">
        <f t="shared" si="8"/>
        <v>0</v>
      </c>
      <c r="V31" s="136">
        <f t="shared" si="8"/>
        <v>0</v>
      </c>
      <c r="X31" s="109" t="s">
        <v>53</v>
      </c>
      <c r="Y31" s="113">
        <f t="shared" si="2"/>
        <v>112</v>
      </c>
      <c r="Z31" s="113">
        <f t="shared" si="3"/>
        <v>302</v>
      </c>
      <c r="AA31" s="132">
        <f t="shared" si="4"/>
        <v>61</v>
      </c>
    </row>
    <row r="32" spans="1:27" ht="15" customHeight="1">
      <c r="A32" s="139"/>
      <c r="B32" s="146">
        <v>46</v>
      </c>
      <c r="C32" s="71">
        <f t="shared" si="7"/>
        <v>0</v>
      </c>
      <c r="D32" s="71">
        <f t="shared" si="7"/>
        <v>1</v>
      </c>
      <c r="E32" s="71">
        <f t="shared" si="7"/>
        <v>1</v>
      </c>
      <c r="F32" s="71">
        <f t="shared" si="7"/>
        <v>1</v>
      </c>
      <c r="G32" s="71">
        <f t="shared" si="7"/>
        <v>1</v>
      </c>
      <c r="H32" s="71">
        <f t="shared" si="7"/>
        <v>1</v>
      </c>
      <c r="I32" s="71">
        <f t="shared" si="7"/>
        <v>1</v>
      </c>
      <c r="J32" s="71">
        <f t="shared" si="7"/>
        <v>1</v>
      </c>
      <c r="K32" s="71">
        <f t="shared" si="7"/>
        <v>1</v>
      </c>
      <c r="L32" s="71">
        <f t="shared" si="7"/>
        <v>1</v>
      </c>
      <c r="M32" s="71">
        <f t="shared" si="8"/>
        <v>1</v>
      </c>
      <c r="N32" s="71">
        <f t="shared" si="8"/>
        <v>1</v>
      </c>
      <c r="O32" s="71">
        <f t="shared" si="8"/>
        <v>1</v>
      </c>
      <c r="P32" s="71">
        <f t="shared" si="8"/>
        <v>0</v>
      </c>
      <c r="Q32" s="71">
        <f t="shared" si="8"/>
        <v>0</v>
      </c>
      <c r="R32" s="71">
        <f t="shared" si="8"/>
        <v>0</v>
      </c>
      <c r="S32" s="71">
        <f t="shared" si="8"/>
        <v>0</v>
      </c>
      <c r="T32" s="71">
        <f t="shared" si="8"/>
        <v>0</v>
      </c>
      <c r="U32" s="71">
        <f t="shared" si="8"/>
        <v>0</v>
      </c>
      <c r="V32" s="136">
        <f t="shared" si="8"/>
        <v>0</v>
      </c>
      <c r="X32" s="109" t="s">
        <v>53</v>
      </c>
      <c r="Y32" s="113">
        <f t="shared" si="2"/>
        <v>135</v>
      </c>
      <c r="Z32" s="113">
        <f t="shared" si="3"/>
        <v>47</v>
      </c>
      <c r="AA32" s="132">
        <f t="shared" si="4"/>
        <v>108</v>
      </c>
    </row>
    <row r="33" spans="1:27" ht="15" customHeight="1">
      <c r="A33" s="139"/>
      <c r="B33" s="146">
        <v>47</v>
      </c>
      <c r="C33" s="71">
        <f t="shared" si="7"/>
        <v>1</v>
      </c>
      <c r="D33" s="71">
        <f t="shared" si="7"/>
        <v>1</v>
      </c>
      <c r="E33" s="71">
        <f t="shared" si="7"/>
        <v>1</v>
      </c>
      <c r="F33" s="71">
        <f t="shared" si="7"/>
        <v>1</v>
      </c>
      <c r="G33" s="71">
        <f t="shared" si="7"/>
        <v>1</v>
      </c>
      <c r="H33" s="71">
        <f t="shared" si="7"/>
        <v>1</v>
      </c>
      <c r="I33" s="71">
        <f t="shared" si="7"/>
        <v>1</v>
      </c>
      <c r="J33" s="71">
        <f t="shared" si="7"/>
        <v>1</v>
      </c>
      <c r="K33" s="71">
        <f t="shared" si="7"/>
        <v>1</v>
      </c>
      <c r="L33" s="71">
        <f t="shared" si="7"/>
        <v>1</v>
      </c>
      <c r="M33" s="71">
        <f t="shared" si="8"/>
        <v>1</v>
      </c>
      <c r="N33" s="71">
        <f t="shared" si="8"/>
        <v>1</v>
      </c>
      <c r="O33" s="71">
        <f t="shared" si="8"/>
        <v>1</v>
      </c>
      <c r="P33" s="71">
        <f t="shared" si="8"/>
        <v>0</v>
      </c>
      <c r="Q33" s="71">
        <f t="shared" si="8"/>
        <v>0</v>
      </c>
      <c r="R33" s="71">
        <f t="shared" si="8"/>
        <v>0</v>
      </c>
      <c r="S33" s="71">
        <f t="shared" si="8"/>
        <v>0</v>
      </c>
      <c r="T33" s="71">
        <f t="shared" si="8"/>
        <v>0</v>
      </c>
      <c r="U33" s="71">
        <f t="shared" si="8"/>
        <v>0</v>
      </c>
      <c r="V33" s="136">
        <f t="shared" si="8"/>
        <v>0</v>
      </c>
      <c r="X33" s="109" t="s">
        <v>53</v>
      </c>
      <c r="Y33" s="113">
        <f t="shared" si="2"/>
        <v>162</v>
      </c>
      <c r="Z33" s="113">
        <f t="shared" si="3"/>
        <v>33</v>
      </c>
      <c r="AA33" s="132">
        <f t="shared" si="4"/>
        <v>49</v>
      </c>
    </row>
    <row r="34" spans="1:27" ht="15" customHeight="1">
      <c r="A34" s="139"/>
      <c r="B34" s="146">
        <v>48</v>
      </c>
      <c r="C34" s="71">
        <f t="shared" si="7"/>
        <v>1</v>
      </c>
      <c r="D34" s="71">
        <f t="shared" si="7"/>
        <v>1</v>
      </c>
      <c r="E34" s="71">
        <f t="shared" si="7"/>
        <v>1</v>
      </c>
      <c r="F34" s="71">
        <f t="shared" si="7"/>
        <v>1</v>
      </c>
      <c r="G34" s="71">
        <f t="shared" si="7"/>
        <v>1</v>
      </c>
      <c r="H34" s="71">
        <f t="shared" si="7"/>
        <v>1</v>
      </c>
      <c r="I34" s="71">
        <f t="shared" si="7"/>
        <v>1</v>
      </c>
      <c r="J34" s="71">
        <f t="shared" si="7"/>
        <v>1</v>
      </c>
      <c r="K34" s="71">
        <f t="shared" si="7"/>
        <v>1</v>
      </c>
      <c r="L34" s="71">
        <f t="shared" si="7"/>
        <v>1</v>
      </c>
      <c r="M34" s="71">
        <f t="shared" si="8"/>
        <v>1</v>
      </c>
      <c r="N34" s="71">
        <f t="shared" si="8"/>
        <v>0</v>
      </c>
      <c r="O34" s="71">
        <f t="shared" si="8"/>
        <v>0</v>
      </c>
      <c r="P34" s="71">
        <f t="shared" si="8"/>
        <v>0</v>
      </c>
      <c r="Q34" s="71">
        <f t="shared" si="8"/>
        <v>0</v>
      </c>
      <c r="R34" s="71">
        <f t="shared" si="8"/>
        <v>0</v>
      </c>
      <c r="S34" s="71">
        <f t="shared" si="8"/>
        <v>0</v>
      </c>
      <c r="T34" s="71">
        <f t="shared" si="8"/>
        <v>0</v>
      </c>
      <c r="U34" s="71">
        <f t="shared" si="8"/>
        <v>0</v>
      </c>
      <c r="V34" s="136">
        <f t="shared" si="8"/>
        <v>0</v>
      </c>
      <c r="X34" s="109" t="s">
        <v>53</v>
      </c>
      <c r="Y34" s="113">
        <f t="shared" si="2"/>
        <v>181</v>
      </c>
      <c r="Z34" s="113">
        <f t="shared" si="3"/>
        <v>53</v>
      </c>
      <c r="AA34" s="132">
        <f t="shared" si="4"/>
        <v>182</v>
      </c>
    </row>
    <row r="35" spans="1:27" ht="15" customHeight="1">
      <c r="A35" s="139"/>
      <c r="B35" s="146">
        <v>49</v>
      </c>
      <c r="C35" s="71">
        <f t="shared" si="7"/>
        <v>1</v>
      </c>
      <c r="D35" s="71">
        <f t="shared" si="7"/>
        <v>1</v>
      </c>
      <c r="E35" s="71">
        <f t="shared" si="7"/>
        <v>1</v>
      </c>
      <c r="F35" s="71">
        <f t="shared" si="7"/>
        <v>1</v>
      </c>
      <c r="G35" s="71">
        <f t="shared" si="7"/>
        <v>1</v>
      </c>
      <c r="H35" s="71">
        <f t="shared" si="7"/>
        <v>1</v>
      </c>
      <c r="I35" s="71">
        <f t="shared" si="7"/>
        <v>1</v>
      </c>
      <c r="J35" s="71">
        <f t="shared" si="7"/>
        <v>1</v>
      </c>
      <c r="K35" s="71">
        <f t="shared" si="7"/>
        <v>1</v>
      </c>
      <c r="L35" s="71">
        <f t="shared" si="7"/>
        <v>1</v>
      </c>
      <c r="M35" s="71">
        <f t="shared" si="8"/>
        <v>1</v>
      </c>
      <c r="N35" s="71">
        <f t="shared" si="8"/>
        <v>1</v>
      </c>
      <c r="O35" s="71">
        <f t="shared" si="8"/>
        <v>0</v>
      </c>
      <c r="P35" s="71">
        <f t="shared" si="8"/>
        <v>0</v>
      </c>
      <c r="Q35" s="71">
        <f t="shared" si="8"/>
        <v>0</v>
      </c>
      <c r="R35" s="71">
        <f t="shared" si="8"/>
        <v>0</v>
      </c>
      <c r="S35" s="71">
        <f t="shared" si="8"/>
        <v>0</v>
      </c>
      <c r="T35" s="71">
        <f t="shared" si="8"/>
        <v>0</v>
      </c>
      <c r="U35" s="71">
        <f t="shared" si="8"/>
        <v>0</v>
      </c>
      <c r="V35" s="136">
        <f t="shared" si="8"/>
        <v>0</v>
      </c>
      <c r="X35" s="109" t="s">
        <v>53</v>
      </c>
      <c r="Y35" s="113">
        <f t="shared" si="2"/>
        <v>97</v>
      </c>
      <c r="Z35" s="113">
        <f t="shared" si="3"/>
        <v>2</v>
      </c>
      <c r="AA35" s="132">
        <f t="shared" si="4"/>
        <v>0</v>
      </c>
    </row>
    <row r="36" spans="1:27" ht="15" customHeight="1">
      <c r="A36" s="139"/>
      <c r="B36" s="146">
        <v>50</v>
      </c>
      <c r="C36" s="71">
        <f t="shared" si="7"/>
        <v>1</v>
      </c>
      <c r="D36" s="71">
        <f t="shared" si="7"/>
        <v>1</v>
      </c>
      <c r="E36" s="71">
        <f t="shared" si="7"/>
        <v>1</v>
      </c>
      <c r="F36" s="71">
        <f t="shared" si="7"/>
        <v>1</v>
      </c>
      <c r="G36" s="71">
        <f t="shared" si="7"/>
        <v>1</v>
      </c>
      <c r="H36" s="71">
        <f t="shared" si="7"/>
        <v>1</v>
      </c>
      <c r="I36" s="71">
        <f t="shared" si="7"/>
        <v>1</v>
      </c>
      <c r="J36" s="71">
        <f t="shared" si="7"/>
        <v>1</v>
      </c>
      <c r="K36" s="71">
        <f t="shared" si="7"/>
        <v>1</v>
      </c>
      <c r="L36" s="71">
        <f t="shared" si="7"/>
        <v>1</v>
      </c>
      <c r="M36" s="71">
        <f t="shared" si="8"/>
        <v>1</v>
      </c>
      <c r="N36" s="71">
        <f t="shared" si="8"/>
        <v>1</v>
      </c>
      <c r="O36" s="71">
        <f t="shared" si="8"/>
        <v>1</v>
      </c>
      <c r="P36" s="71">
        <f t="shared" si="8"/>
        <v>1</v>
      </c>
      <c r="Q36" s="71">
        <f t="shared" si="8"/>
        <v>0</v>
      </c>
      <c r="R36" s="71">
        <f t="shared" si="8"/>
        <v>0</v>
      </c>
      <c r="S36" s="71">
        <f t="shared" si="8"/>
        <v>0</v>
      </c>
      <c r="T36" s="71">
        <f t="shared" si="8"/>
        <v>0</v>
      </c>
      <c r="U36" s="71">
        <f t="shared" si="8"/>
        <v>0</v>
      </c>
      <c r="V36" s="136">
        <f t="shared" si="8"/>
        <v>0</v>
      </c>
      <c r="X36" s="109" t="s">
        <v>53</v>
      </c>
      <c r="Y36" s="113">
        <f t="shared" si="2"/>
        <v>224</v>
      </c>
      <c r="Z36" s="113">
        <f t="shared" si="3"/>
        <v>29</v>
      </c>
      <c r="AA36" s="132">
        <f t="shared" si="4"/>
        <v>31</v>
      </c>
    </row>
    <row r="37" spans="1:27" ht="15" customHeight="1">
      <c r="A37" s="139"/>
      <c r="B37" s="146">
        <v>51</v>
      </c>
      <c r="C37" s="71">
        <f t="shared" si="7"/>
        <v>1</v>
      </c>
      <c r="D37" s="71">
        <f t="shared" si="7"/>
        <v>0</v>
      </c>
      <c r="E37" s="71">
        <f t="shared" si="7"/>
        <v>1</v>
      </c>
      <c r="F37" s="71">
        <f t="shared" si="7"/>
        <v>1</v>
      </c>
      <c r="G37" s="71">
        <f t="shared" si="7"/>
        <v>1</v>
      </c>
      <c r="H37" s="71">
        <f t="shared" si="7"/>
        <v>0</v>
      </c>
      <c r="I37" s="71">
        <f t="shared" si="7"/>
        <v>1</v>
      </c>
      <c r="J37" s="71">
        <f t="shared" si="7"/>
        <v>2</v>
      </c>
      <c r="K37" s="71">
        <f t="shared" si="7"/>
        <v>1</v>
      </c>
      <c r="L37" s="71">
        <f t="shared" si="7"/>
        <v>1</v>
      </c>
      <c r="M37" s="71">
        <f t="shared" si="8"/>
        <v>1</v>
      </c>
      <c r="N37" s="71">
        <f t="shared" si="8"/>
        <v>1</v>
      </c>
      <c r="O37" s="71">
        <f t="shared" si="8"/>
        <v>1</v>
      </c>
      <c r="P37" s="71">
        <f t="shared" si="8"/>
        <v>1</v>
      </c>
      <c r="Q37" s="71">
        <f t="shared" si="8"/>
        <v>0</v>
      </c>
      <c r="R37" s="71">
        <f t="shared" si="8"/>
        <v>0</v>
      </c>
      <c r="S37" s="71">
        <f t="shared" si="8"/>
        <v>0</v>
      </c>
      <c r="T37" s="71">
        <f t="shared" si="8"/>
        <v>0</v>
      </c>
      <c r="U37" s="71">
        <f t="shared" si="8"/>
        <v>0</v>
      </c>
      <c r="V37" s="136">
        <f t="shared" si="8"/>
        <v>0</v>
      </c>
      <c r="X37" s="109" t="s">
        <v>53</v>
      </c>
      <c r="Y37" s="113">
        <f t="shared" si="2"/>
        <v>81</v>
      </c>
      <c r="Z37" s="113">
        <f t="shared" si="3"/>
        <v>3</v>
      </c>
      <c r="AA37" s="132">
        <f t="shared" si="4"/>
        <v>0</v>
      </c>
    </row>
    <row r="38" spans="1:27" ht="15" customHeight="1">
      <c r="A38" s="139"/>
      <c r="B38" s="146">
        <v>52</v>
      </c>
      <c r="C38" s="71">
        <f t="shared" si="7"/>
        <v>1</v>
      </c>
      <c r="D38" s="71">
        <f t="shared" si="7"/>
        <v>1</v>
      </c>
      <c r="E38" s="71">
        <f t="shared" si="7"/>
        <v>1</v>
      </c>
      <c r="F38" s="71">
        <f t="shared" si="7"/>
        <v>1</v>
      </c>
      <c r="G38" s="71">
        <f t="shared" si="7"/>
        <v>1</v>
      </c>
      <c r="H38" s="71">
        <f t="shared" si="7"/>
        <v>1</v>
      </c>
      <c r="I38" s="71">
        <f t="shared" si="7"/>
        <v>1</v>
      </c>
      <c r="J38" s="71">
        <f t="shared" si="7"/>
        <v>1</v>
      </c>
      <c r="K38" s="71">
        <f t="shared" si="7"/>
        <v>1</v>
      </c>
      <c r="L38" s="71">
        <f t="shared" si="7"/>
        <v>1</v>
      </c>
      <c r="M38" s="71">
        <f t="shared" si="8"/>
        <v>1</v>
      </c>
      <c r="N38" s="71">
        <f t="shared" si="8"/>
        <v>1</v>
      </c>
      <c r="O38" s="71">
        <f t="shared" si="8"/>
        <v>1</v>
      </c>
      <c r="P38" s="71">
        <f t="shared" si="8"/>
        <v>0</v>
      </c>
      <c r="Q38" s="71">
        <f t="shared" si="8"/>
        <v>0</v>
      </c>
      <c r="R38" s="71">
        <f t="shared" si="8"/>
        <v>0</v>
      </c>
      <c r="S38" s="71">
        <f t="shared" si="8"/>
        <v>0</v>
      </c>
      <c r="T38" s="71">
        <f t="shared" si="8"/>
        <v>0</v>
      </c>
      <c r="U38" s="71">
        <f t="shared" si="8"/>
        <v>0</v>
      </c>
      <c r="V38" s="136">
        <f t="shared" si="8"/>
        <v>0</v>
      </c>
      <c r="X38" s="109" t="s">
        <v>54</v>
      </c>
      <c r="Y38" s="113">
        <f t="shared" si="2"/>
        <v>269</v>
      </c>
      <c r="Z38" s="113">
        <f t="shared" si="3"/>
        <v>7</v>
      </c>
      <c r="AA38" s="132">
        <f t="shared" si="4"/>
        <v>24</v>
      </c>
    </row>
    <row r="39" spans="1:27" ht="15" customHeight="1">
      <c r="A39" s="139"/>
      <c r="B39" s="146">
        <v>53</v>
      </c>
      <c r="C39" s="71">
        <f t="shared" si="7"/>
        <v>1</v>
      </c>
      <c r="D39" s="71">
        <f t="shared" si="7"/>
        <v>1</v>
      </c>
      <c r="E39" s="71">
        <f t="shared" si="7"/>
        <v>1</v>
      </c>
      <c r="F39" s="71">
        <f t="shared" si="7"/>
        <v>1</v>
      </c>
      <c r="G39" s="71">
        <f t="shared" si="7"/>
        <v>1</v>
      </c>
      <c r="H39" s="71">
        <f t="shared" si="7"/>
        <v>1</v>
      </c>
      <c r="I39" s="71">
        <f t="shared" si="7"/>
        <v>1</v>
      </c>
      <c r="J39" s="71">
        <f t="shared" si="7"/>
        <v>1</v>
      </c>
      <c r="K39" s="71">
        <f t="shared" si="7"/>
        <v>1</v>
      </c>
      <c r="L39" s="71">
        <f t="shared" si="7"/>
        <v>1</v>
      </c>
      <c r="M39" s="71">
        <f t="shared" si="8"/>
        <v>1</v>
      </c>
      <c r="N39" s="71">
        <f t="shared" si="8"/>
        <v>1</v>
      </c>
      <c r="O39" s="71">
        <f t="shared" si="8"/>
        <v>1</v>
      </c>
      <c r="P39" s="71">
        <f t="shared" si="8"/>
        <v>1</v>
      </c>
      <c r="Q39" s="71">
        <f t="shared" si="8"/>
        <v>1</v>
      </c>
      <c r="R39" s="71">
        <f t="shared" si="8"/>
        <v>1</v>
      </c>
      <c r="S39" s="71">
        <f t="shared" si="8"/>
        <v>0</v>
      </c>
      <c r="T39" s="71">
        <f t="shared" si="8"/>
        <v>0</v>
      </c>
      <c r="U39" s="71">
        <f t="shared" si="8"/>
        <v>0</v>
      </c>
      <c r="V39" s="136">
        <f t="shared" si="8"/>
        <v>0</v>
      </c>
      <c r="X39" s="109" t="s">
        <v>54</v>
      </c>
      <c r="Y39" s="113">
        <f t="shared" si="2"/>
        <v>448</v>
      </c>
      <c r="Z39" s="113">
        <f t="shared" si="3"/>
        <v>53</v>
      </c>
      <c r="AA39" s="132">
        <f t="shared" si="4"/>
        <v>55</v>
      </c>
    </row>
    <row r="40" spans="1:27" ht="15" customHeight="1">
      <c r="A40" s="139"/>
      <c r="B40" s="146">
        <v>54</v>
      </c>
      <c r="C40" s="71">
        <f t="shared" si="7"/>
        <v>1</v>
      </c>
      <c r="D40" s="71">
        <f t="shared" si="7"/>
        <v>1</v>
      </c>
      <c r="E40" s="71">
        <f t="shared" si="7"/>
        <v>1</v>
      </c>
      <c r="F40" s="71">
        <f t="shared" si="7"/>
        <v>0</v>
      </c>
      <c r="G40" s="71">
        <f t="shared" si="7"/>
        <v>1</v>
      </c>
      <c r="H40" s="71">
        <f t="shared" si="7"/>
        <v>1</v>
      </c>
      <c r="I40" s="71">
        <f t="shared" si="7"/>
        <v>1</v>
      </c>
      <c r="J40" s="71">
        <f t="shared" si="7"/>
        <v>1</v>
      </c>
      <c r="K40" s="71">
        <f t="shared" si="7"/>
        <v>1</v>
      </c>
      <c r="L40" s="71">
        <f t="shared" si="7"/>
        <v>1</v>
      </c>
      <c r="M40" s="71">
        <f t="shared" si="8"/>
        <v>1</v>
      </c>
      <c r="N40" s="71">
        <f t="shared" si="8"/>
        <v>0</v>
      </c>
      <c r="O40" s="71">
        <f t="shared" si="8"/>
        <v>1</v>
      </c>
      <c r="P40" s="71">
        <f t="shared" si="8"/>
        <v>1</v>
      </c>
      <c r="Q40" s="71">
        <f t="shared" si="8"/>
        <v>0</v>
      </c>
      <c r="R40" s="71">
        <f t="shared" si="8"/>
        <v>0</v>
      </c>
      <c r="S40" s="71">
        <f t="shared" si="8"/>
        <v>0</v>
      </c>
      <c r="T40" s="71">
        <f t="shared" si="8"/>
        <v>0</v>
      </c>
      <c r="U40" s="71">
        <f t="shared" si="8"/>
        <v>0</v>
      </c>
      <c r="V40" s="136">
        <f t="shared" si="8"/>
        <v>0</v>
      </c>
      <c r="X40" s="109" t="s">
        <v>55</v>
      </c>
      <c r="Y40" s="113">
        <f t="shared" si="2"/>
        <v>145</v>
      </c>
      <c r="Z40" s="113">
        <f t="shared" si="3"/>
        <v>18</v>
      </c>
      <c r="AA40" s="132">
        <f t="shared" si="4"/>
        <v>3</v>
      </c>
    </row>
    <row r="41" spans="1:27" ht="15" customHeight="1">
      <c r="A41" s="139"/>
      <c r="B41" s="146">
        <v>55</v>
      </c>
      <c r="C41" s="71">
        <f t="shared" si="7"/>
        <v>1</v>
      </c>
      <c r="D41" s="71">
        <f t="shared" si="7"/>
        <v>1</v>
      </c>
      <c r="E41" s="71">
        <f t="shared" si="7"/>
        <v>1</v>
      </c>
      <c r="F41" s="71">
        <f t="shared" si="7"/>
        <v>1</v>
      </c>
      <c r="G41" s="71">
        <f t="shared" si="7"/>
        <v>1</v>
      </c>
      <c r="H41" s="71">
        <f t="shared" si="7"/>
        <v>1</v>
      </c>
      <c r="I41" s="71">
        <f t="shared" si="7"/>
        <v>1</v>
      </c>
      <c r="J41" s="71">
        <f t="shared" si="7"/>
        <v>1</v>
      </c>
      <c r="K41" s="71">
        <f t="shared" si="7"/>
        <v>1</v>
      </c>
      <c r="L41" s="71">
        <f t="shared" si="7"/>
        <v>1</v>
      </c>
      <c r="M41" s="71">
        <f t="shared" si="8"/>
        <v>1</v>
      </c>
      <c r="N41" s="71">
        <f t="shared" si="8"/>
        <v>1</v>
      </c>
      <c r="O41" s="71">
        <f t="shared" si="8"/>
        <v>1</v>
      </c>
      <c r="P41" s="71">
        <f t="shared" si="8"/>
        <v>1</v>
      </c>
      <c r="Q41" s="71">
        <f t="shared" si="8"/>
        <v>1</v>
      </c>
      <c r="R41" s="71">
        <f t="shared" si="8"/>
        <v>0</v>
      </c>
      <c r="S41" s="71">
        <f t="shared" si="8"/>
        <v>0</v>
      </c>
      <c r="T41" s="71">
        <f t="shared" si="8"/>
        <v>0</v>
      </c>
      <c r="U41" s="71">
        <f t="shared" si="8"/>
        <v>0</v>
      </c>
      <c r="V41" s="136">
        <f t="shared" si="8"/>
        <v>0</v>
      </c>
      <c r="X41" s="109" t="s">
        <v>55</v>
      </c>
      <c r="Y41" s="113">
        <f t="shared" si="2"/>
        <v>137</v>
      </c>
      <c r="Z41" s="113">
        <f t="shared" si="3"/>
        <v>10</v>
      </c>
      <c r="AA41" s="132">
        <f t="shared" si="4"/>
        <v>12</v>
      </c>
    </row>
    <row r="42" spans="1:27" ht="15" customHeight="1">
      <c r="A42" s="139"/>
      <c r="B42" s="146">
        <v>56</v>
      </c>
      <c r="C42" s="71">
        <f t="shared" si="7"/>
        <v>0</v>
      </c>
      <c r="D42" s="71">
        <f t="shared" si="7"/>
        <v>1</v>
      </c>
      <c r="E42" s="71">
        <f t="shared" si="7"/>
        <v>1</v>
      </c>
      <c r="F42" s="71">
        <f t="shared" si="7"/>
        <v>1</v>
      </c>
      <c r="G42" s="71">
        <f t="shared" si="7"/>
        <v>1</v>
      </c>
      <c r="H42" s="71">
        <f t="shared" si="7"/>
        <v>1</v>
      </c>
      <c r="I42" s="71">
        <f t="shared" si="7"/>
        <v>1</v>
      </c>
      <c r="J42" s="71">
        <f t="shared" si="7"/>
        <v>1</v>
      </c>
      <c r="K42" s="71">
        <f t="shared" si="7"/>
        <v>1</v>
      </c>
      <c r="L42" s="71">
        <f t="shared" si="7"/>
        <v>1</v>
      </c>
      <c r="M42" s="71">
        <f t="shared" si="8"/>
        <v>1</v>
      </c>
      <c r="N42" s="71">
        <f t="shared" si="8"/>
        <v>1</v>
      </c>
      <c r="O42" s="71">
        <f t="shared" si="8"/>
        <v>1</v>
      </c>
      <c r="P42" s="71">
        <f t="shared" si="8"/>
        <v>1</v>
      </c>
      <c r="Q42" s="71">
        <f t="shared" si="8"/>
        <v>1</v>
      </c>
      <c r="R42" s="71">
        <f t="shared" si="8"/>
        <v>1</v>
      </c>
      <c r="S42" s="71">
        <f t="shared" si="8"/>
        <v>0</v>
      </c>
      <c r="T42" s="71">
        <f t="shared" si="8"/>
        <v>0</v>
      </c>
      <c r="U42" s="71">
        <f t="shared" si="8"/>
        <v>0</v>
      </c>
      <c r="V42" s="136">
        <f t="shared" si="8"/>
        <v>0</v>
      </c>
      <c r="X42" s="109" t="s">
        <v>56</v>
      </c>
      <c r="Y42" s="113">
        <f t="shared" si="2"/>
        <v>157</v>
      </c>
      <c r="Z42" s="113">
        <f t="shared" si="3"/>
        <v>61</v>
      </c>
      <c r="AA42" s="132">
        <f t="shared" si="4"/>
        <v>17</v>
      </c>
    </row>
    <row r="43" spans="1:27" ht="15" customHeight="1">
      <c r="A43" s="139"/>
      <c r="B43" s="146">
        <v>57</v>
      </c>
      <c r="C43" s="71">
        <f t="shared" si="7"/>
        <v>1</v>
      </c>
      <c r="D43" s="71">
        <f t="shared" si="7"/>
        <v>1</v>
      </c>
      <c r="E43" s="71">
        <f t="shared" si="7"/>
        <v>1</v>
      </c>
      <c r="F43" s="71">
        <f t="shared" si="7"/>
        <v>1</v>
      </c>
      <c r="G43" s="71">
        <f t="shared" si="7"/>
        <v>1</v>
      </c>
      <c r="H43" s="71">
        <f t="shared" si="7"/>
        <v>1</v>
      </c>
      <c r="I43" s="71">
        <f t="shared" si="7"/>
        <v>1</v>
      </c>
      <c r="J43" s="71">
        <f t="shared" si="7"/>
        <v>1</v>
      </c>
      <c r="K43" s="71">
        <f t="shared" si="7"/>
        <v>1</v>
      </c>
      <c r="L43" s="71">
        <f t="shared" si="7"/>
        <v>1</v>
      </c>
      <c r="M43" s="71">
        <f t="shared" si="8"/>
        <v>1</v>
      </c>
      <c r="N43" s="71">
        <f t="shared" si="8"/>
        <v>1</v>
      </c>
      <c r="O43" s="71">
        <f t="shared" si="8"/>
        <v>1</v>
      </c>
      <c r="P43" s="71">
        <f t="shared" si="8"/>
        <v>1</v>
      </c>
      <c r="Q43" s="71">
        <f t="shared" si="8"/>
        <v>1</v>
      </c>
      <c r="R43" s="71">
        <f t="shared" si="8"/>
        <v>0</v>
      </c>
      <c r="S43" s="71">
        <f t="shared" si="8"/>
        <v>0</v>
      </c>
      <c r="T43" s="71">
        <f t="shared" si="8"/>
        <v>0</v>
      </c>
      <c r="U43" s="71">
        <f t="shared" si="8"/>
        <v>0</v>
      </c>
      <c r="V43" s="136">
        <f t="shared" si="8"/>
        <v>0</v>
      </c>
      <c r="X43" s="109" t="s">
        <v>56</v>
      </c>
      <c r="Y43" s="113">
        <f t="shared" si="2"/>
        <v>129</v>
      </c>
      <c r="Z43" s="113">
        <f t="shared" si="3"/>
        <v>35</v>
      </c>
      <c r="AA43" s="132">
        <f t="shared" si="4"/>
        <v>18</v>
      </c>
    </row>
    <row r="44" spans="1:27" ht="15" customHeight="1">
      <c r="A44" s="139"/>
      <c r="B44" s="146">
        <v>58</v>
      </c>
      <c r="C44" s="71">
        <f t="shared" si="7"/>
        <v>1</v>
      </c>
      <c r="D44" s="71">
        <f t="shared" si="7"/>
        <v>1</v>
      </c>
      <c r="E44" s="71">
        <f t="shared" si="7"/>
        <v>1</v>
      </c>
      <c r="F44" s="71">
        <f t="shared" si="7"/>
        <v>1</v>
      </c>
      <c r="G44" s="71">
        <f t="shared" si="7"/>
        <v>1</v>
      </c>
      <c r="H44" s="71">
        <f t="shared" si="7"/>
        <v>1</v>
      </c>
      <c r="I44" s="71">
        <f t="shared" si="7"/>
        <v>1</v>
      </c>
      <c r="J44" s="71">
        <f t="shared" si="7"/>
        <v>2</v>
      </c>
      <c r="K44" s="71">
        <f t="shared" si="7"/>
        <v>1</v>
      </c>
      <c r="L44" s="71">
        <f t="shared" si="7"/>
        <v>1</v>
      </c>
      <c r="M44" s="71">
        <f t="shared" si="8"/>
        <v>1</v>
      </c>
      <c r="N44" s="71">
        <f t="shared" si="8"/>
        <v>1</v>
      </c>
      <c r="O44" s="71">
        <f t="shared" si="8"/>
        <v>1</v>
      </c>
      <c r="P44" s="71">
        <f t="shared" si="8"/>
        <v>0</v>
      </c>
      <c r="Q44" s="71">
        <f t="shared" si="8"/>
        <v>0</v>
      </c>
      <c r="R44" s="71">
        <f t="shared" si="8"/>
        <v>0</v>
      </c>
      <c r="S44" s="71">
        <f t="shared" si="8"/>
        <v>0</v>
      </c>
      <c r="T44" s="71">
        <f t="shared" si="8"/>
        <v>0</v>
      </c>
      <c r="U44" s="71">
        <f t="shared" si="8"/>
        <v>0</v>
      </c>
      <c r="V44" s="136">
        <f t="shared" si="8"/>
        <v>0</v>
      </c>
      <c r="X44" s="109" t="s">
        <v>56</v>
      </c>
      <c r="Y44" s="113">
        <f t="shared" si="2"/>
        <v>165</v>
      </c>
      <c r="Z44" s="113">
        <f t="shared" si="3"/>
        <v>120</v>
      </c>
      <c r="AA44" s="132">
        <f t="shared" si="4"/>
        <v>47</v>
      </c>
    </row>
    <row r="45" spans="1:27" ht="15" customHeight="1">
      <c r="A45" s="139"/>
      <c r="B45" s="146">
        <v>59</v>
      </c>
      <c r="C45" s="71">
        <f t="shared" ref="C45:R50" si="9">SUMIFS(SumaLA,CentroLA,$B45,TurnoLA,C$8)</f>
        <v>1</v>
      </c>
      <c r="D45" s="71">
        <f t="shared" si="9"/>
        <v>1</v>
      </c>
      <c r="E45" s="71">
        <f t="shared" si="9"/>
        <v>1</v>
      </c>
      <c r="F45" s="71">
        <f t="shared" si="9"/>
        <v>1</v>
      </c>
      <c r="G45" s="71">
        <f t="shared" si="9"/>
        <v>1</v>
      </c>
      <c r="H45" s="71">
        <f t="shared" si="9"/>
        <v>1</v>
      </c>
      <c r="I45" s="71">
        <f t="shared" si="9"/>
        <v>1</v>
      </c>
      <c r="J45" s="71">
        <f t="shared" si="9"/>
        <v>1</v>
      </c>
      <c r="K45" s="71">
        <f t="shared" si="9"/>
        <v>1</v>
      </c>
      <c r="L45" s="71">
        <f t="shared" si="9"/>
        <v>1</v>
      </c>
      <c r="M45" s="71">
        <f t="shared" si="9"/>
        <v>1</v>
      </c>
      <c r="N45" s="71">
        <f t="shared" si="9"/>
        <v>2</v>
      </c>
      <c r="O45" s="71">
        <f t="shared" si="9"/>
        <v>0</v>
      </c>
      <c r="P45" s="71">
        <f t="shared" si="9"/>
        <v>0</v>
      </c>
      <c r="Q45" s="71">
        <f t="shared" si="9"/>
        <v>0</v>
      </c>
      <c r="R45" s="71">
        <f t="shared" si="9"/>
        <v>0</v>
      </c>
      <c r="S45" s="71">
        <f t="shared" ref="M45:V50" si="10">SUMIFS(SumaLA,CentroLA,$B45,TurnoLA,S$8)</f>
        <v>0</v>
      </c>
      <c r="T45" s="71">
        <f t="shared" si="10"/>
        <v>0</v>
      </c>
      <c r="U45" s="71">
        <f t="shared" si="10"/>
        <v>0</v>
      </c>
      <c r="V45" s="136">
        <f t="shared" si="10"/>
        <v>0</v>
      </c>
      <c r="X45" s="109" t="s">
        <v>56</v>
      </c>
      <c r="Y45" s="113">
        <f t="shared" si="2"/>
        <v>76</v>
      </c>
      <c r="Z45" s="113">
        <f t="shared" si="3"/>
        <v>133</v>
      </c>
      <c r="AA45" s="132">
        <f t="shared" si="4"/>
        <v>47</v>
      </c>
    </row>
    <row r="46" spans="1:27" ht="15" customHeight="1">
      <c r="A46" s="139"/>
      <c r="B46" s="146">
        <v>60</v>
      </c>
      <c r="C46" s="71">
        <f t="shared" si="9"/>
        <v>1</v>
      </c>
      <c r="D46" s="71">
        <f t="shared" si="9"/>
        <v>1</v>
      </c>
      <c r="E46" s="71">
        <f t="shared" si="9"/>
        <v>1</v>
      </c>
      <c r="F46" s="71">
        <f t="shared" si="9"/>
        <v>1</v>
      </c>
      <c r="G46" s="71">
        <f t="shared" si="9"/>
        <v>1</v>
      </c>
      <c r="H46" s="71">
        <f t="shared" si="9"/>
        <v>1</v>
      </c>
      <c r="I46" s="71">
        <f t="shared" si="9"/>
        <v>1</v>
      </c>
      <c r="J46" s="71">
        <f t="shared" si="9"/>
        <v>1</v>
      </c>
      <c r="K46" s="71">
        <f t="shared" si="9"/>
        <v>1</v>
      </c>
      <c r="L46" s="71">
        <f t="shared" si="9"/>
        <v>1</v>
      </c>
      <c r="M46" s="71">
        <f t="shared" si="10"/>
        <v>1</v>
      </c>
      <c r="N46" s="71">
        <f t="shared" si="10"/>
        <v>1</v>
      </c>
      <c r="O46" s="71">
        <f t="shared" si="10"/>
        <v>1</v>
      </c>
      <c r="P46" s="71">
        <f t="shared" si="10"/>
        <v>1</v>
      </c>
      <c r="Q46" s="71">
        <f t="shared" si="10"/>
        <v>0</v>
      </c>
      <c r="R46" s="71">
        <f t="shared" si="10"/>
        <v>0</v>
      </c>
      <c r="S46" s="71">
        <f t="shared" si="10"/>
        <v>0</v>
      </c>
      <c r="T46" s="71">
        <f t="shared" si="10"/>
        <v>0</v>
      </c>
      <c r="U46" s="71">
        <f t="shared" si="10"/>
        <v>0</v>
      </c>
      <c r="V46" s="136">
        <f t="shared" si="10"/>
        <v>0</v>
      </c>
      <c r="X46" s="109" t="s">
        <v>56</v>
      </c>
      <c r="Y46" s="113">
        <f t="shared" si="2"/>
        <v>223</v>
      </c>
      <c r="Z46" s="113">
        <f t="shared" si="3"/>
        <v>119</v>
      </c>
      <c r="AA46" s="132">
        <f t="shared" si="4"/>
        <v>41</v>
      </c>
    </row>
    <row r="47" spans="1:27" ht="15" customHeight="1">
      <c r="A47" s="139"/>
      <c r="B47" s="146">
        <v>61</v>
      </c>
      <c r="C47" s="71">
        <f t="shared" si="9"/>
        <v>1</v>
      </c>
      <c r="D47" s="71">
        <f t="shared" si="9"/>
        <v>1</v>
      </c>
      <c r="E47" s="71">
        <f t="shared" si="9"/>
        <v>1</v>
      </c>
      <c r="F47" s="71">
        <f t="shared" si="9"/>
        <v>1</v>
      </c>
      <c r="G47" s="71">
        <f t="shared" si="9"/>
        <v>1</v>
      </c>
      <c r="H47" s="71">
        <f t="shared" si="9"/>
        <v>0</v>
      </c>
      <c r="I47" s="71">
        <f t="shared" si="9"/>
        <v>1</v>
      </c>
      <c r="J47" s="71">
        <f t="shared" si="9"/>
        <v>1</v>
      </c>
      <c r="K47" s="71">
        <f t="shared" si="9"/>
        <v>1</v>
      </c>
      <c r="L47" s="71">
        <f t="shared" si="9"/>
        <v>0</v>
      </c>
      <c r="M47" s="71">
        <f t="shared" si="10"/>
        <v>0</v>
      </c>
      <c r="N47" s="71">
        <f t="shared" si="10"/>
        <v>0</v>
      </c>
      <c r="O47" s="71">
        <f t="shared" si="10"/>
        <v>0</v>
      </c>
      <c r="P47" s="71">
        <f t="shared" si="10"/>
        <v>0</v>
      </c>
      <c r="Q47" s="71">
        <f t="shared" si="10"/>
        <v>0</v>
      </c>
      <c r="R47" s="71">
        <f t="shared" si="10"/>
        <v>0</v>
      </c>
      <c r="S47" s="71">
        <f t="shared" si="10"/>
        <v>0</v>
      </c>
      <c r="T47" s="71">
        <f t="shared" si="10"/>
        <v>0</v>
      </c>
      <c r="U47" s="71">
        <f t="shared" si="10"/>
        <v>0</v>
      </c>
      <c r="V47" s="136">
        <f t="shared" si="10"/>
        <v>0</v>
      </c>
      <c r="X47" s="109" t="s">
        <v>57</v>
      </c>
      <c r="Y47" s="113">
        <f t="shared" si="2"/>
        <v>105</v>
      </c>
      <c r="Z47" s="113">
        <f t="shared" si="3"/>
        <v>32</v>
      </c>
      <c r="AA47" s="132">
        <f t="shared" si="4"/>
        <v>25</v>
      </c>
    </row>
    <row r="48" spans="1:27" ht="15" customHeight="1">
      <c r="A48" s="139"/>
      <c r="B48" s="146">
        <v>62</v>
      </c>
      <c r="C48" s="71">
        <f t="shared" si="9"/>
        <v>1</v>
      </c>
      <c r="D48" s="71">
        <f t="shared" si="9"/>
        <v>1</v>
      </c>
      <c r="E48" s="71">
        <f t="shared" si="9"/>
        <v>1</v>
      </c>
      <c r="F48" s="71">
        <f t="shared" si="9"/>
        <v>1</v>
      </c>
      <c r="G48" s="71">
        <f t="shared" si="9"/>
        <v>1</v>
      </c>
      <c r="H48" s="71">
        <f t="shared" si="9"/>
        <v>1</v>
      </c>
      <c r="I48" s="71">
        <f t="shared" si="9"/>
        <v>1</v>
      </c>
      <c r="J48" s="71">
        <f t="shared" si="9"/>
        <v>1</v>
      </c>
      <c r="K48" s="71">
        <f t="shared" si="9"/>
        <v>1</v>
      </c>
      <c r="L48" s="71">
        <f t="shared" si="9"/>
        <v>1</v>
      </c>
      <c r="M48" s="71">
        <f t="shared" si="10"/>
        <v>1</v>
      </c>
      <c r="N48" s="71">
        <f t="shared" si="10"/>
        <v>1</v>
      </c>
      <c r="O48" s="71">
        <f t="shared" si="10"/>
        <v>1</v>
      </c>
      <c r="P48" s="71">
        <f t="shared" si="10"/>
        <v>0</v>
      </c>
      <c r="Q48" s="71">
        <f t="shared" si="10"/>
        <v>0</v>
      </c>
      <c r="R48" s="71">
        <f t="shared" si="10"/>
        <v>0</v>
      </c>
      <c r="S48" s="71">
        <f t="shared" si="10"/>
        <v>0</v>
      </c>
      <c r="T48" s="71">
        <f t="shared" si="10"/>
        <v>0</v>
      </c>
      <c r="U48" s="71">
        <f t="shared" si="10"/>
        <v>0</v>
      </c>
      <c r="V48" s="136">
        <f t="shared" si="10"/>
        <v>0</v>
      </c>
      <c r="X48" s="109" t="s">
        <v>57</v>
      </c>
      <c r="Y48" s="113">
        <f t="shared" si="2"/>
        <v>287</v>
      </c>
      <c r="Z48" s="113">
        <f t="shared" si="3"/>
        <v>155</v>
      </c>
      <c r="AA48" s="132">
        <f t="shared" si="4"/>
        <v>6</v>
      </c>
    </row>
    <row r="49" spans="1:27" ht="15" customHeight="1">
      <c r="A49" s="139"/>
      <c r="B49" s="146">
        <v>63</v>
      </c>
      <c r="C49" s="71">
        <f t="shared" si="9"/>
        <v>0</v>
      </c>
      <c r="D49" s="71">
        <f t="shared" si="9"/>
        <v>1</v>
      </c>
      <c r="E49" s="71">
        <f t="shared" si="9"/>
        <v>1</v>
      </c>
      <c r="F49" s="71">
        <f t="shared" si="9"/>
        <v>1</v>
      </c>
      <c r="G49" s="71">
        <f t="shared" si="9"/>
        <v>2</v>
      </c>
      <c r="H49" s="71">
        <f t="shared" si="9"/>
        <v>1</v>
      </c>
      <c r="I49" s="71">
        <f t="shared" si="9"/>
        <v>1</v>
      </c>
      <c r="J49" s="71">
        <f t="shared" si="9"/>
        <v>1</v>
      </c>
      <c r="K49" s="71">
        <f t="shared" si="9"/>
        <v>1</v>
      </c>
      <c r="L49" s="71">
        <f t="shared" si="9"/>
        <v>1</v>
      </c>
      <c r="M49" s="71">
        <f t="shared" si="10"/>
        <v>1</v>
      </c>
      <c r="N49" s="71">
        <f t="shared" si="10"/>
        <v>1</v>
      </c>
      <c r="O49" s="71">
        <f t="shared" si="10"/>
        <v>1</v>
      </c>
      <c r="P49" s="71">
        <f t="shared" si="10"/>
        <v>1</v>
      </c>
      <c r="Q49" s="71">
        <f t="shared" si="10"/>
        <v>0</v>
      </c>
      <c r="R49" s="71">
        <f t="shared" si="10"/>
        <v>0</v>
      </c>
      <c r="S49" s="71">
        <f t="shared" si="10"/>
        <v>0</v>
      </c>
      <c r="T49" s="71">
        <f t="shared" si="10"/>
        <v>0</v>
      </c>
      <c r="U49" s="71">
        <f t="shared" si="10"/>
        <v>0</v>
      </c>
      <c r="V49" s="136">
        <f t="shared" si="10"/>
        <v>0</v>
      </c>
      <c r="X49" s="109" t="s">
        <v>57</v>
      </c>
      <c r="Y49" s="113">
        <f t="shared" si="2"/>
        <v>132</v>
      </c>
      <c r="Z49" s="113">
        <f t="shared" si="3"/>
        <v>29</v>
      </c>
      <c r="AA49" s="132">
        <f t="shared" si="4"/>
        <v>13</v>
      </c>
    </row>
    <row r="50" spans="1:27" ht="15" customHeight="1" thickBot="1">
      <c r="A50" s="139"/>
      <c r="B50" s="147">
        <v>64</v>
      </c>
      <c r="C50" s="137">
        <f t="shared" si="9"/>
        <v>0</v>
      </c>
      <c r="D50" s="137">
        <f t="shared" si="9"/>
        <v>1</v>
      </c>
      <c r="E50" s="137">
        <f t="shared" si="9"/>
        <v>2</v>
      </c>
      <c r="F50" s="137">
        <f t="shared" si="9"/>
        <v>1</v>
      </c>
      <c r="G50" s="137">
        <f t="shared" si="9"/>
        <v>1</v>
      </c>
      <c r="H50" s="137">
        <f t="shared" si="9"/>
        <v>1</v>
      </c>
      <c r="I50" s="137">
        <f t="shared" si="9"/>
        <v>1</v>
      </c>
      <c r="J50" s="137">
        <f t="shared" si="9"/>
        <v>1</v>
      </c>
      <c r="K50" s="137">
        <f t="shared" si="9"/>
        <v>1</v>
      </c>
      <c r="L50" s="137">
        <f t="shared" si="9"/>
        <v>1</v>
      </c>
      <c r="M50" s="137">
        <f t="shared" si="10"/>
        <v>1</v>
      </c>
      <c r="N50" s="137">
        <f t="shared" si="10"/>
        <v>1</v>
      </c>
      <c r="O50" s="137">
        <f t="shared" si="10"/>
        <v>1</v>
      </c>
      <c r="P50" s="137">
        <f t="shared" si="10"/>
        <v>0</v>
      </c>
      <c r="Q50" s="137">
        <f t="shared" si="10"/>
        <v>0</v>
      </c>
      <c r="R50" s="137">
        <f t="shared" si="10"/>
        <v>0</v>
      </c>
      <c r="S50" s="137">
        <f t="shared" si="10"/>
        <v>0</v>
      </c>
      <c r="T50" s="137">
        <f t="shared" si="10"/>
        <v>0</v>
      </c>
      <c r="U50" s="137">
        <f t="shared" si="10"/>
        <v>0</v>
      </c>
      <c r="V50" s="138">
        <f t="shared" si="10"/>
        <v>0</v>
      </c>
      <c r="X50" s="109" t="s">
        <v>57</v>
      </c>
      <c r="Y50" s="113">
        <f t="shared" si="2"/>
        <v>130</v>
      </c>
      <c r="Z50" s="113">
        <f t="shared" si="3"/>
        <v>33</v>
      </c>
      <c r="AA50" s="132">
        <f t="shared" si="4"/>
        <v>6</v>
      </c>
    </row>
    <row r="52" spans="1:27" ht="15" customHeight="1">
      <c r="X52" s="109" t="s">
        <v>52</v>
      </c>
      <c r="Y52" s="69">
        <f t="shared" ref="Y52:AA57" si="11">SUMIF(MunicipioLA,$X52,Y$9:Y$50)</f>
        <v>309</v>
      </c>
      <c r="Z52" s="69">
        <f t="shared" si="11"/>
        <v>78</v>
      </c>
      <c r="AA52" s="69">
        <f t="shared" si="11"/>
        <v>78</v>
      </c>
    </row>
    <row r="53" spans="1:27" ht="15" customHeight="1">
      <c r="X53" s="109" t="s">
        <v>53</v>
      </c>
      <c r="Y53" s="69">
        <f t="shared" si="11"/>
        <v>5198</v>
      </c>
      <c r="Z53" s="69">
        <f t="shared" si="11"/>
        <v>1947</v>
      </c>
      <c r="AA53" s="69">
        <f t="shared" si="11"/>
        <v>1292</v>
      </c>
    </row>
    <row r="54" spans="1:27" ht="15" customHeight="1">
      <c r="X54" s="109" t="s">
        <v>54</v>
      </c>
      <c r="Y54" s="69">
        <f t="shared" si="11"/>
        <v>717</v>
      </c>
      <c r="Z54" s="69">
        <f t="shared" si="11"/>
        <v>60</v>
      </c>
      <c r="AA54" s="69">
        <f t="shared" si="11"/>
        <v>79</v>
      </c>
    </row>
    <row r="55" spans="1:27" ht="15" customHeight="1">
      <c r="X55" s="109" t="s">
        <v>55</v>
      </c>
      <c r="Y55" s="69">
        <f t="shared" si="11"/>
        <v>282</v>
      </c>
      <c r="Z55" s="69">
        <f t="shared" si="11"/>
        <v>28</v>
      </c>
      <c r="AA55" s="69">
        <f t="shared" si="11"/>
        <v>15</v>
      </c>
    </row>
    <row r="56" spans="1:27" ht="15" customHeight="1">
      <c r="X56" s="109" t="s">
        <v>56</v>
      </c>
      <c r="Y56" s="69">
        <f t="shared" si="11"/>
        <v>750</v>
      </c>
      <c r="Z56" s="69">
        <f t="shared" si="11"/>
        <v>468</v>
      </c>
      <c r="AA56" s="69">
        <f t="shared" si="11"/>
        <v>170</v>
      </c>
    </row>
    <row r="57" spans="1:27" ht="15" customHeight="1">
      <c r="X57" s="109" t="s">
        <v>57</v>
      </c>
      <c r="Y57" s="69">
        <f t="shared" si="11"/>
        <v>654</v>
      </c>
      <c r="Z57" s="69">
        <f t="shared" si="11"/>
        <v>249</v>
      </c>
      <c r="AA57" s="69">
        <f t="shared" si="11"/>
        <v>50</v>
      </c>
    </row>
  </sheetData>
  <customSheetViews>
    <customSheetView guid="{E103CAA9-E8FB-4228-A076-3C3E3EEEC109}" showGridLines="0" showRowCol="0">
      <selection activeCell="Y4" sqref="Y4"/>
      <pageMargins left="0.7" right="0.7" top="0.75" bottom="0.75" header="0.3" footer="0.3"/>
    </customSheetView>
    <customSheetView guid="{37EA6283-F051-4D0B-81C6-34EEB84CCDF0}" showGridLines="0" showRowCol="0">
      <selection activeCell="Y5" sqref="Y5"/>
      <pageMargins left="0.7" right="0.7" top="0.75" bottom="0.75" header="0.3" footer="0.3"/>
    </customSheetView>
    <customSheetView guid="{A6A06E36-D96E-4193-B19F-8D7934C6230C}" showGridLines="0" showRowCol="0">
      <selection activeCell="Y5" sqref="Y5"/>
      <pageMargins left="0.7" right="0.7" top="0.75" bottom="0.75" header="0.3" footer="0.3"/>
    </customSheetView>
  </customSheetViews>
  <mergeCells count="5">
    <mergeCell ref="B1:V1"/>
    <mergeCell ref="Y7:Y8"/>
    <mergeCell ref="Z7:Z8"/>
    <mergeCell ref="AA7:AA8"/>
    <mergeCell ref="X7:X8"/>
  </mergeCells>
  <conditionalFormatting sqref="C8:V8 B6:K6">
    <cfRule type="cellIs" dxfId="17" priority="7" stopIfTrue="1" operator="equal">
      <formula>"F"</formula>
    </cfRule>
    <cfRule type="cellIs" dxfId="16" priority="8" stopIfTrue="1" operator="equal">
      <formula>"C"</formula>
    </cfRule>
    <cfRule type="cellIs" dxfId="15" priority="9" stopIfTrue="1" operator="equal">
      <formula>"C"</formula>
    </cfRule>
  </conditionalFormatting>
  <conditionalFormatting sqref="C9:V50">
    <cfRule type="cellIs" dxfId="14" priority="1" stopIfTrue="1" operator="equal">
      <formula>0</formula>
    </cfRule>
    <cfRule type="cellIs" dxfId="13" priority="2" stopIfTrue="1" operator="equal">
      <formula>1</formula>
    </cfRule>
    <cfRule type="cellIs" dxfId="12" priority="3" stopIfTrue="1" operator="greaterThan">
      <formula>1</formula>
    </cfRule>
  </conditionalFormatting>
  <hyperlinks>
    <hyperlink ref="Y2" location="PPrincipal!A1" display="* Pagina Principal"/>
    <hyperlink ref="Y3" location="CFalcón!A1" display="Falcón"/>
    <hyperlink ref="Y4" location="CPortuguesa!A1" display="Portuguesa"/>
    <hyperlink ref="Y5" location="CYaracuy!A1" display="Yaracuy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AB390"/>
  <sheetViews>
    <sheetView showGridLines="0" showRowColHeaders="0" tabSelected="1" workbookViewId="0">
      <pane ySplit="8" topLeftCell="A193" activePane="bottomLeft" state="frozen"/>
      <selection pane="bottomLeft" activeCell="B201" sqref="B201"/>
    </sheetView>
  </sheetViews>
  <sheetFormatPr baseColWidth="10" defaultRowHeight="12.75"/>
  <cols>
    <col min="1" max="1" width="42.7109375" customWidth="1"/>
    <col min="2" max="12" width="13.7109375" customWidth="1"/>
    <col min="13" max="14" width="13.7109375" style="21" customWidth="1"/>
    <col min="15" max="28" width="13.7109375" customWidth="1"/>
  </cols>
  <sheetData>
    <row r="1" spans="2:28" s="13" customFormat="1">
      <c r="I1" s="107"/>
      <c r="K1" s="39"/>
      <c r="M1" s="26"/>
      <c r="N1" s="26"/>
    </row>
    <row r="2" spans="2:28" s="13" customFormat="1">
      <c r="I2" s="153" t="s">
        <v>8</v>
      </c>
      <c r="J2" s="78"/>
      <c r="K2" s="80"/>
      <c r="M2" s="26"/>
      <c r="N2" s="26"/>
      <c r="Q2" s="61" t="s">
        <v>59</v>
      </c>
      <c r="R2" s="96">
        <f>S9</f>
        <v>0.46345072506658774</v>
      </c>
      <c r="S2" s="59"/>
    </row>
    <row r="3" spans="2:28" s="13" customFormat="1">
      <c r="I3" s="153" t="s">
        <v>31</v>
      </c>
      <c r="J3" s="78"/>
      <c r="K3" s="80"/>
      <c r="M3" s="26"/>
      <c r="N3" s="26"/>
      <c r="Q3" s="61" t="s">
        <v>60</v>
      </c>
      <c r="R3" s="96">
        <f>V9</f>
        <v>0.2639834270494229</v>
      </c>
      <c r="S3" s="59"/>
    </row>
    <row r="4" spans="2:28" s="13" customFormat="1">
      <c r="I4" s="153" t="s">
        <v>34</v>
      </c>
      <c r="J4" s="78"/>
      <c r="K4" s="80"/>
      <c r="M4" s="26"/>
      <c r="N4" s="26"/>
      <c r="Q4" s="61" t="s">
        <v>61</v>
      </c>
      <c r="R4" s="96">
        <f>Y9</f>
        <v>0.23142941698727434</v>
      </c>
      <c r="S4" s="59"/>
    </row>
    <row r="5" spans="2:28" s="13" customFormat="1">
      <c r="I5" s="153" t="s">
        <v>79</v>
      </c>
      <c r="J5" s="78"/>
      <c r="K5" s="80"/>
      <c r="M5" s="26"/>
      <c r="N5" s="26"/>
      <c r="Q5" s="97" t="s">
        <v>4</v>
      </c>
      <c r="R5" s="96">
        <f>AB9</f>
        <v>4.1136430896715002E-2</v>
      </c>
    </row>
    <row r="6" spans="2:28" s="13" customFormat="1" ht="33">
      <c r="B6" s="17">
        <v>16</v>
      </c>
      <c r="C6" s="17" t="s">
        <v>37</v>
      </c>
      <c r="D6" s="17"/>
      <c r="E6" s="17"/>
      <c r="F6" s="17"/>
      <c r="G6" s="17"/>
      <c r="H6" s="17"/>
      <c r="I6"/>
      <c r="J6" s="14"/>
      <c r="K6" s="39"/>
      <c r="M6" s="26"/>
      <c r="N6" s="26"/>
    </row>
    <row r="7" spans="2:28" ht="13.5" thickBot="1"/>
    <row r="8" spans="2:28" ht="30.75" thickBot="1">
      <c r="B8" s="23" t="s">
        <v>1</v>
      </c>
      <c r="C8" s="24" t="s">
        <v>2</v>
      </c>
      <c r="D8" s="25" t="s">
        <v>0</v>
      </c>
      <c r="E8" s="12" t="s">
        <v>59</v>
      </c>
      <c r="F8" s="12" t="s">
        <v>60</v>
      </c>
      <c r="G8" s="12" t="s">
        <v>61</v>
      </c>
      <c r="H8" s="12" t="s">
        <v>4</v>
      </c>
      <c r="N8" s="55" t="s">
        <v>58</v>
      </c>
      <c r="Q8" s="165" t="s">
        <v>59</v>
      </c>
      <c r="R8" s="166"/>
      <c r="S8" s="167"/>
      <c r="T8" s="165" t="s">
        <v>60</v>
      </c>
      <c r="U8" s="166"/>
      <c r="V8" s="167"/>
      <c r="W8" s="165" t="s">
        <v>61</v>
      </c>
      <c r="X8" s="166"/>
      <c r="Y8" s="167"/>
      <c r="Z8" s="165" t="s">
        <v>4</v>
      </c>
      <c r="AA8" s="166"/>
      <c r="AB8" s="167"/>
    </row>
    <row r="9" spans="2:28" ht="18">
      <c r="B9" s="40">
        <v>16</v>
      </c>
      <c r="C9" s="40">
        <v>66</v>
      </c>
      <c r="D9" s="40">
        <v>1</v>
      </c>
      <c r="E9" s="40">
        <v>7</v>
      </c>
      <c r="F9" s="40">
        <v>5</v>
      </c>
      <c r="G9" s="148">
        <v>9</v>
      </c>
      <c r="H9" s="45">
        <v>4</v>
      </c>
      <c r="N9" s="21">
        <v>1</v>
      </c>
      <c r="O9" s="163" t="s">
        <v>0</v>
      </c>
      <c r="P9" s="163"/>
      <c r="Q9" s="31">
        <f>SUM(Wilmar_Castro)</f>
        <v>1566</v>
      </c>
      <c r="R9" s="32">
        <f>Q9</f>
        <v>1566</v>
      </c>
      <c r="S9" s="33">
        <f>Q9/($Q$9+$T$9+$W$9+$Z$9)</f>
        <v>0.46345072506658774</v>
      </c>
      <c r="T9" s="31">
        <f>SUM(Jobito_Villegas)</f>
        <v>892</v>
      </c>
      <c r="U9" s="32">
        <f>T9</f>
        <v>892</v>
      </c>
      <c r="V9" s="33">
        <f>T9/($Q$9+$T$9+$W$9+$Z$9)</f>
        <v>0.2639834270494229</v>
      </c>
      <c r="W9" s="31">
        <f>SUM(Bella_Petrizzo)</f>
        <v>782</v>
      </c>
      <c r="X9" s="32">
        <f>W9</f>
        <v>782</v>
      </c>
      <c r="Y9" s="33">
        <f>W9/($Q$9+$T$9+$W$9+$Z$9)</f>
        <v>0.23142941698727434</v>
      </c>
      <c r="Z9" s="31">
        <f>SUM(OtroPO)</f>
        <v>139</v>
      </c>
      <c r="AA9" s="32">
        <f>Z9</f>
        <v>139</v>
      </c>
      <c r="AB9" s="34">
        <f>Z9/($Q$9+$T$9+$W$9+$Z$9)</f>
        <v>4.1136430896715002E-2</v>
      </c>
    </row>
    <row r="10" spans="2:28" ht="18">
      <c r="B10" s="41">
        <v>16</v>
      </c>
      <c r="C10" s="41">
        <v>77</v>
      </c>
      <c r="D10" s="41">
        <v>1</v>
      </c>
      <c r="E10" s="41">
        <v>8</v>
      </c>
      <c r="F10" s="41">
        <v>5</v>
      </c>
      <c r="G10" s="149">
        <v>9</v>
      </c>
      <c r="H10" s="46">
        <v>2</v>
      </c>
      <c r="N10" s="21">
        <v>1</v>
      </c>
      <c r="O10" s="6">
        <v>0.3125</v>
      </c>
      <c r="P10" s="2">
        <v>1</v>
      </c>
      <c r="Q10" s="4">
        <f t="shared" ref="Q10:Q29" si="0">SUMIF(TurnoPO,$P10,Wilmar_Castro)</f>
        <v>161</v>
      </c>
      <c r="R10" s="5">
        <f>Q10</f>
        <v>161</v>
      </c>
      <c r="S10" s="10">
        <f>IF(Q10&lt;&gt;0,R10/($R10+$U10+$X10+AA10),LOOKUP(2121,$S$3:$S$6))</f>
        <v>0.40452261306532661</v>
      </c>
      <c r="T10" s="4">
        <f t="shared" ref="T10:T29" si="1">SUMIF(TurnoPO,$P10,Jobito_Villegas)</f>
        <v>116</v>
      </c>
      <c r="U10" s="5">
        <f>T10</f>
        <v>116</v>
      </c>
      <c r="V10" s="10">
        <f>IF(T10&lt;&gt;0,U10/($R10+$U10+$X10+AD10),LOOKUP(2121,$S$3:$S$6))</f>
        <v>0.31955922865013775</v>
      </c>
      <c r="W10" s="4">
        <f t="shared" ref="W10:W29" si="2">SUMIF(TurnoPO,$P10,Bella_Petrizzo)</f>
        <v>86</v>
      </c>
      <c r="X10" s="5">
        <f>W10</f>
        <v>86</v>
      </c>
      <c r="Y10" s="10">
        <f>IF(W10&lt;&gt;0,X10/($R10+$U10+$X10+AG10),LOOKUP(2121,$S$3:$S$6))</f>
        <v>0.23691460055096419</v>
      </c>
      <c r="Z10" s="4">
        <f t="shared" ref="Z10:Z29" si="3">SUMIF(TurnoPO,$P10,OtroPO)</f>
        <v>35</v>
      </c>
      <c r="AA10" s="5">
        <f>Z10</f>
        <v>35</v>
      </c>
      <c r="AB10" s="3">
        <f>IF(Z10&lt;&gt;0,AA10/($R10+$U10+$X10+AJ10),LOOKUP(2121,$S$3:$S$6))</f>
        <v>9.6418732782369149E-2</v>
      </c>
    </row>
    <row r="11" spans="2:28" ht="18">
      <c r="B11" s="41">
        <v>16</v>
      </c>
      <c r="C11" s="41">
        <v>76</v>
      </c>
      <c r="D11" s="41">
        <v>1</v>
      </c>
      <c r="E11" s="41">
        <v>3</v>
      </c>
      <c r="F11" s="41">
        <v>10</v>
      </c>
      <c r="G11" s="149">
        <v>12</v>
      </c>
      <c r="H11" s="46">
        <v>0</v>
      </c>
      <c r="N11" s="21">
        <v>1</v>
      </c>
      <c r="O11" s="6">
        <v>0.33333333333333298</v>
      </c>
      <c r="P11" s="2">
        <v>2</v>
      </c>
      <c r="Q11" s="4">
        <f t="shared" si="0"/>
        <v>146</v>
      </c>
      <c r="R11" s="5">
        <f>R10+Q11</f>
        <v>307</v>
      </c>
      <c r="S11" s="10">
        <f>IF(Q11&lt;&gt;0,R11/($R11+$U11+$X11+$AA11),LOOKUP(2121,$S$3:$S$6))</f>
        <v>0.44622093023255816</v>
      </c>
      <c r="T11" s="4">
        <f t="shared" si="1"/>
        <v>65</v>
      </c>
      <c r="U11" s="5">
        <f>U10+T11</f>
        <v>181</v>
      </c>
      <c r="V11" s="10">
        <f>IF(T11&lt;&gt;0,U11/($R11+$U11+$X11+$AA11),LOOKUP(2121,$S$3:$S$6))</f>
        <v>0.26308139534883723</v>
      </c>
      <c r="W11" s="4">
        <f t="shared" si="2"/>
        <v>69</v>
      </c>
      <c r="X11" s="5">
        <f>X10+W11</f>
        <v>155</v>
      </c>
      <c r="Y11" s="10">
        <f>IF(W11&lt;&gt;0,X11/($R11+$U11+$X11+$AA11),LOOKUP(2121,$S$3:$S$6))</f>
        <v>0.22529069767441862</v>
      </c>
      <c r="Z11" s="4">
        <f t="shared" si="3"/>
        <v>10</v>
      </c>
      <c r="AA11" s="5">
        <f>AA10+Z11</f>
        <v>45</v>
      </c>
      <c r="AB11" s="3">
        <f>IF(Z11&lt;&gt;0,AA11/($R11+$U11+$X11+$AA11),LOOKUP(2121,$S$3:$S$6))</f>
        <v>6.5406976744186052E-2</v>
      </c>
    </row>
    <row r="12" spans="2:28" ht="18">
      <c r="B12" s="41">
        <v>16</v>
      </c>
      <c r="C12" s="41">
        <v>81</v>
      </c>
      <c r="D12" s="41">
        <v>1</v>
      </c>
      <c r="E12" s="41">
        <v>9</v>
      </c>
      <c r="F12" s="41">
        <v>1</v>
      </c>
      <c r="G12" s="149">
        <v>7</v>
      </c>
      <c r="H12" s="46">
        <v>4</v>
      </c>
      <c r="N12" s="21">
        <v>1</v>
      </c>
      <c r="O12" s="6">
        <v>0.35416666666666702</v>
      </c>
      <c r="P12" s="2">
        <v>3</v>
      </c>
      <c r="Q12" s="4">
        <f t="shared" si="0"/>
        <v>170</v>
      </c>
      <c r="R12" s="5">
        <f t="shared" ref="R12:R29" si="4">R11+Q12</f>
        <v>477</v>
      </c>
      <c r="S12" s="10">
        <f t="shared" ref="S12:S29" si="5">IF(Q12&lt;&gt;0,R12/($R12+$U12+$X12+$AA12),LOOKUP(2121,$S$3:$S$6))</f>
        <v>0.47274529236868185</v>
      </c>
      <c r="T12" s="4">
        <f t="shared" si="1"/>
        <v>77</v>
      </c>
      <c r="U12" s="5">
        <f t="shared" ref="U12:U29" si="6">U11+T12</f>
        <v>258</v>
      </c>
      <c r="V12" s="10">
        <f t="shared" ref="V12:V29" si="7">IF(T12&lt;&gt;0,U12/($R12+$U12+$X12+$AA12),LOOKUP(2121,$S$3:$S$6))</f>
        <v>0.25569871159563923</v>
      </c>
      <c r="W12" s="4">
        <f t="shared" si="2"/>
        <v>60</v>
      </c>
      <c r="X12" s="5">
        <f t="shared" ref="X12:X29" si="8">X11+W12</f>
        <v>215</v>
      </c>
      <c r="Y12" s="10">
        <f t="shared" ref="Y12:Y29" si="9">IF(W12&lt;&gt;0,X12/($R12+$U12+$X12+$AA12),LOOKUP(2121,$S$3:$S$6))</f>
        <v>0.21308225966303271</v>
      </c>
      <c r="Z12" s="4">
        <f t="shared" si="3"/>
        <v>14</v>
      </c>
      <c r="AA12" s="5">
        <f t="shared" ref="AA12:AA29" si="10">AA11+Z12</f>
        <v>59</v>
      </c>
      <c r="AB12" s="3">
        <f t="shared" ref="AB12:AB29" si="11">IF(Z12&lt;&gt;0,AA12/($R12+$U12+$X12+$AA12),LOOKUP(2121,$S$3:$S$6))</f>
        <v>5.8473736372646183E-2</v>
      </c>
    </row>
    <row r="13" spans="2:28" ht="18">
      <c r="B13" s="41">
        <v>16</v>
      </c>
      <c r="C13" s="41">
        <v>67</v>
      </c>
      <c r="D13" s="41">
        <v>1</v>
      </c>
      <c r="E13" s="41">
        <v>5</v>
      </c>
      <c r="F13" s="41">
        <v>1</v>
      </c>
      <c r="G13" s="149">
        <v>3</v>
      </c>
      <c r="H13" s="46">
        <v>0</v>
      </c>
      <c r="N13" s="21">
        <v>1</v>
      </c>
      <c r="O13" s="6">
        <v>0.375</v>
      </c>
      <c r="P13" s="2">
        <v>4</v>
      </c>
      <c r="Q13" s="4">
        <f t="shared" si="0"/>
        <v>173</v>
      </c>
      <c r="R13" s="5">
        <f t="shared" si="4"/>
        <v>650</v>
      </c>
      <c r="S13" s="10">
        <f t="shared" si="5"/>
        <v>0.49467275494672752</v>
      </c>
      <c r="T13" s="4">
        <f t="shared" si="1"/>
        <v>49</v>
      </c>
      <c r="U13" s="5">
        <f t="shared" si="6"/>
        <v>307</v>
      </c>
      <c r="V13" s="10">
        <f t="shared" si="7"/>
        <v>0.23363774733637746</v>
      </c>
      <c r="W13" s="4">
        <f t="shared" si="2"/>
        <v>74</v>
      </c>
      <c r="X13" s="5">
        <f t="shared" si="8"/>
        <v>289</v>
      </c>
      <c r="Y13" s="10">
        <f t="shared" si="9"/>
        <v>0.21993911719939116</v>
      </c>
      <c r="Z13" s="4">
        <f t="shared" si="3"/>
        <v>9</v>
      </c>
      <c r="AA13" s="5">
        <f t="shared" si="10"/>
        <v>68</v>
      </c>
      <c r="AB13" s="3">
        <f t="shared" si="11"/>
        <v>5.1750380517503802E-2</v>
      </c>
    </row>
    <row r="14" spans="2:28" ht="18">
      <c r="B14" s="41">
        <v>16</v>
      </c>
      <c r="C14" s="41">
        <v>67</v>
      </c>
      <c r="D14" s="41">
        <v>2</v>
      </c>
      <c r="E14" s="41">
        <v>4</v>
      </c>
      <c r="F14" s="41">
        <v>1</v>
      </c>
      <c r="G14" s="149">
        <v>2</v>
      </c>
      <c r="H14" s="46">
        <v>0</v>
      </c>
      <c r="N14" s="21">
        <v>1</v>
      </c>
      <c r="O14" s="6">
        <v>0.39583333333333298</v>
      </c>
      <c r="P14" s="2">
        <v>5</v>
      </c>
      <c r="Q14" s="4">
        <f t="shared" si="0"/>
        <v>157</v>
      </c>
      <c r="R14" s="5">
        <f t="shared" si="4"/>
        <v>807</v>
      </c>
      <c r="S14" s="10">
        <f t="shared" si="5"/>
        <v>0.50186567164179108</v>
      </c>
      <c r="T14" s="4">
        <f t="shared" si="1"/>
        <v>68</v>
      </c>
      <c r="U14" s="5">
        <f t="shared" si="6"/>
        <v>375</v>
      </c>
      <c r="V14" s="10">
        <f t="shared" si="7"/>
        <v>0.2332089552238806</v>
      </c>
      <c r="W14" s="4">
        <f t="shared" si="2"/>
        <v>60</v>
      </c>
      <c r="X14" s="5">
        <f t="shared" si="8"/>
        <v>349</v>
      </c>
      <c r="Y14" s="10">
        <f t="shared" si="9"/>
        <v>0.21703980099502487</v>
      </c>
      <c r="Z14" s="4">
        <f t="shared" si="3"/>
        <v>9</v>
      </c>
      <c r="AA14" s="5">
        <f t="shared" si="10"/>
        <v>77</v>
      </c>
      <c r="AB14" s="3">
        <f t="shared" si="11"/>
        <v>4.788557213930348E-2</v>
      </c>
    </row>
    <row r="15" spans="2:28" ht="18">
      <c r="B15" s="41">
        <v>16</v>
      </c>
      <c r="C15" s="41">
        <v>71</v>
      </c>
      <c r="D15" s="41">
        <v>1</v>
      </c>
      <c r="E15" s="41">
        <v>2</v>
      </c>
      <c r="F15" s="41">
        <v>4</v>
      </c>
      <c r="G15" s="149">
        <v>1</v>
      </c>
      <c r="H15" s="46">
        <v>0</v>
      </c>
      <c r="N15" s="21">
        <v>1</v>
      </c>
      <c r="O15" s="6">
        <v>0.41666666666666702</v>
      </c>
      <c r="P15" s="2">
        <v>6</v>
      </c>
      <c r="Q15" s="4">
        <f t="shared" si="0"/>
        <v>130</v>
      </c>
      <c r="R15" s="5">
        <f t="shared" si="4"/>
        <v>937</v>
      </c>
      <c r="S15" s="10">
        <f t="shared" si="5"/>
        <v>0.49893503727369543</v>
      </c>
      <c r="T15" s="4">
        <f t="shared" si="1"/>
        <v>70</v>
      </c>
      <c r="U15" s="5">
        <f t="shared" si="6"/>
        <v>445</v>
      </c>
      <c r="V15" s="10">
        <f t="shared" si="7"/>
        <v>0.23695420660276889</v>
      </c>
      <c r="W15" s="4">
        <f t="shared" si="2"/>
        <v>63</v>
      </c>
      <c r="X15" s="5">
        <f t="shared" si="8"/>
        <v>412</v>
      </c>
      <c r="Y15" s="10">
        <f t="shared" si="9"/>
        <v>0.21938232161874335</v>
      </c>
      <c r="Z15" s="4">
        <f t="shared" si="3"/>
        <v>7</v>
      </c>
      <c r="AA15" s="5">
        <f t="shared" si="10"/>
        <v>84</v>
      </c>
      <c r="AB15" s="3">
        <f t="shared" si="11"/>
        <v>4.472843450479233E-2</v>
      </c>
    </row>
    <row r="16" spans="2:28" ht="18">
      <c r="B16" s="41">
        <v>16</v>
      </c>
      <c r="C16" s="41">
        <v>73</v>
      </c>
      <c r="D16" s="41">
        <v>1</v>
      </c>
      <c r="E16" s="41">
        <v>3</v>
      </c>
      <c r="F16" s="41">
        <v>3</v>
      </c>
      <c r="G16" s="149">
        <v>4</v>
      </c>
      <c r="H16" s="46">
        <v>1</v>
      </c>
      <c r="N16" s="21">
        <v>1</v>
      </c>
      <c r="O16" s="6">
        <v>0.4375</v>
      </c>
      <c r="P16" s="2">
        <v>7</v>
      </c>
      <c r="Q16" s="4">
        <f t="shared" si="0"/>
        <v>123</v>
      </c>
      <c r="R16" s="5">
        <f t="shared" si="4"/>
        <v>1060</v>
      </c>
      <c r="S16" s="10">
        <f t="shared" si="5"/>
        <v>0.49812030075187969</v>
      </c>
      <c r="T16" s="4">
        <f t="shared" si="1"/>
        <v>65</v>
      </c>
      <c r="U16" s="5">
        <f t="shared" si="6"/>
        <v>510</v>
      </c>
      <c r="V16" s="10">
        <f t="shared" si="7"/>
        <v>0.23966165413533835</v>
      </c>
      <c r="W16" s="4">
        <f t="shared" si="2"/>
        <v>49</v>
      </c>
      <c r="X16" s="5">
        <f t="shared" si="8"/>
        <v>461</v>
      </c>
      <c r="Y16" s="10">
        <f t="shared" si="9"/>
        <v>0.21663533834586465</v>
      </c>
      <c r="Z16" s="4">
        <f t="shared" si="3"/>
        <v>13</v>
      </c>
      <c r="AA16" s="5">
        <f t="shared" si="10"/>
        <v>97</v>
      </c>
      <c r="AB16" s="3">
        <f t="shared" si="11"/>
        <v>4.5582706766917294E-2</v>
      </c>
    </row>
    <row r="17" spans="2:28" ht="18">
      <c r="B17" s="41">
        <v>16</v>
      </c>
      <c r="C17" s="41">
        <v>70</v>
      </c>
      <c r="D17" s="41">
        <v>1</v>
      </c>
      <c r="E17" s="41">
        <v>2</v>
      </c>
      <c r="F17" s="41">
        <v>8</v>
      </c>
      <c r="G17" s="149">
        <v>0</v>
      </c>
      <c r="H17" s="46">
        <v>0</v>
      </c>
      <c r="N17" s="21">
        <v>1</v>
      </c>
      <c r="O17" s="6">
        <v>0.45833333333333298</v>
      </c>
      <c r="P17" s="2">
        <v>8</v>
      </c>
      <c r="Q17" s="4">
        <f t="shared" si="0"/>
        <v>144</v>
      </c>
      <c r="R17" s="5">
        <f t="shared" si="4"/>
        <v>1204</v>
      </c>
      <c r="S17" s="10">
        <f t="shared" si="5"/>
        <v>0.48903330625507718</v>
      </c>
      <c r="T17" s="4">
        <f t="shared" si="1"/>
        <v>95</v>
      </c>
      <c r="U17" s="5">
        <f t="shared" si="6"/>
        <v>605</v>
      </c>
      <c r="V17" s="10">
        <f t="shared" si="7"/>
        <v>0.24573517465475223</v>
      </c>
      <c r="W17" s="4">
        <f t="shared" si="2"/>
        <v>86</v>
      </c>
      <c r="X17" s="5">
        <f t="shared" si="8"/>
        <v>547</v>
      </c>
      <c r="Y17" s="10">
        <f t="shared" si="9"/>
        <v>0.22217709179528838</v>
      </c>
      <c r="Z17" s="4">
        <f t="shared" si="3"/>
        <v>9</v>
      </c>
      <c r="AA17" s="5">
        <f t="shared" si="10"/>
        <v>106</v>
      </c>
      <c r="AB17" s="3">
        <f t="shared" si="11"/>
        <v>4.3054427294882208E-2</v>
      </c>
    </row>
    <row r="18" spans="2:28" ht="18">
      <c r="B18" s="41">
        <v>16</v>
      </c>
      <c r="C18" s="41">
        <v>72</v>
      </c>
      <c r="D18" s="41">
        <v>1</v>
      </c>
      <c r="E18" s="41">
        <v>3</v>
      </c>
      <c r="F18" s="41">
        <v>3</v>
      </c>
      <c r="G18" s="149">
        <v>2</v>
      </c>
      <c r="H18" s="46">
        <v>0</v>
      </c>
      <c r="N18" s="21">
        <v>1</v>
      </c>
      <c r="O18" s="6">
        <v>0.47916666666666702</v>
      </c>
      <c r="P18" s="2">
        <v>9</v>
      </c>
      <c r="Q18" s="4">
        <f t="shared" si="0"/>
        <v>121</v>
      </c>
      <c r="R18" s="5">
        <f t="shared" si="4"/>
        <v>1325</v>
      </c>
      <c r="S18" s="10">
        <f t="shared" si="5"/>
        <v>0.48588192152548587</v>
      </c>
      <c r="T18" s="4">
        <f t="shared" si="1"/>
        <v>68</v>
      </c>
      <c r="U18" s="5">
        <f t="shared" si="6"/>
        <v>673</v>
      </c>
      <c r="V18" s="10">
        <f t="shared" si="7"/>
        <v>0.24679134580124679</v>
      </c>
      <c r="W18" s="4">
        <f t="shared" si="2"/>
        <v>66</v>
      </c>
      <c r="X18" s="5">
        <f t="shared" si="8"/>
        <v>613</v>
      </c>
      <c r="Y18" s="10">
        <f t="shared" si="9"/>
        <v>0.22478914558122479</v>
      </c>
      <c r="Z18" s="4">
        <f t="shared" si="3"/>
        <v>10</v>
      </c>
      <c r="AA18" s="5">
        <f t="shared" si="10"/>
        <v>116</v>
      </c>
      <c r="AB18" s="3">
        <f t="shared" si="11"/>
        <v>4.2537587092042535E-2</v>
      </c>
    </row>
    <row r="19" spans="2:28" ht="18">
      <c r="B19" s="41">
        <v>16</v>
      </c>
      <c r="C19" s="41">
        <v>82</v>
      </c>
      <c r="D19" s="41">
        <v>1</v>
      </c>
      <c r="E19" s="41">
        <v>6</v>
      </c>
      <c r="F19" s="41">
        <v>6</v>
      </c>
      <c r="G19" s="149">
        <v>1</v>
      </c>
      <c r="H19" s="46">
        <v>0</v>
      </c>
      <c r="N19" s="21">
        <v>1</v>
      </c>
      <c r="O19" s="6">
        <v>0.5</v>
      </c>
      <c r="P19" s="2">
        <v>10</v>
      </c>
      <c r="Q19" s="4">
        <f t="shared" si="0"/>
        <v>88</v>
      </c>
      <c r="R19" s="5">
        <f t="shared" si="4"/>
        <v>1413</v>
      </c>
      <c r="S19" s="10">
        <f t="shared" si="5"/>
        <v>0.47720364741641336</v>
      </c>
      <c r="T19" s="4">
        <f t="shared" si="1"/>
        <v>65</v>
      </c>
      <c r="U19" s="5">
        <f t="shared" si="6"/>
        <v>738</v>
      </c>
      <c r="V19" s="10">
        <f t="shared" si="7"/>
        <v>0.24924012158054712</v>
      </c>
      <c r="W19" s="4">
        <f t="shared" si="2"/>
        <v>72</v>
      </c>
      <c r="X19" s="5">
        <f t="shared" si="8"/>
        <v>685</v>
      </c>
      <c r="Y19" s="10">
        <f t="shared" si="9"/>
        <v>0.23134076325565686</v>
      </c>
      <c r="Z19" s="4">
        <f t="shared" si="3"/>
        <v>9</v>
      </c>
      <c r="AA19" s="5">
        <f t="shared" si="10"/>
        <v>125</v>
      </c>
      <c r="AB19" s="3">
        <f t="shared" si="11"/>
        <v>4.2215467747382641E-2</v>
      </c>
    </row>
    <row r="20" spans="2:28" ht="18">
      <c r="B20" s="41">
        <v>16</v>
      </c>
      <c r="C20" s="41">
        <v>69</v>
      </c>
      <c r="D20" s="41">
        <v>1</v>
      </c>
      <c r="E20" s="41">
        <v>15</v>
      </c>
      <c r="F20" s="41">
        <v>7</v>
      </c>
      <c r="G20" s="149">
        <v>10</v>
      </c>
      <c r="H20" s="46">
        <v>3</v>
      </c>
      <c r="N20" s="21">
        <v>1</v>
      </c>
      <c r="O20" s="6">
        <v>0.52083333333333304</v>
      </c>
      <c r="P20" s="2">
        <v>11</v>
      </c>
      <c r="Q20" s="4">
        <f t="shared" si="0"/>
        <v>99</v>
      </c>
      <c r="R20" s="5">
        <f t="shared" si="4"/>
        <v>1512</v>
      </c>
      <c r="S20" s="10">
        <f t="shared" si="5"/>
        <v>0.46767708011135167</v>
      </c>
      <c r="T20" s="4">
        <f t="shared" si="1"/>
        <v>90</v>
      </c>
      <c r="U20" s="5">
        <f t="shared" si="6"/>
        <v>828</v>
      </c>
      <c r="V20" s="10">
        <f t="shared" si="7"/>
        <v>0.25610887720383546</v>
      </c>
      <c r="W20" s="4">
        <f t="shared" si="2"/>
        <v>74</v>
      </c>
      <c r="X20" s="5">
        <f t="shared" si="8"/>
        <v>759</v>
      </c>
      <c r="Y20" s="10">
        <f t="shared" si="9"/>
        <v>0.23476647077018251</v>
      </c>
      <c r="Z20" s="4">
        <f t="shared" si="3"/>
        <v>9</v>
      </c>
      <c r="AA20" s="5">
        <f t="shared" si="10"/>
        <v>134</v>
      </c>
      <c r="AB20" s="3">
        <f t="shared" si="11"/>
        <v>4.1447571914630374E-2</v>
      </c>
    </row>
    <row r="21" spans="2:28" ht="18">
      <c r="B21" s="41">
        <v>16</v>
      </c>
      <c r="C21" s="41">
        <v>74</v>
      </c>
      <c r="D21" s="41">
        <v>1</v>
      </c>
      <c r="E21" s="41">
        <v>26</v>
      </c>
      <c r="F21" s="41">
        <v>17</v>
      </c>
      <c r="G21" s="149">
        <v>3</v>
      </c>
      <c r="H21" s="46">
        <v>4</v>
      </c>
      <c r="N21" s="21">
        <v>1</v>
      </c>
      <c r="O21" s="6">
        <v>4.1666666666666664E-2</v>
      </c>
      <c r="P21" s="2">
        <v>12</v>
      </c>
      <c r="Q21" s="4">
        <f t="shared" si="0"/>
        <v>34</v>
      </c>
      <c r="R21" s="5">
        <f t="shared" si="4"/>
        <v>1546</v>
      </c>
      <c r="S21" s="10">
        <f t="shared" si="5"/>
        <v>0.46580295269659538</v>
      </c>
      <c r="T21" s="4">
        <f t="shared" si="1"/>
        <v>34</v>
      </c>
      <c r="U21" s="5">
        <f t="shared" si="6"/>
        <v>862</v>
      </c>
      <c r="V21" s="10">
        <f t="shared" si="7"/>
        <v>0.25971678216330218</v>
      </c>
      <c r="W21" s="4">
        <f t="shared" si="2"/>
        <v>14</v>
      </c>
      <c r="X21" s="5">
        <f t="shared" si="8"/>
        <v>773</v>
      </c>
      <c r="Y21" s="10">
        <f t="shared" si="9"/>
        <v>0.23290147634829769</v>
      </c>
      <c r="Z21" s="4">
        <f t="shared" si="3"/>
        <v>4</v>
      </c>
      <c r="AA21" s="5">
        <f t="shared" si="10"/>
        <v>138</v>
      </c>
      <c r="AB21" s="3">
        <f t="shared" si="11"/>
        <v>4.1578788791804759E-2</v>
      </c>
    </row>
    <row r="22" spans="2:28" ht="18">
      <c r="B22" s="41">
        <v>16</v>
      </c>
      <c r="C22" s="41">
        <v>81</v>
      </c>
      <c r="D22" s="41">
        <v>1</v>
      </c>
      <c r="E22" s="41">
        <v>5</v>
      </c>
      <c r="F22" s="41">
        <v>3</v>
      </c>
      <c r="G22" s="149">
        <v>7</v>
      </c>
      <c r="H22" s="46">
        <v>2</v>
      </c>
      <c r="N22" s="21">
        <v>1</v>
      </c>
      <c r="O22" s="6">
        <v>6.25E-2</v>
      </c>
      <c r="P22" s="2">
        <v>13</v>
      </c>
      <c r="Q22" s="4">
        <f t="shared" si="0"/>
        <v>13</v>
      </c>
      <c r="R22" s="5">
        <f t="shared" si="4"/>
        <v>1559</v>
      </c>
      <c r="S22" s="10">
        <f t="shared" si="5"/>
        <v>0.46398809523809526</v>
      </c>
      <c r="T22" s="4">
        <f t="shared" si="1"/>
        <v>22</v>
      </c>
      <c r="U22" s="5">
        <f t="shared" si="6"/>
        <v>884</v>
      </c>
      <c r="V22" s="10">
        <f t="shared" si="7"/>
        <v>0.2630952380952381</v>
      </c>
      <c r="W22" s="4">
        <f t="shared" si="2"/>
        <v>5</v>
      </c>
      <c r="X22" s="5">
        <f t="shared" si="8"/>
        <v>778</v>
      </c>
      <c r="Y22" s="10">
        <f t="shared" si="9"/>
        <v>0.23154761904761906</v>
      </c>
      <c r="Z22" s="4">
        <f t="shared" si="3"/>
        <v>1</v>
      </c>
      <c r="AA22" s="5">
        <f t="shared" si="10"/>
        <v>139</v>
      </c>
      <c r="AB22" s="3">
        <f t="shared" si="11"/>
        <v>4.1369047619047618E-2</v>
      </c>
    </row>
    <row r="23" spans="2:28" ht="18">
      <c r="B23" s="41">
        <v>16</v>
      </c>
      <c r="C23" s="41">
        <v>78</v>
      </c>
      <c r="D23" s="41">
        <v>2</v>
      </c>
      <c r="E23" s="41">
        <v>9</v>
      </c>
      <c r="F23" s="41">
        <v>5</v>
      </c>
      <c r="G23" s="149">
        <v>1</v>
      </c>
      <c r="H23" s="46">
        <v>0</v>
      </c>
      <c r="N23" s="21">
        <v>1</v>
      </c>
      <c r="O23" s="6">
        <v>8.3333333333333329E-2</v>
      </c>
      <c r="P23" s="2">
        <v>14</v>
      </c>
      <c r="Q23" s="4">
        <f t="shared" si="0"/>
        <v>7</v>
      </c>
      <c r="R23" s="5">
        <f t="shared" si="4"/>
        <v>1566</v>
      </c>
      <c r="S23" s="10">
        <f t="shared" si="5"/>
        <v>0.46345072506658774</v>
      </c>
      <c r="T23" s="4">
        <f t="shared" si="1"/>
        <v>8</v>
      </c>
      <c r="U23" s="5">
        <f t="shared" si="6"/>
        <v>892</v>
      </c>
      <c r="V23" s="10">
        <f t="shared" si="7"/>
        <v>0.2639834270494229</v>
      </c>
      <c r="W23" s="4">
        <f t="shared" si="2"/>
        <v>4</v>
      </c>
      <c r="X23" s="5">
        <f t="shared" si="8"/>
        <v>782</v>
      </c>
      <c r="Y23" s="10">
        <f t="shared" si="9"/>
        <v>0.23142941698727434</v>
      </c>
      <c r="Z23" s="4">
        <f t="shared" si="3"/>
        <v>0</v>
      </c>
      <c r="AA23" s="5">
        <f t="shared" si="10"/>
        <v>139</v>
      </c>
      <c r="AB23" s="3" t="e">
        <f t="shared" si="11"/>
        <v>#N/A</v>
      </c>
    </row>
    <row r="24" spans="2:28" ht="18">
      <c r="B24" s="41">
        <v>16</v>
      </c>
      <c r="C24" s="41">
        <v>76</v>
      </c>
      <c r="D24" s="41">
        <v>2</v>
      </c>
      <c r="E24" s="41">
        <v>3</v>
      </c>
      <c r="F24" s="41">
        <v>8</v>
      </c>
      <c r="G24" s="149">
        <v>0</v>
      </c>
      <c r="H24" s="46">
        <v>0</v>
      </c>
      <c r="N24" s="21">
        <v>1</v>
      </c>
      <c r="O24" s="6">
        <v>0.104166666666667</v>
      </c>
      <c r="P24" s="2">
        <v>15</v>
      </c>
      <c r="Q24" s="4">
        <f t="shared" si="0"/>
        <v>0</v>
      </c>
      <c r="R24" s="5">
        <f t="shared" si="4"/>
        <v>1566</v>
      </c>
      <c r="S24" s="10" t="e">
        <f t="shared" si="5"/>
        <v>#N/A</v>
      </c>
      <c r="T24" s="4">
        <f t="shared" si="1"/>
        <v>0</v>
      </c>
      <c r="U24" s="5">
        <f t="shared" si="6"/>
        <v>892</v>
      </c>
      <c r="V24" s="10" t="e">
        <f t="shared" si="7"/>
        <v>#N/A</v>
      </c>
      <c r="W24" s="4">
        <f t="shared" si="2"/>
        <v>0</v>
      </c>
      <c r="X24" s="5">
        <f t="shared" si="8"/>
        <v>782</v>
      </c>
      <c r="Y24" s="10" t="e">
        <f t="shared" si="9"/>
        <v>#N/A</v>
      </c>
      <c r="Z24" s="4">
        <f t="shared" si="3"/>
        <v>0</v>
      </c>
      <c r="AA24" s="5">
        <f t="shared" si="10"/>
        <v>139</v>
      </c>
      <c r="AB24" s="3" t="e">
        <f t="shared" si="11"/>
        <v>#N/A</v>
      </c>
    </row>
    <row r="25" spans="2:28" ht="18">
      <c r="B25" s="41">
        <v>16</v>
      </c>
      <c r="C25" s="41">
        <v>77</v>
      </c>
      <c r="D25" s="41">
        <v>2</v>
      </c>
      <c r="E25" s="41">
        <v>17</v>
      </c>
      <c r="F25" s="41">
        <v>0</v>
      </c>
      <c r="G25" s="149">
        <v>6</v>
      </c>
      <c r="H25" s="46">
        <v>3</v>
      </c>
      <c r="N25" s="21">
        <v>1</v>
      </c>
      <c r="O25" s="6">
        <v>0.125</v>
      </c>
      <c r="P25" s="2">
        <v>16</v>
      </c>
      <c r="Q25" s="4">
        <f t="shared" si="0"/>
        <v>0</v>
      </c>
      <c r="R25" s="5">
        <f t="shared" si="4"/>
        <v>1566</v>
      </c>
      <c r="S25" s="10" t="e">
        <f t="shared" si="5"/>
        <v>#N/A</v>
      </c>
      <c r="T25" s="4">
        <f t="shared" si="1"/>
        <v>0</v>
      </c>
      <c r="U25" s="5">
        <f t="shared" si="6"/>
        <v>892</v>
      </c>
      <c r="V25" s="10" t="e">
        <f t="shared" si="7"/>
        <v>#N/A</v>
      </c>
      <c r="W25" s="4">
        <f t="shared" si="2"/>
        <v>0</v>
      </c>
      <c r="X25" s="5">
        <f t="shared" si="8"/>
        <v>782</v>
      </c>
      <c r="Y25" s="10" t="e">
        <f t="shared" si="9"/>
        <v>#N/A</v>
      </c>
      <c r="Z25" s="4">
        <f t="shared" si="3"/>
        <v>0</v>
      </c>
      <c r="AA25" s="5">
        <f t="shared" si="10"/>
        <v>139</v>
      </c>
      <c r="AB25" s="3" t="e">
        <f t="shared" si="11"/>
        <v>#N/A</v>
      </c>
    </row>
    <row r="26" spans="2:28" ht="18">
      <c r="B26" s="41">
        <v>16</v>
      </c>
      <c r="C26" s="41">
        <v>78</v>
      </c>
      <c r="D26" s="41">
        <v>1</v>
      </c>
      <c r="E26" s="41">
        <v>22</v>
      </c>
      <c r="F26" s="41">
        <v>15</v>
      </c>
      <c r="G26" s="149">
        <v>3</v>
      </c>
      <c r="H26" s="46">
        <v>0</v>
      </c>
      <c r="N26" s="21">
        <v>1</v>
      </c>
      <c r="O26" s="6">
        <v>0.14583333333333301</v>
      </c>
      <c r="P26" s="2">
        <v>17</v>
      </c>
      <c r="Q26" s="4">
        <f t="shared" si="0"/>
        <v>0</v>
      </c>
      <c r="R26" s="5">
        <f t="shared" si="4"/>
        <v>1566</v>
      </c>
      <c r="S26" s="10" t="e">
        <f t="shared" si="5"/>
        <v>#N/A</v>
      </c>
      <c r="T26" s="4">
        <f t="shared" si="1"/>
        <v>0</v>
      </c>
      <c r="U26" s="5">
        <f t="shared" si="6"/>
        <v>892</v>
      </c>
      <c r="V26" s="10" t="e">
        <f t="shared" si="7"/>
        <v>#N/A</v>
      </c>
      <c r="W26" s="4">
        <f t="shared" si="2"/>
        <v>0</v>
      </c>
      <c r="X26" s="5">
        <f t="shared" si="8"/>
        <v>782</v>
      </c>
      <c r="Y26" s="10" t="e">
        <f t="shared" si="9"/>
        <v>#N/A</v>
      </c>
      <c r="Z26" s="4">
        <f t="shared" si="3"/>
        <v>0</v>
      </c>
      <c r="AA26" s="5">
        <f t="shared" si="10"/>
        <v>139</v>
      </c>
      <c r="AB26" s="3" t="e">
        <f t="shared" si="11"/>
        <v>#N/A</v>
      </c>
    </row>
    <row r="27" spans="2:28" ht="18">
      <c r="B27" s="41">
        <v>16</v>
      </c>
      <c r="C27" s="41">
        <v>81</v>
      </c>
      <c r="D27" s="41">
        <v>1</v>
      </c>
      <c r="E27" s="41">
        <v>12</v>
      </c>
      <c r="F27" s="41">
        <v>0</v>
      </c>
      <c r="G27" s="149">
        <v>2</v>
      </c>
      <c r="H27" s="46">
        <v>0</v>
      </c>
      <c r="N27" s="21">
        <v>1</v>
      </c>
      <c r="O27" s="6">
        <v>0.16666666666666599</v>
      </c>
      <c r="P27" s="2">
        <v>18</v>
      </c>
      <c r="Q27" s="4">
        <f t="shared" si="0"/>
        <v>0</v>
      </c>
      <c r="R27" s="5">
        <f t="shared" si="4"/>
        <v>1566</v>
      </c>
      <c r="S27" s="10" t="e">
        <f t="shared" si="5"/>
        <v>#N/A</v>
      </c>
      <c r="T27" s="4">
        <f t="shared" si="1"/>
        <v>0</v>
      </c>
      <c r="U27" s="5">
        <f t="shared" si="6"/>
        <v>892</v>
      </c>
      <c r="V27" s="10" t="e">
        <f t="shared" si="7"/>
        <v>#N/A</v>
      </c>
      <c r="W27" s="4">
        <f t="shared" si="2"/>
        <v>0</v>
      </c>
      <c r="X27" s="5">
        <f t="shared" si="8"/>
        <v>782</v>
      </c>
      <c r="Y27" s="10" t="e">
        <f t="shared" si="9"/>
        <v>#N/A</v>
      </c>
      <c r="Z27" s="4">
        <f t="shared" si="3"/>
        <v>0</v>
      </c>
      <c r="AA27" s="5">
        <f t="shared" si="10"/>
        <v>139</v>
      </c>
      <c r="AB27" s="3" t="e">
        <f t="shared" si="11"/>
        <v>#N/A</v>
      </c>
    </row>
    <row r="28" spans="2:28" ht="18">
      <c r="B28" s="41">
        <v>16</v>
      </c>
      <c r="C28" s="41">
        <v>77</v>
      </c>
      <c r="D28" s="41">
        <v>3</v>
      </c>
      <c r="E28" s="41">
        <v>25</v>
      </c>
      <c r="F28" s="41">
        <v>0</v>
      </c>
      <c r="G28" s="149">
        <v>0</v>
      </c>
      <c r="H28" s="46">
        <v>0</v>
      </c>
      <c r="N28" s="21">
        <v>1</v>
      </c>
      <c r="O28" s="6">
        <v>0.187499999999999</v>
      </c>
      <c r="P28" s="2">
        <v>19</v>
      </c>
      <c r="Q28" s="4">
        <f t="shared" si="0"/>
        <v>0</v>
      </c>
      <c r="R28" s="5">
        <f t="shared" si="4"/>
        <v>1566</v>
      </c>
      <c r="S28" s="10" t="e">
        <f t="shared" si="5"/>
        <v>#N/A</v>
      </c>
      <c r="T28" s="4">
        <f t="shared" si="1"/>
        <v>0</v>
      </c>
      <c r="U28" s="5">
        <f t="shared" si="6"/>
        <v>892</v>
      </c>
      <c r="V28" s="10" t="e">
        <f t="shared" si="7"/>
        <v>#N/A</v>
      </c>
      <c r="W28" s="4">
        <f t="shared" si="2"/>
        <v>0</v>
      </c>
      <c r="X28" s="5">
        <f t="shared" si="8"/>
        <v>782</v>
      </c>
      <c r="Y28" s="10" t="e">
        <f t="shared" si="9"/>
        <v>#N/A</v>
      </c>
      <c r="Z28" s="4">
        <f t="shared" si="3"/>
        <v>0</v>
      </c>
      <c r="AA28" s="5">
        <f t="shared" si="10"/>
        <v>139</v>
      </c>
      <c r="AB28" s="3" t="e">
        <f t="shared" si="11"/>
        <v>#N/A</v>
      </c>
    </row>
    <row r="29" spans="2:28" ht="18.75" thickBot="1">
      <c r="B29" s="41">
        <v>16</v>
      </c>
      <c r="C29" s="41">
        <v>81</v>
      </c>
      <c r="D29" s="41">
        <v>3</v>
      </c>
      <c r="E29" s="41">
        <v>7</v>
      </c>
      <c r="F29" s="41">
        <v>4</v>
      </c>
      <c r="G29" s="149">
        <v>8</v>
      </c>
      <c r="H29" s="46">
        <v>3</v>
      </c>
      <c r="N29" s="21">
        <v>1</v>
      </c>
      <c r="O29" s="6">
        <v>0.20833333333333201</v>
      </c>
      <c r="P29" s="2">
        <v>20</v>
      </c>
      <c r="Q29" s="7">
        <f t="shared" si="0"/>
        <v>0</v>
      </c>
      <c r="R29" s="8">
        <f t="shared" si="4"/>
        <v>1566</v>
      </c>
      <c r="S29" s="11" t="e">
        <f t="shared" si="5"/>
        <v>#N/A</v>
      </c>
      <c r="T29" s="7">
        <f t="shared" si="1"/>
        <v>0</v>
      </c>
      <c r="U29" s="8">
        <f t="shared" si="6"/>
        <v>892</v>
      </c>
      <c r="V29" s="11" t="e">
        <f t="shared" si="7"/>
        <v>#N/A</v>
      </c>
      <c r="W29" s="7">
        <f t="shared" si="2"/>
        <v>0</v>
      </c>
      <c r="X29" s="8">
        <f t="shared" si="8"/>
        <v>782</v>
      </c>
      <c r="Y29" s="11" t="e">
        <f t="shared" si="9"/>
        <v>#N/A</v>
      </c>
      <c r="Z29" s="7">
        <f t="shared" si="3"/>
        <v>0</v>
      </c>
      <c r="AA29" s="8">
        <f t="shared" si="10"/>
        <v>139</v>
      </c>
      <c r="AB29" s="9" t="e">
        <f t="shared" si="11"/>
        <v>#N/A</v>
      </c>
    </row>
    <row r="30" spans="2:28" ht="18">
      <c r="B30" s="41">
        <v>16</v>
      </c>
      <c r="C30" s="41">
        <v>76</v>
      </c>
      <c r="D30" s="41">
        <v>3</v>
      </c>
      <c r="E30" s="41">
        <v>3</v>
      </c>
      <c r="F30" s="41">
        <v>8</v>
      </c>
      <c r="G30" s="149">
        <v>0</v>
      </c>
      <c r="H30" s="46">
        <v>0</v>
      </c>
      <c r="N30" s="21">
        <v>1</v>
      </c>
    </row>
    <row r="31" spans="2:28" ht="18">
      <c r="B31" s="41">
        <v>16</v>
      </c>
      <c r="C31" s="41">
        <v>72</v>
      </c>
      <c r="D31" s="41">
        <v>2</v>
      </c>
      <c r="E31" s="41">
        <v>7</v>
      </c>
      <c r="F31" s="41">
        <v>1</v>
      </c>
      <c r="G31" s="149">
        <v>3</v>
      </c>
      <c r="H31" s="46">
        <v>0</v>
      </c>
      <c r="N31" s="21">
        <v>1</v>
      </c>
    </row>
    <row r="32" spans="2:28" ht="18">
      <c r="B32" s="41">
        <v>16</v>
      </c>
      <c r="C32" s="41">
        <v>82</v>
      </c>
      <c r="D32" s="41">
        <v>2</v>
      </c>
      <c r="E32" s="41">
        <v>7</v>
      </c>
      <c r="F32" s="41">
        <v>3</v>
      </c>
      <c r="G32" s="149">
        <v>2</v>
      </c>
      <c r="H32" s="46">
        <v>0</v>
      </c>
      <c r="N32" s="21">
        <v>1</v>
      </c>
      <c r="P32" s="21">
        <v>65</v>
      </c>
    </row>
    <row r="33" spans="2:16" ht="18">
      <c r="B33" s="41">
        <v>16</v>
      </c>
      <c r="C33" s="41">
        <v>69</v>
      </c>
      <c r="D33" s="41">
        <v>2</v>
      </c>
      <c r="E33" s="41">
        <v>15</v>
      </c>
      <c r="F33" s="41">
        <v>7</v>
      </c>
      <c r="G33" s="149">
        <v>10</v>
      </c>
      <c r="H33" s="46">
        <v>3</v>
      </c>
      <c r="N33" s="21">
        <v>1</v>
      </c>
      <c r="P33" s="21">
        <v>66</v>
      </c>
    </row>
    <row r="34" spans="2:16" ht="18">
      <c r="B34" s="41">
        <v>16</v>
      </c>
      <c r="C34" s="41">
        <v>74</v>
      </c>
      <c r="D34" s="41">
        <v>2</v>
      </c>
      <c r="E34" s="41">
        <v>12</v>
      </c>
      <c r="F34" s="41">
        <v>12</v>
      </c>
      <c r="G34" s="149">
        <v>1</v>
      </c>
      <c r="H34" s="46">
        <v>0</v>
      </c>
      <c r="N34" s="21">
        <v>1</v>
      </c>
      <c r="P34" s="21">
        <v>67</v>
      </c>
    </row>
    <row r="35" spans="2:16" ht="18">
      <c r="B35" s="41">
        <v>16</v>
      </c>
      <c r="C35" s="41">
        <v>74</v>
      </c>
      <c r="D35" s="41">
        <v>3</v>
      </c>
      <c r="E35" s="41">
        <v>12</v>
      </c>
      <c r="F35" s="41">
        <v>2</v>
      </c>
      <c r="G35" s="149">
        <v>0</v>
      </c>
      <c r="H35" s="46">
        <v>1</v>
      </c>
      <c r="N35" s="21">
        <v>1</v>
      </c>
      <c r="P35" s="21">
        <v>68</v>
      </c>
    </row>
    <row r="36" spans="2:16" ht="18">
      <c r="B36" s="41">
        <v>16</v>
      </c>
      <c r="C36" s="41">
        <v>74</v>
      </c>
      <c r="D36" s="41">
        <v>4</v>
      </c>
      <c r="E36" s="41">
        <v>4</v>
      </c>
      <c r="F36" s="41">
        <v>1</v>
      </c>
      <c r="G36" s="149">
        <v>0</v>
      </c>
      <c r="H36" s="46">
        <v>0</v>
      </c>
      <c r="N36" s="21">
        <v>1</v>
      </c>
      <c r="P36" s="21">
        <v>69</v>
      </c>
    </row>
    <row r="37" spans="2:16" ht="18">
      <c r="B37" s="41">
        <v>16</v>
      </c>
      <c r="C37" s="41">
        <v>70</v>
      </c>
      <c r="D37" s="41">
        <v>2</v>
      </c>
      <c r="E37" s="41">
        <v>1</v>
      </c>
      <c r="F37" s="41">
        <v>3</v>
      </c>
      <c r="G37" s="149">
        <v>3</v>
      </c>
      <c r="H37" s="46">
        <v>0</v>
      </c>
      <c r="N37" s="21">
        <v>1</v>
      </c>
      <c r="P37" s="21">
        <v>70</v>
      </c>
    </row>
    <row r="38" spans="2:16" ht="18">
      <c r="B38" s="41">
        <v>16</v>
      </c>
      <c r="C38" s="41">
        <v>78</v>
      </c>
      <c r="D38" s="41">
        <v>3</v>
      </c>
      <c r="E38" s="41">
        <v>12</v>
      </c>
      <c r="F38" s="41">
        <v>2</v>
      </c>
      <c r="G38" s="149">
        <v>2</v>
      </c>
      <c r="H38" s="46">
        <v>0</v>
      </c>
      <c r="N38" s="21">
        <v>1</v>
      </c>
      <c r="P38" s="21">
        <v>71</v>
      </c>
    </row>
    <row r="39" spans="2:16" ht="18">
      <c r="B39" s="41">
        <v>16</v>
      </c>
      <c r="C39" s="41">
        <v>70</v>
      </c>
      <c r="D39" s="41">
        <v>3</v>
      </c>
      <c r="E39" s="41">
        <v>2</v>
      </c>
      <c r="F39" s="41">
        <v>8</v>
      </c>
      <c r="G39" s="149">
        <v>0</v>
      </c>
      <c r="H39" s="46">
        <v>0</v>
      </c>
      <c r="N39" s="21">
        <v>1</v>
      </c>
      <c r="P39" s="21">
        <v>72</v>
      </c>
    </row>
    <row r="40" spans="2:16" ht="18">
      <c r="B40" s="41">
        <v>16</v>
      </c>
      <c r="C40" s="41">
        <v>70</v>
      </c>
      <c r="D40" s="41">
        <v>4</v>
      </c>
      <c r="E40" s="41">
        <v>3</v>
      </c>
      <c r="F40" s="41">
        <v>2</v>
      </c>
      <c r="G40" s="149">
        <v>3</v>
      </c>
      <c r="H40" s="46">
        <v>0</v>
      </c>
      <c r="N40" s="21">
        <v>1</v>
      </c>
      <c r="P40" s="21">
        <v>73</v>
      </c>
    </row>
    <row r="41" spans="2:16" ht="18">
      <c r="B41" s="41">
        <v>16</v>
      </c>
      <c r="C41" s="41">
        <v>70</v>
      </c>
      <c r="D41" s="41">
        <v>5</v>
      </c>
      <c r="E41" s="41">
        <v>1</v>
      </c>
      <c r="F41" s="41">
        <v>3</v>
      </c>
      <c r="G41" s="149">
        <v>3</v>
      </c>
      <c r="H41" s="46">
        <v>0</v>
      </c>
      <c r="N41" s="21">
        <v>1</v>
      </c>
      <c r="P41" s="21">
        <v>74</v>
      </c>
    </row>
    <row r="42" spans="2:16" ht="18">
      <c r="B42" s="41">
        <v>16</v>
      </c>
      <c r="C42" s="41">
        <v>72</v>
      </c>
      <c r="D42" s="41">
        <v>4</v>
      </c>
      <c r="E42" s="41">
        <v>7</v>
      </c>
      <c r="F42" s="41">
        <v>1</v>
      </c>
      <c r="G42" s="149">
        <v>3</v>
      </c>
      <c r="H42" s="46">
        <v>0</v>
      </c>
      <c r="N42" s="21">
        <v>1</v>
      </c>
      <c r="P42" s="21">
        <v>75</v>
      </c>
    </row>
    <row r="43" spans="2:16" ht="18">
      <c r="B43" s="41">
        <v>16</v>
      </c>
      <c r="C43" s="41">
        <v>72</v>
      </c>
      <c r="D43" s="41">
        <v>5</v>
      </c>
      <c r="E43" s="41">
        <v>3</v>
      </c>
      <c r="F43" s="41">
        <v>3</v>
      </c>
      <c r="G43" s="149">
        <v>2</v>
      </c>
      <c r="H43" s="46">
        <v>0</v>
      </c>
      <c r="N43" s="21">
        <v>1</v>
      </c>
      <c r="P43" s="21">
        <v>76</v>
      </c>
    </row>
    <row r="44" spans="2:16" ht="18">
      <c r="B44" s="41">
        <v>16</v>
      </c>
      <c r="C44" s="41">
        <v>72</v>
      </c>
      <c r="D44" s="41">
        <v>3</v>
      </c>
      <c r="E44" s="41">
        <v>6</v>
      </c>
      <c r="F44" s="41">
        <v>0</v>
      </c>
      <c r="G44" s="149">
        <v>2</v>
      </c>
      <c r="H44" s="46">
        <v>0</v>
      </c>
      <c r="N44" s="21">
        <v>1</v>
      </c>
      <c r="P44" s="21">
        <v>77</v>
      </c>
    </row>
    <row r="45" spans="2:16" ht="18">
      <c r="B45" s="41">
        <v>16</v>
      </c>
      <c r="C45" s="41">
        <v>82</v>
      </c>
      <c r="D45" s="41">
        <v>3</v>
      </c>
      <c r="E45" s="41">
        <v>6</v>
      </c>
      <c r="F45" s="41">
        <v>6</v>
      </c>
      <c r="G45" s="149">
        <v>1</v>
      </c>
      <c r="H45" s="46">
        <v>0</v>
      </c>
      <c r="N45" s="21">
        <v>1</v>
      </c>
      <c r="P45" s="21">
        <v>78</v>
      </c>
    </row>
    <row r="46" spans="2:16" ht="18">
      <c r="B46" s="41">
        <v>16</v>
      </c>
      <c r="C46" s="41">
        <v>82</v>
      </c>
      <c r="D46" s="41">
        <v>4</v>
      </c>
      <c r="E46" s="41">
        <v>12</v>
      </c>
      <c r="F46" s="41">
        <v>3</v>
      </c>
      <c r="G46" s="149">
        <v>2</v>
      </c>
      <c r="H46" s="46">
        <v>0</v>
      </c>
      <c r="N46" s="21">
        <v>1</v>
      </c>
      <c r="P46" s="21">
        <v>79</v>
      </c>
    </row>
    <row r="47" spans="2:16" ht="18">
      <c r="B47" s="41">
        <v>16</v>
      </c>
      <c r="C47" s="41">
        <v>82</v>
      </c>
      <c r="D47" s="41">
        <v>5</v>
      </c>
      <c r="E47" s="41">
        <v>7</v>
      </c>
      <c r="F47" s="41">
        <v>4</v>
      </c>
      <c r="G47" s="149">
        <v>2</v>
      </c>
      <c r="H47" s="46">
        <v>0</v>
      </c>
      <c r="N47" s="21">
        <v>1</v>
      </c>
      <c r="P47" s="21">
        <v>80</v>
      </c>
    </row>
    <row r="48" spans="2:16" ht="18">
      <c r="B48" s="41">
        <v>16</v>
      </c>
      <c r="C48" s="41">
        <v>69</v>
      </c>
      <c r="D48" s="41">
        <v>3</v>
      </c>
      <c r="E48" s="41">
        <v>15</v>
      </c>
      <c r="F48" s="41">
        <v>7</v>
      </c>
      <c r="G48" s="149">
        <v>10</v>
      </c>
      <c r="H48" s="46">
        <v>3</v>
      </c>
      <c r="N48" s="21">
        <v>1</v>
      </c>
      <c r="P48" s="21">
        <v>81</v>
      </c>
    </row>
    <row r="49" spans="2:16" ht="18">
      <c r="B49" s="41">
        <v>16</v>
      </c>
      <c r="C49" s="41">
        <v>69</v>
      </c>
      <c r="D49" s="41">
        <v>4</v>
      </c>
      <c r="E49" s="41">
        <v>13</v>
      </c>
      <c r="F49" s="41">
        <v>6</v>
      </c>
      <c r="G49" s="149">
        <v>12</v>
      </c>
      <c r="H49" s="46">
        <v>1</v>
      </c>
      <c r="N49" s="21">
        <v>1</v>
      </c>
      <c r="P49" s="21">
        <v>82</v>
      </c>
    </row>
    <row r="50" spans="2:16" ht="18">
      <c r="B50" s="41">
        <v>16</v>
      </c>
      <c r="C50" s="41">
        <v>66</v>
      </c>
      <c r="D50" s="41">
        <v>2</v>
      </c>
      <c r="E50" s="41">
        <v>10</v>
      </c>
      <c r="F50" s="41">
        <v>3</v>
      </c>
      <c r="G50" s="149">
        <v>11</v>
      </c>
      <c r="H50" s="46">
        <v>0</v>
      </c>
      <c r="N50" s="21">
        <v>1</v>
      </c>
      <c r="P50" s="21">
        <v>83</v>
      </c>
    </row>
    <row r="51" spans="2:16" ht="18">
      <c r="B51" s="41">
        <v>16</v>
      </c>
      <c r="C51" s="41">
        <v>66</v>
      </c>
      <c r="D51" s="41">
        <v>3</v>
      </c>
      <c r="E51" s="41">
        <v>7</v>
      </c>
      <c r="F51" s="41">
        <v>7</v>
      </c>
      <c r="G51" s="149">
        <v>8</v>
      </c>
      <c r="H51" s="46">
        <v>0</v>
      </c>
      <c r="N51" s="21">
        <v>1</v>
      </c>
    </row>
    <row r="52" spans="2:16" ht="18">
      <c r="B52" s="41">
        <v>16</v>
      </c>
      <c r="C52" s="41">
        <v>71</v>
      </c>
      <c r="D52" s="41">
        <v>2</v>
      </c>
      <c r="E52" s="41">
        <v>2</v>
      </c>
      <c r="F52" s="41">
        <v>4</v>
      </c>
      <c r="G52" s="149">
        <v>1</v>
      </c>
      <c r="H52" s="46">
        <v>0</v>
      </c>
      <c r="N52" s="21">
        <v>1</v>
      </c>
    </row>
    <row r="53" spans="2:16" ht="18">
      <c r="B53" s="41">
        <v>16</v>
      </c>
      <c r="C53" s="41">
        <v>71</v>
      </c>
      <c r="D53" s="41">
        <v>3</v>
      </c>
      <c r="E53" s="41">
        <v>2</v>
      </c>
      <c r="F53" s="41">
        <v>4</v>
      </c>
      <c r="G53" s="149">
        <v>1</v>
      </c>
      <c r="H53" s="46">
        <v>0</v>
      </c>
      <c r="N53" s="21">
        <v>1</v>
      </c>
    </row>
    <row r="54" spans="2:16" ht="18">
      <c r="B54" s="41">
        <v>16</v>
      </c>
      <c r="C54" s="41">
        <v>71</v>
      </c>
      <c r="D54" s="41">
        <v>4</v>
      </c>
      <c r="E54" s="41">
        <v>1</v>
      </c>
      <c r="F54" s="41">
        <v>4</v>
      </c>
      <c r="G54" s="149">
        <v>0</v>
      </c>
      <c r="H54" s="46">
        <v>0</v>
      </c>
      <c r="N54" s="21">
        <v>1</v>
      </c>
    </row>
    <row r="55" spans="2:16" ht="18">
      <c r="B55" s="41">
        <v>16</v>
      </c>
      <c r="C55" s="41">
        <v>71</v>
      </c>
      <c r="D55" s="41">
        <v>5</v>
      </c>
      <c r="E55" s="41">
        <v>2</v>
      </c>
      <c r="F55" s="41">
        <v>6</v>
      </c>
      <c r="G55" s="149">
        <v>1</v>
      </c>
      <c r="H55" s="46">
        <v>0</v>
      </c>
      <c r="N55" s="21">
        <v>1</v>
      </c>
    </row>
    <row r="56" spans="2:16" ht="18">
      <c r="B56" s="41">
        <v>16</v>
      </c>
      <c r="C56" s="41">
        <v>66</v>
      </c>
      <c r="D56" s="41">
        <v>4</v>
      </c>
      <c r="E56" s="41">
        <v>13</v>
      </c>
      <c r="F56" s="41">
        <v>2</v>
      </c>
      <c r="G56" s="149">
        <v>6</v>
      </c>
      <c r="H56" s="46">
        <v>0</v>
      </c>
      <c r="N56" s="21">
        <v>1</v>
      </c>
    </row>
    <row r="57" spans="2:16" ht="18">
      <c r="B57" s="41">
        <v>16</v>
      </c>
      <c r="C57" s="41">
        <v>73</v>
      </c>
      <c r="D57" s="41">
        <v>5</v>
      </c>
      <c r="E57" s="41">
        <v>9</v>
      </c>
      <c r="F57" s="41">
        <v>5</v>
      </c>
      <c r="G57" s="149">
        <v>3</v>
      </c>
      <c r="H57" s="46">
        <v>1</v>
      </c>
      <c r="N57" s="21">
        <v>1</v>
      </c>
    </row>
    <row r="58" spans="2:16" ht="18">
      <c r="B58" s="41">
        <v>16</v>
      </c>
      <c r="C58" s="41">
        <v>73</v>
      </c>
      <c r="D58" s="41">
        <v>4</v>
      </c>
      <c r="E58" s="41">
        <v>3</v>
      </c>
      <c r="F58" s="41">
        <v>7</v>
      </c>
      <c r="G58" s="149">
        <v>2</v>
      </c>
      <c r="H58" s="46">
        <v>3</v>
      </c>
      <c r="N58" s="21">
        <v>1</v>
      </c>
    </row>
    <row r="59" spans="2:16" ht="18">
      <c r="B59" s="41">
        <v>16</v>
      </c>
      <c r="C59" s="41">
        <v>73</v>
      </c>
      <c r="D59" s="41">
        <v>3</v>
      </c>
      <c r="E59" s="41">
        <v>5</v>
      </c>
      <c r="F59" s="41">
        <v>5</v>
      </c>
      <c r="G59" s="149">
        <v>5</v>
      </c>
      <c r="H59" s="46">
        <v>2</v>
      </c>
      <c r="N59" s="21">
        <v>1</v>
      </c>
    </row>
    <row r="60" spans="2:16" ht="18">
      <c r="B60" s="41">
        <v>16</v>
      </c>
      <c r="C60" s="41">
        <v>73</v>
      </c>
      <c r="D60" s="41">
        <v>2</v>
      </c>
      <c r="E60" s="41">
        <v>3</v>
      </c>
      <c r="F60" s="41">
        <v>3</v>
      </c>
      <c r="G60" s="149">
        <v>4</v>
      </c>
      <c r="H60" s="46">
        <v>1</v>
      </c>
      <c r="N60" s="21">
        <v>1</v>
      </c>
    </row>
    <row r="61" spans="2:16" ht="18">
      <c r="B61" s="41">
        <v>16</v>
      </c>
      <c r="C61" s="41">
        <v>73</v>
      </c>
      <c r="D61" s="41">
        <v>6</v>
      </c>
      <c r="E61" s="41">
        <v>9</v>
      </c>
      <c r="F61" s="41">
        <v>9</v>
      </c>
      <c r="G61" s="149">
        <v>2</v>
      </c>
      <c r="H61" s="46">
        <v>0</v>
      </c>
      <c r="N61" s="21">
        <v>1</v>
      </c>
    </row>
    <row r="62" spans="2:16" ht="18">
      <c r="B62" s="41">
        <v>16</v>
      </c>
      <c r="C62" s="41">
        <v>81</v>
      </c>
      <c r="D62" s="41">
        <v>5</v>
      </c>
      <c r="E62" s="41">
        <v>8</v>
      </c>
      <c r="F62" s="41">
        <v>6</v>
      </c>
      <c r="G62" s="149">
        <v>9</v>
      </c>
      <c r="H62" s="46">
        <v>4</v>
      </c>
      <c r="N62" s="21">
        <v>1</v>
      </c>
    </row>
    <row r="63" spans="2:16" ht="18">
      <c r="B63" s="41">
        <v>16</v>
      </c>
      <c r="C63" s="41">
        <v>81</v>
      </c>
      <c r="D63" s="41">
        <v>4</v>
      </c>
      <c r="E63" s="41">
        <v>10</v>
      </c>
      <c r="F63" s="41">
        <v>5</v>
      </c>
      <c r="G63" s="149">
        <v>6</v>
      </c>
      <c r="H63" s="46">
        <v>1</v>
      </c>
      <c r="N63" s="21">
        <v>1</v>
      </c>
    </row>
    <row r="64" spans="2:16" ht="18">
      <c r="B64" s="41">
        <v>16</v>
      </c>
      <c r="C64" s="41">
        <v>78</v>
      </c>
      <c r="D64" s="41">
        <v>4</v>
      </c>
      <c r="E64" s="41">
        <v>17</v>
      </c>
      <c r="F64" s="41">
        <v>4</v>
      </c>
      <c r="G64" s="149">
        <v>2</v>
      </c>
      <c r="H64" s="46">
        <v>0</v>
      </c>
      <c r="N64" s="21">
        <v>1</v>
      </c>
    </row>
    <row r="65" spans="2:14" ht="18">
      <c r="B65" s="41">
        <v>16</v>
      </c>
      <c r="C65" s="41">
        <v>78</v>
      </c>
      <c r="D65" s="41">
        <v>5</v>
      </c>
      <c r="E65" s="41">
        <v>14</v>
      </c>
      <c r="F65" s="41">
        <v>7</v>
      </c>
      <c r="G65" s="149">
        <v>4</v>
      </c>
      <c r="H65" s="46">
        <v>0</v>
      </c>
      <c r="N65" s="21">
        <v>1</v>
      </c>
    </row>
    <row r="66" spans="2:14" ht="18">
      <c r="B66" s="41">
        <v>16</v>
      </c>
      <c r="C66" s="41">
        <v>76</v>
      </c>
      <c r="D66" s="41">
        <v>5</v>
      </c>
      <c r="E66" s="41">
        <v>3</v>
      </c>
      <c r="F66" s="41">
        <v>1</v>
      </c>
      <c r="G66" s="149">
        <v>0</v>
      </c>
      <c r="H66" s="46">
        <v>0</v>
      </c>
      <c r="N66" s="21">
        <v>1</v>
      </c>
    </row>
    <row r="67" spans="2:14" ht="18">
      <c r="B67" s="41">
        <v>16</v>
      </c>
      <c r="C67" s="41">
        <v>76</v>
      </c>
      <c r="D67" s="41">
        <v>4</v>
      </c>
      <c r="E67" s="41">
        <v>4</v>
      </c>
      <c r="F67" s="41">
        <v>2</v>
      </c>
      <c r="G67" s="149">
        <v>2</v>
      </c>
      <c r="H67" s="46">
        <v>0</v>
      </c>
      <c r="N67" s="21">
        <v>1</v>
      </c>
    </row>
    <row r="68" spans="2:14" ht="18">
      <c r="B68" s="41">
        <v>16</v>
      </c>
      <c r="C68" s="41">
        <v>69</v>
      </c>
      <c r="D68" s="41">
        <v>5</v>
      </c>
      <c r="E68" s="41">
        <v>10</v>
      </c>
      <c r="F68" s="41">
        <v>2</v>
      </c>
      <c r="G68" s="149">
        <v>12</v>
      </c>
      <c r="H68" s="46">
        <v>2</v>
      </c>
      <c r="N68" s="21">
        <v>1</v>
      </c>
    </row>
    <row r="69" spans="2:14" ht="18">
      <c r="B69" s="41">
        <v>16</v>
      </c>
      <c r="C69" s="41">
        <v>69</v>
      </c>
      <c r="D69" s="41">
        <v>5</v>
      </c>
      <c r="E69" s="41">
        <v>4</v>
      </c>
      <c r="F69" s="41">
        <v>5</v>
      </c>
      <c r="G69" s="149">
        <v>3</v>
      </c>
      <c r="H69" s="46">
        <v>0</v>
      </c>
      <c r="N69" s="21">
        <v>1</v>
      </c>
    </row>
    <row r="70" spans="2:14" ht="18">
      <c r="B70" s="41">
        <v>16</v>
      </c>
      <c r="C70" s="41">
        <v>74</v>
      </c>
      <c r="D70" s="41">
        <v>5</v>
      </c>
      <c r="E70" s="41">
        <v>8</v>
      </c>
      <c r="F70" s="41">
        <v>3</v>
      </c>
      <c r="G70" s="149">
        <v>0</v>
      </c>
      <c r="H70" s="46">
        <v>0</v>
      </c>
      <c r="N70" s="21">
        <v>1</v>
      </c>
    </row>
    <row r="71" spans="2:14" ht="18">
      <c r="B71" s="41">
        <v>16</v>
      </c>
      <c r="C71" s="41">
        <v>74</v>
      </c>
      <c r="D71" s="41">
        <v>6</v>
      </c>
      <c r="E71" s="41">
        <v>7</v>
      </c>
      <c r="F71" s="41">
        <v>0</v>
      </c>
      <c r="G71" s="149">
        <v>0</v>
      </c>
      <c r="H71" s="46">
        <v>0</v>
      </c>
      <c r="N71" s="21">
        <v>1</v>
      </c>
    </row>
    <row r="72" spans="2:14" ht="18">
      <c r="B72" s="41">
        <v>16</v>
      </c>
      <c r="C72" s="41">
        <v>77</v>
      </c>
      <c r="D72" s="41">
        <v>4</v>
      </c>
      <c r="E72" s="41">
        <v>19</v>
      </c>
      <c r="F72" s="41">
        <v>1</v>
      </c>
      <c r="G72" s="149">
        <v>5</v>
      </c>
      <c r="H72" s="46">
        <v>0</v>
      </c>
      <c r="N72" s="21">
        <v>1</v>
      </c>
    </row>
    <row r="73" spans="2:14" ht="18">
      <c r="B73" s="41">
        <v>16</v>
      </c>
      <c r="C73" s="41">
        <v>77</v>
      </c>
      <c r="D73" s="41">
        <v>5</v>
      </c>
      <c r="E73" s="41">
        <v>23</v>
      </c>
      <c r="F73" s="41">
        <v>0</v>
      </c>
      <c r="G73" s="149">
        <v>8</v>
      </c>
      <c r="H73" s="46">
        <v>0</v>
      </c>
      <c r="N73" s="21">
        <v>1</v>
      </c>
    </row>
    <row r="74" spans="2:14" ht="18">
      <c r="B74" s="41">
        <v>16</v>
      </c>
      <c r="C74" s="41">
        <v>77</v>
      </c>
      <c r="D74" s="41">
        <v>6</v>
      </c>
      <c r="E74" s="41">
        <v>16</v>
      </c>
      <c r="F74" s="41">
        <v>0</v>
      </c>
      <c r="G74" s="149">
        <v>7</v>
      </c>
      <c r="H74" s="46">
        <v>1</v>
      </c>
      <c r="N74" s="21">
        <v>1</v>
      </c>
    </row>
    <row r="75" spans="2:14" ht="18">
      <c r="B75" s="41">
        <v>16</v>
      </c>
      <c r="C75" s="41">
        <v>70</v>
      </c>
      <c r="D75" s="41">
        <v>7</v>
      </c>
      <c r="E75" s="41">
        <v>2</v>
      </c>
      <c r="F75" s="41">
        <v>3</v>
      </c>
      <c r="G75" s="149">
        <v>7</v>
      </c>
      <c r="H75" s="46">
        <v>0</v>
      </c>
      <c r="N75" s="21">
        <v>1</v>
      </c>
    </row>
    <row r="76" spans="2:14" ht="18">
      <c r="B76" s="41">
        <v>16</v>
      </c>
      <c r="C76" s="41">
        <v>70</v>
      </c>
      <c r="D76" s="41">
        <v>6</v>
      </c>
      <c r="E76" s="41">
        <v>7</v>
      </c>
      <c r="F76" s="41">
        <v>10</v>
      </c>
      <c r="G76" s="149">
        <v>11</v>
      </c>
      <c r="H76" s="46">
        <v>0</v>
      </c>
      <c r="N76" s="21">
        <v>1</v>
      </c>
    </row>
    <row r="77" spans="2:14" ht="18">
      <c r="B77" s="41">
        <v>16</v>
      </c>
      <c r="C77" s="41">
        <v>81</v>
      </c>
      <c r="D77" s="41">
        <v>6</v>
      </c>
      <c r="E77" s="41">
        <v>6</v>
      </c>
      <c r="F77" s="41">
        <v>7</v>
      </c>
      <c r="G77" s="149">
        <v>10</v>
      </c>
      <c r="H77" s="46">
        <v>2</v>
      </c>
      <c r="N77" s="21">
        <v>1</v>
      </c>
    </row>
    <row r="78" spans="2:14" ht="18">
      <c r="B78" s="41">
        <v>16</v>
      </c>
      <c r="C78" s="41">
        <v>81</v>
      </c>
      <c r="D78" s="41">
        <v>7</v>
      </c>
      <c r="E78" s="41">
        <v>11</v>
      </c>
      <c r="F78" s="41">
        <v>5</v>
      </c>
      <c r="G78" s="149">
        <v>9</v>
      </c>
      <c r="H78" s="46">
        <v>3</v>
      </c>
      <c r="N78" s="21">
        <v>1</v>
      </c>
    </row>
    <row r="79" spans="2:14" ht="18">
      <c r="B79" s="41">
        <v>16</v>
      </c>
      <c r="C79" s="41">
        <v>67</v>
      </c>
      <c r="D79" s="41">
        <v>3</v>
      </c>
      <c r="E79" s="41">
        <v>5</v>
      </c>
      <c r="F79" s="41">
        <v>2</v>
      </c>
      <c r="G79" s="149">
        <v>2</v>
      </c>
      <c r="H79" s="46">
        <v>0</v>
      </c>
      <c r="N79" s="21">
        <v>1</v>
      </c>
    </row>
    <row r="80" spans="2:14" ht="18">
      <c r="B80" s="41">
        <v>16</v>
      </c>
      <c r="C80" s="41">
        <v>67</v>
      </c>
      <c r="D80" s="41">
        <v>4</v>
      </c>
      <c r="E80" s="41">
        <v>8</v>
      </c>
      <c r="F80" s="41">
        <v>0</v>
      </c>
      <c r="G80" s="149">
        <v>3</v>
      </c>
      <c r="H80" s="46">
        <v>0</v>
      </c>
      <c r="N80" s="21">
        <v>1</v>
      </c>
    </row>
    <row r="81" spans="2:14" ht="18">
      <c r="B81" s="41">
        <v>16</v>
      </c>
      <c r="C81" s="41">
        <v>67</v>
      </c>
      <c r="D81" s="41">
        <v>5</v>
      </c>
      <c r="E81" s="41">
        <v>14</v>
      </c>
      <c r="F81" s="41">
        <v>2</v>
      </c>
      <c r="G81" s="149">
        <v>0</v>
      </c>
      <c r="H81" s="46">
        <v>0</v>
      </c>
      <c r="N81" s="21">
        <v>1</v>
      </c>
    </row>
    <row r="82" spans="2:14" ht="18">
      <c r="B82" s="41">
        <v>16</v>
      </c>
      <c r="C82" s="41">
        <v>67</v>
      </c>
      <c r="D82" s="41">
        <v>6</v>
      </c>
      <c r="E82" s="41">
        <v>4</v>
      </c>
      <c r="F82" s="41">
        <v>3</v>
      </c>
      <c r="G82" s="149">
        <v>0</v>
      </c>
      <c r="H82" s="46">
        <v>0</v>
      </c>
      <c r="N82" s="21">
        <v>1</v>
      </c>
    </row>
    <row r="83" spans="2:14" ht="18">
      <c r="B83" s="41">
        <v>16</v>
      </c>
      <c r="C83" s="41">
        <v>71</v>
      </c>
      <c r="D83" s="41">
        <v>6</v>
      </c>
      <c r="E83" s="41">
        <v>5</v>
      </c>
      <c r="F83" s="41">
        <v>2</v>
      </c>
      <c r="G83" s="149">
        <v>0</v>
      </c>
      <c r="H83" s="46">
        <v>1</v>
      </c>
      <c r="N83" s="21">
        <v>1</v>
      </c>
    </row>
    <row r="84" spans="2:14" ht="18">
      <c r="B84" s="41">
        <v>16</v>
      </c>
      <c r="C84" s="41">
        <v>72</v>
      </c>
      <c r="D84" s="41">
        <v>7</v>
      </c>
      <c r="E84" s="41">
        <v>4</v>
      </c>
      <c r="F84" s="41">
        <v>3</v>
      </c>
      <c r="G84" s="149">
        <v>0</v>
      </c>
      <c r="H84" s="46">
        <v>0</v>
      </c>
      <c r="N84" s="21">
        <v>1</v>
      </c>
    </row>
    <row r="85" spans="2:14" ht="18">
      <c r="B85" s="41">
        <v>16</v>
      </c>
      <c r="C85" s="41">
        <v>82</v>
      </c>
      <c r="D85" s="41">
        <v>6</v>
      </c>
      <c r="E85" s="41">
        <v>8</v>
      </c>
      <c r="F85" s="41">
        <v>3</v>
      </c>
      <c r="G85" s="149">
        <v>0</v>
      </c>
      <c r="H85" s="46">
        <v>0</v>
      </c>
      <c r="N85" s="21">
        <v>1</v>
      </c>
    </row>
    <row r="86" spans="2:14" ht="18">
      <c r="B86" s="41">
        <v>16</v>
      </c>
      <c r="C86" s="41">
        <v>82</v>
      </c>
      <c r="D86" s="41">
        <v>7</v>
      </c>
      <c r="E86" s="41">
        <v>8</v>
      </c>
      <c r="F86" s="41">
        <v>0</v>
      </c>
      <c r="G86" s="149">
        <v>2</v>
      </c>
      <c r="H86" s="46">
        <v>0</v>
      </c>
      <c r="N86" s="21">
        <v>1</v>
      </c>
    </row>
    <row r="87" spans="2:14" ht="18">
      <c r="B87" s="41">
        <v>16</v>
      </c>
      <c r="C87" s="41">
        <v>82</v>
      </c>
      <c r="D87" s="41">
        <v>8</v>
      </c>
      <c r="E87" s="41">
        <v>4</v>
      </c>
      <c r="F87" s="41">
        <v>4</v>
      </c>
      <c r="G87" s="149">
        <v>4</v>
      </c>
      <c r="H87" s="46">
        <v>0</v>
      </c>
      <c r="N87" s="21">
        <v>1</v>
      </c>
    </row>
    <row r="88" spans="2:14" ht="18">
      <c r="B88" s="41">
        <v>16</v>
      </c>
      <c r="C88" s="41">
        <v>69</v>
      </c>
      <c r="D88" s="41">
        <v>7</v>
      </c>
      <c r="E88" s="41">
        <v>6</v>
      </c>
      <c r="F88" s="41">
        <v>7</v>
      </c>
      <c r="G88" s="149">
        <v>10</v>
      </c>
      <c r="H88" s="46">
        <v>0</v>
      </c>
      <c r="N88" s="21">
        <v>1</v>
      </c>
    </row>
    <row r="89" spans="2:14" ht="18">
      <c r="B89" s="41">
        <v>16</v>
      </c>
      <c r="C89" s="41">
        <v>69</v>
      </c>
      <c r="D89" s="41">
        <v>8</v>
      </c>
      <c r="E89" s="41">
        <v>9</v>
      </c>
      <c r="F89" s="41">
        <v>3</v>
      </c>
      <c r="G89" s="149">
        <v>11</v>
      </c>
      <c r="H89" s="46">
        <v>1</v>
      </c>
      <c r="N89" s="21">
        <v>1</v>
      </c>
    </row>
    <row r="90" spans="2:14" ht="18">
      <c r="B90" s="41">
        <v>16</v>
      </c>
      <c r="C90" s="41">
        <v>80</v>
      </c>
      <c r="D90" s="41">
        <v>7</v>
      </c>
      <c r="E90" s="41">
        <v>4</v>
      </c>
      <c r="F90" s="41">
        <v>2</v>
      </c>
      <c r="G90" s="149">
        <v>1</v>
      </c>
      <c r="H90" s="46">
        <v>0</v>
      </c>
      <c r="N90" s="21">
        <v>1</v>
      </c>
    </row>
    <row r="91" spans="2:14" ht="18">
      <c r="B91" s="41">
        <v>16</v>
      </c>
      <c r="C91" s="41">
        <v>80</v>
      </c>
      <c r="D91" s="41">
        <v>6</v>
      </c>
      <c r="E91" s="41">
        <v>7</v>
      </c>
      <c r="F91" s="41">
        <v>1</v>
      </c>
      <c r="G91" s="149">
        <v>0</v>
      </c>
      <c r="H91" s="46">
        <v>0</v>
      </c>
      <c r="N91" s="21">
        <v>1</v>
      </c>
    </row>
    <row r="92" spans="2:14" ht="18">
      <c r="B92" s="41">
        <v>16</v>
      </c>
      <c r="C92" s="41">
        <v>80</v>
      </c>
      <c r="D92" s="41">
        <v>5</v>
      </c>
      <c r="E92" s="41">
        <v>11</v>
      </c>
      <c r="F92" s="41">
        <v>0</v>
      </c>
      <c r="G92" s="149">
        <v>2</v>
      </c>
      <c r="H92" s="46">
        <v>0</v>
      </c>
      <c r="N92" s="21">
        <v>1</v>
      </c>
    </row>
    <row r="93" spans="2:14" ht="18">
      <c r="B93" s="41">
        <v>16</v>
      </c>
      <c r="C93" s="41">
        <v>79</v>
      </c>
      <c r="D93" s="41">
        <v>4</v>
      </c>
      <c r="E93" s="41">
        <v>0</v>
      </c>
      <c r="F93" s="41">
        <v>0</v>
      </c>
      <c r="G93" s="149">
        <v>0</v>
      </c>
      <c r="H93" s="46">
        <v>0</v>
      </c>
      <c r="N93" s="21">
        <v>1</v>
      </c>
    </row>
    <row r="94" spans="2:14" ht="18">
      <c r="B94" s="41">
        <v>16</v>
      </c>
      <c r="C94" s="41">
        <v>68</v>
      </c>
      <c r="D94" s="41">
        <v>7</v>
      </c>
      <c r="E94" s="41">
        <v>9</v>
      </c>
      <c r="F94" s="41">
        <v>6</v>
      </c>
      <c r="G94" s="149">
        <v>5</v>
      </c>
      <c r="H94" s="46">
        <v>6</v>
      </c>
      <c r="N94" s="21">
        <v>1</v>
      </c>
    </row>
    <row r="95" spans="2:14" ht="18">
      <c r="B95" s="41">
        <v>16</v>
      </c>
      <c r="C95" s="41">
        <v>68</v>
      </c>
      <c r="D95" s="41">
        <v>6</v>
      </c>
      <c r="E95" s="41">
        <v>15</v>
      </c>
      <c r="F95" s="41">
        <v>6</v>
      </c>
      <c r="G95" s="149">
        <v>4</v>
      </c>
      <c r="H95" s="46">
        <v>2</v>
      </c>
      <c r="N95" s="21">
        <v>1</v>
      </c>
    </row>
    <row r="96" spans="2:14" ht="18">
      <c r="B96" s="41">
        <v>16</v>
      </c>
      <c r="C96" s="41">
        <v>68</v>
      </c>
      <c r="D96" s="41">
        <v>5</v>
      </c>
      <c r="E96" s="41">
        <v>19</v>
      </c>
      <c r="F96" s="41">
        <v>6</v>
      </c>
      <c r="G96" s="149">
        <v>4</v>
      </c>
      <c r="H96" s="46">
        <v>2</v>
      </c>
      <c r="N96" s="21">
        <v>1</v>
      </c>
    </row>
    <row r="97" spans="2:14" ht="18">
      <c r="B97" s="41">
        <v>16</v>
      </c>
      <c r="C97" s="41">
        <v>68</v>
      </c>
      <c r="D97" s="41">
        <v>4</v>
      </c>
      <c r="E97" s="41">
        <v>6</v>
      </c>
      <c r="F97" s="41">
        <v>0</v>
      </c>
      <c r="G97" s="149">
        <v>5</v>
      </c>
      <c r="H97" s="46">
        <v>2</v>
      </c>
      <c r="N97" s="21">
        <v>1</v>
      </c>
    </row>
    <row r="98" spans="2:14" ht="18">
      <c r="B98" s="41">
        <v>16</v>
      </c>
      <c r="C98" s="41">
        <v>80</v>
      </c>
      <c r="D98" s="41">
        <v>4</v>
      </c>
      <c r="E98" s="41">
        <v>11</v>
      </c>
      <c r="F98" s="41">
        <v>0</v>
      </c>
      <c r="G98" s="149">
        <v>2</v>
      </c>
      <c r="H98" s="46">
        <v>0</v>
      </c>
      <c r="N98" s="21">
        <v>1</v>
      </c>
    </row>
    <row r="99" spans="2:14" ht="18">
      <c r="B99" s="41">
        <v>16</v>
      </c>
      <c r="C99" s="41">
        <v>80</v>
      </c>
      <c r="D99" s="41">
        <v>3</v>
      </c>
      <c r="E99" s="41">
        <v>11</v>
      </c>
      <c r="F99" s="41">
        <v>3</v>
      </c>
      <c r="G99" s="149">
        <v>0</v>
      </c>
      <c r="H99" s="46">
        <v>0</v>
      </c>
      <c r="N99" s="21">
        <v>1</v>
      </c>
    </row>
    <row r="100" spans="2:14" ht="18">
      <c r="B100" s="41">
        <v>16</v>
      </c>
      <c r="C100" s="41">
        <v>80</v>
      </c>
      <c r="D100" s="41">
        <v>2</v>
      </c>
      <c r="E100" s="41">
        <v>5</v>
      </c>
      <c r="F100" s="41">
        <v>0</v>
      </c>
      <c r="G100" s="149">
        <v>0</v>
      </c>
      <c r="H100" s="46">
        <v>0</v>
      </c>
      <c r="N100" s="21">
        <v>1</v>
      </c>
    </row>
    <row r="101" spans="2:14" ht="18">
      <c r="B101" s="41">
        <v>16</v>
      </c>
      <c r="C101" s="41">
        <v>79</v>
      </c>
      <c r="D101" s="41">
        <v>3</v>
      </c>
      <c r="E101" s="41">
        <v>9</v>
      </c>
      <c r="F101" s="41">
        <v>5</v>
      </c>
      <c r="G101" s="149">
        <v>7</v>
      </c>
      <c r="H101" s="46">
        <v>0</v>
      </c>
      <c r="N101" s="21">
        <v>1</v>
      </c>
    </row>
    <row r="102" spans="2:14" ht="18">
      <c r="B102" s="41">
        <v>16</v>
      </c>
      <c r="C102" s="41">
        <v>83</v>
      </c>
      <c r="D102" s="41">
        <v>4</v>
      </c>
      <c r="E102" s="41">
        <v>21</v>
      </c>
      <c r="F102" s="41">
        <v>2</v>
      </c>
      <c r="G102" s="149">
        <v>3</v>
      </c>
      <c r="H102" s="46">
        <v>0</v>
      </c>
      <c r="N102" s="21">
        <v>1</v>
      </c>
    </row>
    <row r="103" spans="2:14" ht="18">
      <c r="B103" s="41">
        <v>16</v>
      </c>
      <c r="C103" s="41">
        <v>83</v>
      </c>
      <c r="D103" s="41">
        <v>3</v>
      </c>
      <c r="E103" s="41">
        <v>19</v>
      </c>
      <c r="F103" s="41">
        <v>9</v>
      </c>
      <c r="G103" s="149">
        <v>0</v>
      </c>
      <c r="H103" s="46">
        <v>1</v>
      </c>
      <c r="N103" s="21">
        <v>1</v>
      </c>
    </row>
    <row r="104" spans="2:14" ht="18">
      <c r="B104" s="41">
        <v>16</v>
      </c>
      <c r="C104" s="41">
        <v>83</v>
      </c>
      <c r="D104" s="41">
        <v>2</v>
      </c>
      <c r="E104" s="41">
        <v>17</v>
      </c>
      <c r="F104" s="41">
        <v>3</v>
      </c>
      <c r="G104" s="149">
        <v>12</v>
      </c>
      <c r="H104" s="46">
        <v>0</v>
      </c>
      <c r="N104" s="21">
        <v>1</v>
      </c>
    </row>
    <row r="105" spans="2:14" ht="18">
      <c r="B105" s="41">
        <v>16</v>
      </c>
      <c r="C105" s="41">
        <v>68</v>
      </c>
      <c r="D105" s="41">
        <v>4</v>
      </c>
      <c r="E105" s="41">
        <v>6</v>
      </c>
      <c r="F105" s="41">
        <v>0</v>
      </c>
      <c r="G105" s="149">
        <v>5</v>
      </c>
      <c r="H105" s="46">
        <v>2</v>
      </c>
      <c r="N105" s="21">
        <v>1</v>
      </c>
    </row>
    <row r="106" spans="2:14" ht="18">
      <c r="B106" s="41">
        <v>16</v>
      </c>
      <c r="C106" s="41">
        <v>68</v>
      </c>
      <c r="D106" s="41">
        <v>3</v>
      </c>
      <c r="E106" s="41">
        <v>16</v>
      </c>
      <c r="F106" s="41">
        <v>0</v>
      </c>
      <c r="G106" s="149">
        <v>4</v>
      </c>
      <c r="H106" s="46">
        <v>2</v>
      </c>
      <c r="N106" s="21">
        <v>1</v>
      </c>
    </row>
    <row r="107" spans="2:14" ht="18">
      <c r="B107" s="41">
        <v>16</v>
      </c>
      <c r="C107" s="41">
        <v>68</v>
      </c>
      <c r="D107" s="41">
        <v>2</v>
      </c>
      <c r="E107" s="41">
        <v>7</v>
      </c>
      <c r="F107" s="41">
        <v>3</v>
      </c>
      <c r="G107" s="149">
        <v>3</v>
      </c>
      <c r="H107" s="46">
        <v>1</v>
      </c>
      <c r="N107" s="21">
        <v>1</v>
      </c>
    </row>
    <row r="108" spans="2:14" ht="18">
      <c r="B108" s="41">
        <v>16</v>
      </c>
      <c r="C108" s="41">
        <v>79</v>
      </c>
      <c r="D108" s="41">
        <v>2</v>
      </c>
      <c r="E108" s="41">
        <v>13</v>
      </c>
      <c r="F108" s="41">
        <v>6</v>
      </c>
      <c r="G108" s="149">
        <v>4</v>
      </c>
      <c r="H108" s="46">
        <v>0</v>
      </c>
      <c r="N108" s="21">
        <v>1</v>
      </c>
    </row>
    <row r="109" spans="2:14" ht="18">
      <c r="B109" s="41">
        <v>16</v>
      </c>
      <c r="C109" s="41">
        <v>79</v>
      </c>
      <c r="D109" s="41">
        <v>1</v>
      </c>
      <c r="E109" s="41">
        <v>7</v>
      </c>
      <c r="F109" s="41">
        <v>6</v>
      </c>
      <c r="G109" s="149">
        <v>0</v>
      </c>
      <c r="H109" s="46">
        <v>10</v>
      </c>
      <c r="N109" s="21">
        <v>1</v>
      </c>
    </row>
    <row r="110" spans="2:14" ht="18">
      <c r="B110" s="41">
        <v>16</v>
      </c>
      <c r="C110" s="41">
        <v>83</v>
      </c>
      <c r="D110" s="41">
        <v>1</v>
      </c>
      <c r="E110" s="41">
        <v>4</v>
      </c>
      <c r="F110" s="41">
        <v>1</v>
      </c>
      <c r="G110" s="149">
        <v>2</v>
      </c>
      <c r="H110" s="46">
        <v>0</v>
      </c>
      <c r="N110" s="21">
        <v>1</v>
      </c>
    </row>
    <row r="111" spans="2:14" ht="18">
      <c r="B111" s="41">
        <v>16</v>
      </c>
      <c r="C111" s="41">
        <v>80</v>
      </c>
      <c r="D111" s="41">
        <v>1</v>
      </c>
      <c r="E111" s="41">
        <v>7</v>
      </c>
      <c r="F111" s="41">
        <v>3</v>
      </c>
      <c r="G111" s="149">
        <v>0</v>
      </c>
      <c r="H111" s="46">
        <v>0</v>
      </c>
      <c r="N111" s="21">
        <v>1</v>
      </c>
    </row>
    <row r="112" spans="2:14" ht="18">
      <c r="B112" s="41">
        <v>16</v>
      </c>
      <c r="C112" s="41">
        <v>68</v>
      </c>
      <c r="D112" s="41">
        <v>1</v>
      </c>
      <c r="E112" s="41">
        <v>4</v>
      </c>
      <c r="F112" s="41">
        <v>3</v>
      </c>
      <c r="G112" s="149">
        <v>3</v>
      </c>
      <c r="H112" s="46">
        <v>1</v>
      </c>
      <c r="N112" s="21">
        <v>1</v>
      </c>
    </row>
    <row r="113" spans="2:14" ht="18">
      <c r="B113" s="41">
        <v>16</v>
      </c>
      <c r="C113" s="41">
        <v>72</v>
      </c>
      <c r="D113" s="41">
        <v>9</v>
      </c>
      <c r="E113" s="41">
        <v>4</v>
      </c>
      <c r="F113" s="41">
        <v>5</v>
      </c>
      <c r="G113" s="149">
        <v>5</v>
      </c>
      <c r="H113" s="46">
        <v>0</v>
      </c>
      <c r="N113" s="21">
        <v>1</v>
      </c>
    </row>
    <row r="114" spans="2:14" ht="18">
      <c r="B114" s="41">
        <v>16</v>
      </c>
      <c r="C114" s="41">
        <v>72</v>
      </c>
      <c r="D114" s="41">
        <v>8</v>
      </c>
      <c r="E114" s="41">
        <v>6</v>
      </c>
      <c r="F114" s="41">
        <v>5</v>
      </c>
      <c r="G114" s="149">
        <v>4</v>
      </c>
      <c r="H114" s="46">
        <v>0</v>
      </c>
      <c r="N114" s="21">
        <v>1</v>
      </c>
    </row>
    <row r="115" spans="2:14" ht="18">
      <c r="B115" s="41">
        <v>16</v>
      </c>
      <c r="C115" s="41">
        <v>66</v>
      </c>
      <c r="D115" s="41">
        <v>7</v>
      </c>
      <c r="E115" s="41">
        <v>5</v>
      </c>
      <c r="F115" s="41">
        <v>3</v>
      </c>
      <c r="G115" s="149">
        <v>4</v>
      </c>
      <c r="H115" s="46">
        <v>0</v>
      </c>
      <c r="N115" s="21">
        <v>1</v>
      </c>
    </row>
    <row r="116" spans="2:14" ht="18">
      <c r="B116" s="41">
        <v>16</v>
      </c>
      <c r="C116" s="41">
        <v>66</v>
      </c>
      <c r="D116" s="41">
        <v>6</v>
      </c>
      <c r="E116" s="41">
        <v>13</v>
      </c>
      <c r="F116" s="41">
        <v>2</v>
      </c>
      <c r="G116" s="149">
        <v>7</v>
      </c>
      <c r="H116" s="46">
        <v>0</v>
      </c>
      <c r="N116" s="21">
        <v>1</v>
      </c>
    </row>
    <row r="117" spans="2:14" ht="18">
      <c r="B117" s="41">
        <v>16</v>
      </c>
      <c r="C117" s="41">
        <v>66</v>
      </c>
      <c r="D117" s="41">
        <v>8</v>
      </c>
      <c r="E117" s="41">
        <v>6</v>
      </c>
      <c r="F117" s="41">
        <v>10</v>
      </c>
      <c r="G117" s="149">
        <v>5</v>
      </c>
      <c r="H117" s="46">
        <v>0</v>
      </c>
      <c r="N117" s="21">
        <v>1</v>
      </c>
    </row>
    <row r="118" spans="2:14" ht="18">
      <c r="B118" s="41">
        <v>16</v>
      </c>
      <c r="C118" s="41">
        <v>70</v>
      </c>
      <c r="D118" s="41">
        <v>8</v>
      </c>
      <c r="E118" s="41">
        <v>2</v>
      </c>
      <c r="F118" s="41">
        <v>10</v>
      </c>
      <c r="G118" s="149">
        <v>7</v>
      </c>
      <c r="H118" s="46">
        <v>0</v>
      </c>
      <c r="N118" s="21">
        <v>1</v>
      </c>
    </row>
    <row r="119" spans="2:14" ht="18">
      <c r="B119" s="41">
        <v>16</v>
      </c>
      <c r="C119" s="41">
        <v>70</v>
      </c>
      <c r="D119" s="41">
        <v>9</v>
      </c>
      <c r="E119" s="41">
        <v>0</v>
      </c>
      <c r="F119" s="41">
        <v>4</v>
      </c>
      <c r="G119" s="149">
        <v>5</v>
      </c>
      <c r="H119" s="46">
        <v>0</v>
      </c>
      <c r="N119" s="21">
        <v>1</v>
      </c>
    </row>
    <row r="120" spans="2:14" ht="18">
      <c r="B120" s="41">
        <v>16</v>
      </c>
      <c r="C120" s="41">
        <v>66</v>
      </c>
      <c r="D120" s="41">
        <v>5</v>
      </c>
      <c r="E120" s="41">
        <v>12</v>
      </c>
      <c r="F120" s="41">
        <v>12</v>
      </c>
      <c r="G120" s="149">
        <v>1</v>
      </c>
      <c r="H120" s="46">
        <v>0</v>
      </c>
      <c r="N120" s="21">
        <v>1</v>
      </c>
    </row>
    <row r="121" spans="2:14" ht="18">
      <c r="B121" s="41">
        <v>16</v>
      </c>
      <c r="C121" s="41">
        <v>66</v>
      </c>
      <c r="D121" s="41">
        <v>4</v>
      </c>
      <c r="E121" s="41">
        <v>8</v>
      </c>
      <c r="F121" s="41">
        <v>7</v>
      </c>
      <c r="G121" s="149">
        <v>8</v>
      </c>
      <c r="H121" s="46">
        <v>0</v>
      </c>
      <c r="N121" s="21">
        <v>1</v>
      </c>
    </row>
    <row r="122" spans="2:14" ht="18">
      <c r="B122" s="41">
        <v>16</v>
      </c>
      <c r="C122" s="41">
        <v>69</v>
      </c>
      <c r="D122" s="41">
        <v>9</v>
      </c>
      <c r="E122" s="41">
        <v>6</v>
      </c>
      <c r="F122" s="41">
        <v>3</v>
      </c>
      <c r="G122" s="149">
        <v>5</v>
      </c>
      <c r="H122" s="46">
        <v>3</v>
      </c>
      <c r="N122" s="21">
        <v>1</v>
      </c>
    </row>
    <row r="123" spans="2:14" ht="18">
      <c r="B123" s="41">
        <v>16</v>
      </c>
      <c r="C123" s="41">
        <v>69</v>
      </c>
      <c r="D123" s="41">
        <v>10</v>
      </c>
      <c r="E123" s="41">
        <v>8</v>
      </c>
      <c r="F123" s="41">
        <v>10</v>
      </c>
      <c r="G123" s="149">
        <v>10</v>
      </c>
      <c r="H123" s="46">
        <v>0</v>
      </c>
      <c r="N123" s="21">
        <v>1</v>
      </c>
    </row>
    <row r="124" spans="2:14" ht="18">
      <c r="B124" s="41">
        <v>16</v>
      </c>
      <c r="C124" s="41">
        <v>74</v>
      </c>
      <c r="D124" s="41">
        <v>8</v>
      </c>
      <c r="E124" s="41">
        <v>7</v>
      </c>
      <c r="F124" s="41">
        <v>4</v>
      </c>
      <c r="G124" s="149">
        <v>0</v>
      </c>
      <c r="H124" s="46">
        <v>0</v>
      </c>
      <c r="N124" s="21">
        <v>1</v>
      </c>
    </row>
    <row r="125" spans="2:14" ht="18">
      <c r="B125" s="41">
        <v>16</v>
      </c>
      <c r="C125" s="41">
        <v>74</v>
      </c>
      <c r="D125" s="41">
        <v>8</v>
      </c>
      <c r="E125" s="41">
        <v>6</v>
      </c>
      <c r="F125" s="41">
        <v>2</v>
      </c>
      <c r="G125" s="149">
        <v>1</v>
      </c>
      <c r="H125" s="46">
        <v>0</v>
      </c>
      <c r="N125" s="21">
        <v>1</v>
      </c>
    </row>
    <row r="126" spans="2:14" ht="18">
      <c r="B126" s="41">
        <v>16</v>
      </c>
      <c r="C126" s="41">
        <v>74</v>
      </c>
      <c r="D126" s="41">
        <v>9</v>
      </c>
      <c r="E126" s="41">
        <v>5</v>
      </c>
      <c r="F126" s="41">
        <v>3</v>
      </c>
      <c r="G126" s="149">
        <v>2</v>
      </c>
      <c r="H126" s="46">
        <v>1</v>
      </c>
      <c r="N126" s="21">
        <v>1</v>
      </c>
    </row>
    <row r="127" spans="2:14" ht="18">
      <c r="B127" s="41">
        <v>16</v>
      </c>
      <c r="C127" s="41">
        <v>71</v>
      </c>
      <c r="D127" s="41">
        <v>6</v>
      </c>
      <c r="E127" s="41">
        <v>5</v>
      </c>
      <c r="F127" s="41">
        <v>6</v>
      </c>
      <c r="G127" s="149">
        <v>5</v>
      </c>
      <c r="H127" s="46">
        <v>1</v>
      </c>
      <c r="N127" s="21">
        <v>1</v>
      </c>
    </row>
    <row r="128" spans="2:14" ht="18">
      <c r="B128" s="41">
        <v>16</v>
      </c>
      <c r="C128" s="41">
        <v>71</v>
      </c>
      <c r="D128" s="41">
        <v>7</v>
      </c>
      <c r="E128" s="41">
        <v>9</v>
      </c>
      <c r="F128" s="41">
        <v>5</v>
      </c>
      <c r="G128" s="149">
        <v>2</v>
      </c>
      <c r="H128" s="46">
        <v>1</v>
      </c>
      <c r="N128" s="21">
        <v>1</v>
      </c>
    </row>
    <row r="129" spans="2:14" ht="18">
      <c r="B129" s="41">
        <v>16</v>
      </c>
      <c r="C129" s="41">
        <v>71</v>
      </c>
      <c r="D129" s="41">
        <v>8</v>
      </c>
      <c r="E129" s="41">
        <v>8</v>
      </c>
      <c r="F129" s="41">
        <v>9</v>
      </c>
      <c r="G129" s="149">
        <v>4</v>
      </c>
      <c r="H129" s="46">
        <v>0</v>
      </c>
      <c r="N129" s="21">
        <v>1</v>
      </c>
    </row>
    <row r="130" spans="2:14" ht="18">
      <c r="B130" s="41">
        <v>16</v>
      </c>
      <c r="C130" s="41">
        <v>76</v>
      </c>
      <c r="D130" s="41">
        <v>6</v>
      </c>
      <c r="E130" s="41">
        <v>1</v>
      </c>
      <c r="F130" s="41">
        <v>10</v>
      </c>
      <c r="G130" s="149">
        <v>5</v>
      </c>
      <c r="H130" s="46">
        <v>0</v>
      </c>
      <c r="N130" s="21">
        <v>1</v>
      </c>
    </row>
    <row r="131" spans="2:14" ht="18">
      <c r="B131" s="41">
        <v>16</v>
      </c>
      <c r="C131" s="41">
        <v>76</v>
      </c>
      <c r="D131" s="41">
        <v>7</v>
      </c>
      <c r="E131" s="41">
        <v>13</v>
      </c>
      <c r="F131" s="41">
        <v>10</v>
      </c>
      <c r="G131" s="149">
        <v>0</v>
      </c>
      <c r="H131" s="46">
        <v>0</v>
      </c>
      <c r="N131" s="21">
        <v>1</v>
      </c>
    </row>
    <row r="132" spans="2:14" ht="18">
      <c r="B132" s="41">
        <v>16</v>
      </c>
      <c r="C132" s="41">
        <v>76</v>
      </c>
      <c r="D132" s="41">
        <v>8</v>
      </c>
      <c r="E132" s="41">
        <v>10</v>
      </c>
      <c r="F132" s="41">
        <v>12</v>
      </c>
      <c r="G132" s="149">
        <v>9</v>
      </c>
      <c r="H132" s="46">
        <v>0</v>
      </c>
      <c r="N132" s="21">
        <v>1</v>
      </c>
    </row>
    <row r="133" spans="2:14" ht="18">
      <c r="B133" s="41">
        <v>16</v>
      </c>
      <c r="C133" s="41">
        <v>65</v>
      </c>
      <c r="D133" s="41">
        <v>1</v>
      </c>
      <c r="E133" s="41">
        <v>7</v>
      </c>
      <c r="F133" s="41">
        <v>7</v>
      </c>
      <c r="G133" s="149">
        <v>6</v>
      </c>
      <c r="H133" s="46">
        <v>4</v>
      </c>
      <c r="N133" s="21">
        <v>1</v>
      </c>
    </row>
    <row r="134" spans="2:14" ht="18">
      <c r="B134" s="41">
        <v>16</v>
      </c>
      <c r="C134" s="41">
        <v>65</v>
      </c>
      <c r="D134" s="41">
        <v>2</v>
      </c>
      <c r="E134" s="41">
        <v>14</v>
      </c>
      <c r="F134" s="41">
        <v>3</v>
      </c>
      <c r="G134" s="149">
        <v>6</v>
      </c>
      <c r="H134" s="46">
        <v>2</v>
      </c>
      <c r="N134" s="21">
        <v>1</v>
      </c>
    </row>
    <row r="135" spans="2:14" ht="18">
      <c r="B135" s="41">
        <v>16</v>
      </c>
      <c r="C135" s="41">
        <v>65</v>
      </c>
      <c r="D135" s="41">
        <v>3</v>
      </c>
      <c r="E135" s="41">
        <v>8</v>
      </c>
      <c r="F135" s="41">
        <v>5</v>
      </c>
      <c r="G135" s="149">
        <v>10</v>
      </c>
      <c r="H135" s="46">
        <v>2</v>
      </c>
      <c r="N135" s="21">
        <v>1</v>
      </c>
    </row>
    <row r="136" spans="2:14" ht="18">
      <c r="B136" s="41">
        <v>16</v>
      </c>
      <c r="C136" s="41">
        <v>65</v>
      </c>
      <c r="D136" s="41">
        <v>4</v>
      </c>
      <c r="E136" s="41">
        <v>7</v>
      </c>
      <c r="F136" s="41">
        <v>2</v>
      </c>
      <c r="G136" s="149">
        <v>5</v>
      </c>
      <c r="H136" s="46">
        <v>0</v>
      </c>
      <c r="N136" s="21">
        <v>1</v>
      </c>
    </row>
    <row r="137" spans="2:14" ht="18">
      <c r="B137" s="41">
        <v>16</v>
      </c>
      <c r="C137" s="41">
        <v>65</v>
      </c>
      <c r="D137" s="41">
        <v>5</v>
      </c>
      <c r="E137" s="41">
        <v>9</v>
      </c>
      <c r="F137" s="41">
        <v>3</v>
      </c>
      <c r="G137" s="149">
        <v>6</v>
      </c>
      <c r="H137" s="46">
        <v>0</v>
      </c>
      <c r="N137" s="21">
        <v>1</v>
      </c>
    </row>
    <row r="138" spans="2:14" ht="18">
      <c r="B138" s="41">
        <v>16</v>
      </c>
      <c r="C138" s="41">
        <v>77</v>
      </c>
      <c r="D138" s="41">
        <v>7</v>
      </c>
      <c r="E138" s="41">
        <v>23</v>
      </c>
      <c r="F138" s="41">
        <v>0</v>
      </c>
      <c r="G138" s="149">
        <v>3</v>
      </c>
      <c r="H138" s="46">
        <v>0</v>
      </c>
      <c r="N138" s="21">
        <v>1</v>
      </c>
    </row>
    <row r="139" spans="2:14" ht="18">
      <c r="B139" s="41">
        <v>16</v>
      </c>
      <c r="C139" s="41">
        <v>77</v>
      </c>
      <c r="D139" s="41">
        <v>8</v>
      </c>
      <c r="E139" s="41">
        <v>18</v>
      </c>
      <c r="F139" s="41">
        <v>0</v>
      </c>
      <c r="G139" s="149">
        <v>5</v>
      </c>
      <c r="H139" s="46">
        <v>1</v>
      </c>
      <c r="N139" s="21">
        <v>1</v>
      </c>
    </row>
    <row r="140" spans="2:14" ht="18">
      <c r="B140" s="41">
        <v>16</v>
      </c>
      <c r="C140" s="41">
        <v>77</v>
      </c>
      <c r="D140" s="41">
        <v>9</v>
      </c>
      <c r="E140" s="41">
        <v>25</v>
      </c>
      <c r="F140" s="41">
        <v>0</v>
      </c>
      <c r="G140" s="149">
        <v>3</v>
      </c>
      <c r="H140" s="46">
        <v>0</v>
      </c>
      <c r="N140" s="21">
        <v>1</v>
      </c>
    </row>
    <row r="141" spans="2:14" ht="18">
      <c r="B141" s="41">
        <v>16</v>
      </c>
      <c r="C141" s="41">
        <v>82</v>
      </c>
      <c r="D141" s="41">
        <v>9</v>
      </c>
      <c r="E141" s="41">
        <v>6</v>
      </c>
      <c r="F141" s="41">
        <v>1</v>
      </c>
      <c r="G141" s="149">
        <v>3</v>
      </c>
      <c r="H141" s="46">
        <v>0</v>
      </c>
      <c r="N141" s="21">
        <v>1</v>
      </c>
    </row>
    <row r="142" spans="2:14" ht="18">
      <c r="B142" s="41">
        <v>16</v>
      </c>
      <c r="C142" s="41">
        <v>82</v>
      </c>
      <c r="D142" s="41">
        <v>10</v>
      </c>
      <c r="E142" s="41">
        <v>4</v>
      </c>
      <c r="F142" s="41">
        <v>4</v>
      </c>
      <c r="G142" s="149">
        <v>3</v>
      </c>
      <c r="H142" s="46">
        <v>0</v>
      </c>
      <c r="N142" s="21">
        <v>1</v>
      </c>
    </row>
    <row r="143" spans="2:14" ht="18">
      <c r="B143" s="41">
        <v>16</v>
      </c>
      <c r="C143" s="41">
        <v>65</v>
      </c>
      <c r="D143" s="41">
        <v>10</v>
      </c>
      <c r="E143" s="41">
        <v>7</v>
      </c>
      <c r="F143" s="41">
        <v>4</v>
      </c>
      <c r="G143" s="149">
        <v>2</v>
      </c>
      <c r="H143" s="46">
        <v>3</v>
      </c>
      <c r="N143" s="21">
        <v>1</v>
      </c>
    </row>
    <row r="144" spans="2:14" ht="18">
      <c r="B144" s="41">
        <v>16</v>
      </c>
      <c r="C144" s="41">
        <v>65</v>
      </c>
      <c r="D144" s="41">
        <v>9</v>
      </c>
      <c r="E144" s="41">
        <v>5</v>
      </c>
      <c r="F144" s="41">
        <v>1</v>
      </c>
      <c r="G144" s="149">
        <v>3</v>
      </c>
      <c r="H144" s="46">
        <v>0</v>
      </c>
      <c r="N144" s="21">
        <v>1</v>
      </c>
    </row>
    <row r="145" spans="2:14" ht="18">
      <c r="B145" s="41">
        <v>16</v>
      </c>
      <c r="C145" s="41">
        <v>65</v>
      </c>
      <c r="D145" s="41">
        <v>8</v>
      </c>
      <c r="E145" s="41">
        <v>15</v>
      </c>
      <c r="F145" s="41">
        <v>2</v>
      </c>
      <c r="G145" s="149">
        <v>7</v>
      </c>
      <c r="H145" s="46">
        <v>1</v>
      </c>
      <c r="N145" s="21">
        <v>1</v>
      </c>
    </row>
    <row r="146" spans="2:14" ht="18">
      <c r="B146" s="41">
        <v>16</v>
      </c>
      <c r="C146" s="41">
        <v>65</v>
      </c>
      <c r="D146" s="41">
        <v>7</v>
      </c>
      <c r="E146" s="41">
        <v>6</v>
      </c>
      <c r="F146" s="41">
        <v>3</v>
      </c>
      <c r="G146" s="149">
        <v>2</v>
      </c>
      <c r="H146" s="46">
        <v>3</v>
      </c>
      <c r="N146" s="21">
        <v>1</v>
      </c>
    </row>
    <row r="147" spans="2:14" ht="18">
      <c r="B147" s="41">
        <v>16</v>
      </c>
      <c r="C147" s="41">
        <v>65</v>
      </c>
      <c r="D147" s="41">
        <v>6</v>
      </c>
      <c r="E147" s="41">
        <v>12</v>
      </c>
      <c r="F147" s="41">
        <v>4</v>
      </c>
      <c r="G147" s="149">
        <v>9</v>
      </c>
      <c r="H147" s="46">
        <v>0</v>
      </c>
      <c r="N147" s="21">
        <v>1</v>
      </c>
    </row>
    <row r="148" spans="2:14" ht="18">
      <c r="B148" s="41">
        <v>16</v>
      </c>
      <c r="C148" s="41">
        <v>81</v>
      </c>
      <c r="D148" s="41">
        <v>8</v>
      </c>
      <c r="E148" s="41">
        <v>13</v>
      </c>
      <c r="F148" s="41">
        <v>4</v>
      </c>
      <c r="G148" s="149">
        <v>12</v>
      </c>
      <c r="H148" s="46">
        <v>0</v>
      </c>
      <c r="N148" s="21">
        <v>1</v>
      </c>
    </row>
    <row r="149" spans="2:14" ht="18">
      <c r="B149" s="41">
        <v>16</v>
      </c>
      <c r="C149" s="41">
        <v>81</v>
      </c>
      <c r="D149" s="41">
        <v>9</v>
      </c>
      <c r="E149" s="41">
        <v>9</v>
      </c>
      <c r="F149" s="41">
        <v>6</v>
      </c>
      <c r="G149" s="149">
        <v>11</v>
      </c>
      <c r="H149" s="46">
        <v>0</v>
      </c>
      <c r="N149" s="21">
        <v>1</v>
      </c>
    </row>
    <row r="150" spans="2:14" ht="18">
      <c r="B150" s="41">
        <v>16</v>
      </c>
      <c r="C150" s="41">
        <v>68</v>
      </c>
      <c r="D150" s="41">
        <v>8</v>
      </c>
      <c r="E150" s="41">
        <v>6</v>
      </c>
      <c r="F150" s="41">
        <v>12</v>
      </c>
      <c r="G150" s="149">
        <v>9</v>
      </c>
      <c r="H150" s="46">
        <v>4</v>
      </c>
      <c r="N150" s="21">
        <v>1</v>
      </c>
    </row>
    <row r="151" spans="2:14" ht="18">
      <c r="B151" s="41">
        <v>16</v>
      </c>
      <c r="C151" s="41">
        <v>68</v>
      </c>
      <c r="D151" s="41">
        <v>9</v>
      </c>
      <c r="E151" s="41">
        <v>4</v>
      </c>
      <c r="F151" s="41">
        <v>5</v>
      </c>
      <c r="G151" s="149">
        <v>7</v>
      </c>
      <c r="H151" s="46">
        <v>4</v>
      </c>
      <c r="N151" s="21">
        <v>1</v>
      </c>
    </row>
    <row r="152" spans="2:14" ht="18">
      <c r="B152" s="41">
        <v>16</v>
      </c>
      <c r="C152" s="41">
        <v>68</v>
      </c>
      <c r="D152" s="41">
        <v>10</v>
      </c>
      <c r="E152" s="41">
        <v>12</v>
      </c>
      <c r="F152" s="41">
        <v>6</v>
      </c>
      <c r="G152" s="149">
        <v>9</v>
      </c>
      <c r="H152" s="46">
        <v>5</v>
      </c>
      <c r="N152" s="21">
        <v>1</v>
      </c>
    </row>
    <row r="153" spans="2:14" ht="18">
      <c r="B153" s="41">
        <v>16</v>
      </c>
      <c r="C153" s="41">
        <v>68</v>
      </c>
      <c r="D153" s="41">
        <v>11</v>
      </c>
      <c r="E153" s="41">
        <v>8</v>
      </c>
      <c r="F153" s="41">
        <v>7</v>
      </c>
      <c r="G153" s="149">
        <v>12</v>
      </c>
      <c r="H153" s="46">
        <v>5</v>
      </c>
      <c r="N153" s="21">
        <v>1</v>
      </c>
    </row>
    <row r="154" spans="2:14" ht="18">
      <c r="B154" s="41">
        <v>16</v>
      </c>
      <c r="C154" s="41">
        <v>82</v>
      </c>
      <c r="D154" s="41">
        <v>11</v>
      </c>
      <c r="E154" s="41">
        <v>5</v>
      </c>
      <c r="F154" s="41">
        <v>3</v>
      </c>
      <c r="G154" s="149">
        <v>4</v>
      </c>
      <c r="H154" s="46">
        <v>0</v>
      </c>
      <c r="N154" s="21">
        <v>1</v>
      </c>
    </row>
    <row r="155" spans="2:14" ht="18">
      <c r="B155" s="41">
        <v>16</v>
      </c>
      <c r="C155" s="41">
        <v>72</v>
      </c>
      <c r="D155" s="41">
        <v>1</v>
      </c>
      <c r="E155" s="41">
        <v>4</v>
      </c>
      <c r="F155" s="41">
        <v>8</v>
      </c>
      <c r="G155" s="149">
        <v>2</v>
      </c>
      <c r="H155" s="46">
        <v>0</v>
      </c>
      <c r="N155" s="21">
        <v>1</v>
      </c>
    </row>
    <row r="156" spans="2:14" ht="18">
      <c r="B156" s="41">
        <v>16</v>
      </c>
      <c r="C156" s="41">
        <v>72</v>
      </c>
      <c r="D156" s="41">
        <v>11</v>
      </c>
      <c r="E156" s="41">
        <v>1</v>
      </c>
      <c r="F156" s="41">
        <v>15</v>
      </c>
      <c r="G156" s="149">
        <v>1</v>
      </c>
      <c r="H156" s="46">
        <v>0</v>
      </c>
      <c r="N156" s="21">
        <v>1</v>
      </c>
    </row>
    <row r="157" spans="2:14" ht="18">
      <c r="B157" s="41">
        <v>16</v>
      </c>
      <c r="C157" s="41">
        <v>69</v>
      </c>
      <c r="D157" s="41">
        <v>11</v>
      </c>
      <c r="E157" s="41">
        <v>8</v>
      </c>
      <c r="F157" s="41">
        <v>7</v>
      </c>
      <c r="G157" s="149">
        <v>7</v>
      </c>
      <c r="H157" s="46">
        <v>0</v>
      </c>
      <c r="N157" s="21">
        <v>1</v>
      </c>
    </row>
    <row r="158" spans="2:14" ht="18">
      <c r="B158" s="41">
        <v>16</v>
      </c>
      <c r="C158" s="41">
        <v>74</v>
      </c>
      <c r="D158" s="41">
        <v>11</v>
      </c>
      <c r="E158" s="41">
        <v>6</v>
      </c>
      <c r="F158" s="41">
        <v>10</v>
      </c>
      <c r="G158" s="149">
        <v>1</v>
      </c>
      <c r="H158" s="46">
        <v>0</v>
      </c>
      <c r="N158" s="21">
        <v>1</v>
      </c>
    </row>
    <row r="159" spans="2:14" ht="18">
      <c r="B159" s="41">
        <v>16</v>
      </c>
      <c r="C159" s="41">
        <v>74</v>
      </c>
      <c r="D159" s="41">
        <v>10</v>
      </c>
      <c r="E159" s="41">
        <v>8</v>
      </c>
      <c r="F159" s="41">
        <v>0</v>
      </c>
      <c r="G159" s="149">
        <v>1</v>
      </c>
      <c r="H159" s="46">
        <v>0</v>
      </c>
      <c r="N159" s="21">
        <v>1</v>
      </c>
    </row>
    <row r="160" spans="2:14" ht="18">
      <c r="B160" s="41">
        <v>16</v>
      </c>
      <c r="C160" s="41">
        <v>76</v>
      </c>
      <c r="D160" s="41">
        <v>9</v>
      </c>
      <c r="E160" s="41">
        <v>6</v>
      </c>
      <c r="F160" s="41">
        <v>3</v>
      </c>
      <c r="G160" s="149">
        <v>4</v>
      </c>
      <c r="H160" s="46">
        <v>0</v>
      </c>
      <c r="N160" s="21">
        <v>1</v>
      </c>
    </row>
    <row r="161" spans="2:14" ht="18">
      <c r="B161" s="41">
        <v>16</v>
      </c>
      <c r="C161" s="41">
        <v>76</v>
      </c>
      <c r="D161" s="41">
        <v>10</v>
      </c>
      <c r="E161" s="41">
        <v>4</v>
      </c>
      <c r="F161" s="41">
        <v>2</v>
      </c>
      <c r="G161" s="149">
        <v>5</v>
      </c>
      <c r="H161" s="46">
        <v>0</v>
      </c>
      <c r="N161" s="21">
        <v>1</v>
      </c>
    </row>
    <row r="162" spans="2:14" ht="18">
      <c r="B162" s="41">
        <v>16</v>
      </c>
      <c r="C162" s="41">
        <v>80</v>
      </c>
      <c r="D162" s="41">
        <v>8</v>
      </c>
      <c r="E162" s="41">
        <v>8</v>
      </c>
      <c r="F162" s="41">
        <v>2</v>
      </c>
      <c r="G162" s="149">
        <v>0</v>
      </c>
      <c r="H162" s="46">
        <v>2</v>
      </c>
      <c r="N162" s="21">
        <v>1</v>
      </c>
    </row>
    <row r="163" spans="2:14" ht="18">
      <c r="B163" s="41">
        <v>16</v>
      </c>
      <c r="C163" s="41">
        <v>80</v>
      </c>
      <c r="D163" s="41">
        <v>9</v>
      </c>
      <c r="E163" s="41">
        <v>10</v>
      </c>
      <c r="F163" s="41">
        <v>2</v>
      </c>
      <c r="G163" s="149">
        <v>6</v>
      </c>
      <c r="H163" s="46">
        <v>2</v>
      </c>
      <c r="N163" s="21">
        <v>1</v>
      </c>
    </row>
    <row r="164" spans="2:14" ht="18">
      <c r="B164" s="41">
        <v>16</v>
      </c>
      <c r="C164" s="41">
        <v>77</v>
      </c>
      <c r="D164" s="41">
        <v>10</v>
      </c>
      <c r="E164" s="41">
        <v>7</v>
      </c>
      <c r="F164" s="41">
        <v>1</v>
      </c>
      <c r="G164" s="149">
        <v>13</v>
      </c>
      <c r="H164" s="46">
        <v>0</v>
      </c>
      <c r="N164" s="21">
        <v>1</v>
      </c>
    </row>
    <row r="165" spans="2:14" ht="18">
      <c r="B165" s="41">
        <v>16</v>
      </c>
      <c r="C165" s="41">
        <v>77</v>
      </c>
      <c r="D165" s="41">
        <v>11</v>
      </c>
      <c r="E165" s="41">
        <v>9</v>
      </c>
      <c r="F165" s="41">
        <v>0</v>
      </c>
      <c r="G165" s="149">
        <v>14</v>
      </c>
      <c r="H165" s="46">
        <v>1</v>
      </c>
      <c r="N165" s="21">
        <v>1</v>
      </c>
    </row>
    <row r="166" spans="2:14" ht="18">
      <c r="B166" s="41">
        <v>16</v>
      </c>
      <c r="C166" s="41">
        <v>65</v>
      </c>
      <c r="D166" s="41">
        <v>11</v>
      </c>
      <c r="E166" s="41">
        <v>1</v>
      </c>
      <c r="F166" s="41">
        <v>0</v>
      </c>
      <c r="G166" s="149">
        <v>1</v>
      </c>
      <c r="H166" s="46">
        <v>0</v>
      </c>
      <c r="N166" s="21">
        <v>1</v>
      </c>
    </row>
    <row r="167" spans="2:14" ht="18">
      <c r="B167" s="41">
        <v>16</v>
      </c>
      <c r="C167" s="41">
        <v>81</v>
      </c>
      <c r="D167" s="41">
        <v>11</v>
      </c>
      <c r="E167" s="41">
        <v>8</v>
      </c>
      <c r="F167" s="41">
        <v>6</v>
      </c>
      <c r="G167" s="149">
        <v>12</v>
      </c>
      <c r="H167" s="46">
        <v>0</v>
      </c>
      <c r="N167" s="21">
        <v>1</v>
      </c>
    </row>
    <row r="168" spans="2:14" ht="18">
      <c r="B168" s="41">
        <v>16</v>
      </c>
      <c r="C168" s="41">
        <v>81</v>
      </c>
      <c r="D168" s="41">
        <v>10</v>
      </c>
      <c r="E168" s="41">
        <v>7</v>
      </c>
      <c r="F168" s="41">
        <v>5</v>
      </c>
      <c r="G168" s="149">
        <v>14</v>
      </c>
      <c r="H168" s="46">
        <v>1</v>
      </c>
      <c r="N168" s="21">
        <v>1</v>
      </c>
    </row>
    <row r="169" spans="2:14" ht="18">
      <c r="B169" s="41">
        <v>16</v>
      </c>
      <c r="C169" s="41">
        <v>78</v>
      </c>
      <c r="D169" s="41">
        <v>6</v>
      </c>
      <c r="E169" s="41">
        <v>15</v>
      </c>
      <c r="F169" s="41">
        <v>7</v>
      </c>
      <c r="G169" s="149">
        <v>3</v>
      </c>
      <c r="H169" s="46">
        <v>0</v>
      </c>
      <c r="N169" s="21">
        <v>1</v>
      </c>
    </row>
    <row r="170" spans="2:14" ht="18">
      <c r="B170" s="41">
        <v>16</v>
      </c>
      <c r="C170" s="41">
        <v>78</v>
      </c>
      <c r="D170" s="41">
        <v>11</v>
      </c>
      <c r="E170" s="41">
        <v>17</v>
      </c>
      <c r="F170" s="41">
        <v>16</v>
      </c>
      <c r="G170" s="149">
        <v>3</v>
      </c>
      <c r="H170" s="46">
        <v>0</v>
      </c>
      <c r="N170" s="21">
        <v>1</v>
      </c>
    </row>
    <row r="171" spans="2:14" ht="18">
      <c r="B171" s="41">
        <v>16</v>
      </c>
      <c r="C171" s="41">
        <v>78</v>
      </c>
      <c r="D171" s="41">
        <v>10</v>
      </c>
      <c r="E171" s="41">
        <v>10</v>
      </c>
      <c r="F171" s="41">
        <v>5</v>
      </c>
      <c r="G171" s="149">
        <v>6</v>
      </c>
      <c r="H171" s="46">
        <v>0</v>
      </c>
      <c r="N171" s="21">
        <v>1</v>
      </c>
    </row>
    <row r="172" spans="2:14" ht="18">
      <c r="B172" s="41">
        <v>16</v>
      </c>
      <c r="C172" s="41">
        <v>78</v>
      </c>
      <c r="D172" s="41">
        <v>9</v>
      </c>
      <c r="E172" s="41">
        <v>14</v>
      </c>
      <c r="F172" s="41">
        <v>5</v>
      </c>
      <c r="G172" s="149">
        <v>0</v>
      </c>
      <c r="H172" s="46">
        <v>0</v>
      </c>
      <c r="N172" s="21">
        <v>1</v>
      </c>
    </row>
    <row r="173" spans="2:14" ht="18">
      <c r="B173" s="41">
        <v>16</v>
      </c>
      <c r="C173" s="41">
        <v>78</v>
      </c>
      <c r="D173" s="41">
        <v>8</v>
      </c>
      <c r="E173" s="41">
        <v>12</v>
      </c>
      <c r="F173" s="41">
        <v>7</v>
      </c>
      <c r="G173" s="149">
        <v>6</v>
      </c>
      <c r="H173" s="46">
        <v>0</v>
      </c>
      <c r="N173" s="21">
        <v>1</v>
      </c>
    </row>
    <row r="174" spans="2:14" ht="18">
      <c r="B174" s="41">
        <v>16</v>
      </c>
      <c r="C174" s="41">
        <v>78</v>
      </c>
      <c r="D174" s="41">
        <v>7</v>
      </c>
      <c r="E174" s="41">
        <v>16</v>
      </c>
      <c r="F174" s="41">
        <v>8</v>
      </c>
      <c r="G174" s="149">
        <v>0</v>
      </c>
      <c r="H174" s="46">
        <v>0</v>
      </c>
      <c r="N174" s="21">
        <v>1</v>
      </c>
    </row>
    <row r="175" spans="2:14" ht="18">
      <c r="B175" s="41">
        <v>16</v>
      </c>
      <c r="C175" s="41">
        <v>67</v>
      </c>
      <c r="D175" s="41">
        <v>8</v>
      </c>
      <c r="E175" s="41">
        <v>8</v>
      </c>
      <c r="F175" s="41">
        <v>2</v>
      </c>
      <c r="G175" s="149">
        <v>1</v>
      </c>
      <c r="H175" s="46">
        <v>0</v>
      </c>
      <c r="N175" s="21">
        <v>1</v>
      </c>
    </row>
    <row r="176" spans="2:14" ht="18">
      <c r="B176" s="41">
        <v>16</v>
      </c>
      <c r="C176" s="41">
        <v>67</v>
      </c>
      <c r="D176" s="41">
        <v>7</v>
      </c>
      <c r="E176" s="41">
        <v>4</v>
      </c>
      <c r="F176" s="41">
        <v>3</v>
      </c>
      <c r="G176" s="149">
        <v>0</v>
      </c>
      <c r="H176" s="46">
        <v>0</v>
      </c>
      <c r="N176" s="21">
        <v>1</v>
      </c>
    </row>
    <row r="177" spans="2:14" ht="18">
      <c r="B177" s="41">
        <v>16</v>
      </c>
      <c r="C177" s="41">
        <v>67</v>
      </c>
      <c r="D177" s="41">
        <v>9</v>
      </c>
      <c r="E177" s="41">
        <v>5</v>
      </c>
      <c r="F177" s="41">
        <v>4</v>
      </c>
      <c r="G177" s="149">
        <v>2</v>
      </c>
      <c r="H177" s="46">
        <v>0</v>
      </c>
      <c r="N177" s="21">
        <v>1</v>
      </c>
    </row>
    <row r="178" spans="2:14" ht="18">
      <c r="B178" s="41">
        <v>16</v>
      </c>
      <c r="C178" s="41">
        <v>67</v>
      </c>
      <c r="D178" s="41">
        <v>10</v>
      </c>
      <c r="E178" s="41">
        <v>3</v>
      </c>
      <c r="F178" s="41">
        <v>2</v>
      </c>
      <c r="G178" s="149">
        <v>1</v>
      </c>
      <c r="H178" s="46">
        <v>0</v>
      </c>
      <c r="N178" s="21">
        <v>1</v>
      </c>
    </row>
    <row r="179" spans="2:14" ht="18">
      <c r="B179" s="41">
        <v>16</v>
      </c>
      <c r="C179" s="41">
        <v>67</v>
      </c>
      <c r="D179" s="41">
        <v>11</v>
      </c>
      <c r="E179" s="41">
        <v>4</v>
      </c>
      <c r="F179" s="41">
        <v>3</v>
      </c>
      <c r="G179" s="149">
        <v>2</v>
      </c>
      <c r="H179" s="46">
        <v>0</v>
      </c>
      <c r="N179" s="21">
        <v>1</v>
      </c>
    </row>
    <row r="180" spans="2:14" ht="18">
      <c r="B180" s="41">
        <v>16</v>
      </c>
      <c r="C180" s="41">
        <v>72</v>
      </c>
      <c r="D180" s="41">
        <v>12</v>
      </c>
      <c r="E180" s="41">
        <v>1</v>
      </c>
      <c r="F180" s="41">
        <v>15</v>
      </c>
      <c r="G180" s="149">
        <v>1</v>
      </c>
      <c r="H180" s="46">
        <v>0</v>
      </c>
      <c r="N180" s="21">
        <v>1</v>
      </c>
    </row>
    <row r="181" spans="2:14" ht="18">
      <c r="B181" s="41">
        <v>16</v>
      </c>
      <c r="C181" s="41">
        <v>72</v>
      </c>
      <c r="D181" s="41">
        <v>13</v>
      </c>
      <c r="E181" s="41">
        <v>4</v>
      </c>
      <c r="F181" s="41">
        <v>9</v>
      </c>
      <c r="G181" s="149">
        <v>1</v>
      </c>
      <c r="H181" s="46">
        <v>0</v>
      </c>
      <c r="N181" s="21">
        <v>1</v>
      </c>
    </row>
    <row r="182" spans="2:14" ht="18">
      <c r="B182" s="41">
        <v>16</v>
      </c>
      <c r="C182" s="41">
        <v>72</v>
      </c>
      <c r="D182" s="41">
        <v>14</v>
      </c>
      <c r="E182" s="41">
        <v>7</v>
      </c>
      <c r="F182" s="41">
        <v>8</v>
      </c>
      <c r="G182" s="149">
        <v>4</v>
      </c>
      <c r="H182" s="46">
        <v>0</v>
      </c>
      <c r="N182" s="21">
        <v>1</v>
      </c>
    </row>
    <row r="183" spans="2:14" ht="18">
      <c r="B183" s="41">
        <v>16</v>
      </c>
      <c r="C183" s="41">
        <v>82</v>
      </c>
      <c r="D183" s="41">
        <v>13</v>
      </c>
      <c r="E183" s="41">
        <v>3</v>
      </c>
      <c r="F183" s="41">
        <v>4</v>
      </c>
      <c r="G183" s="149">
        <v>3</v>
      </c>
      <c r="H183" s="46">
        <v>0</v>
      </c>
      <c r="N183" s="21">
        <v>1</v>
      </c>
    </row>
    <row r="184" spans="2:14" ht="18">
      <c r="B184" s="41">
        <v>16</v>
      </c>
      <c r="C184" s="41">
        <v>82</v>
      </c>
      <c r="D184" s="41">
        <v>12</v>
      </c>
      <c r="E184" s="41">
        <v>4</v>
      </c>
      <c r="F184" s="41">
        <v>3</v>
      </c>
      <c r="G184" s="149">
        <v>4</v>
      </c>
      <c r="H184" s="46">
        <v>0</v>
      </c>
      <c r="N184" s="21">
        <v>1</v>
      </c>
    </row>
    <row r="185" spans="2:14" ht="18">
      <c r="B185" s="41">
        <v>16</v>
      </c>
      <c r="C185" s="41">
        <v>74</v>
      </c>
      <c r="D185" s="41">
        <v>12</v>
      </c>
      <c r="E185" s="41">
        <v>7</v>
      </c>
      <c r="F185" s="41">
        <v>1</v>
      </c>
      <c r="G185" s="149">
        <v>0</v>
      </c>
      <c r="H185" s="46">
        <v>1</v>
      </c>
      <c r="N185" s="21">
        <v>1</v>
      </c>
    </row>
    <row r="186" spans="2:14" ht="18">
      <c r="B186" s="41">
        <v>16</v>
      </c>
      <c r="C186" s="41">
        <v>74</v>
      </c>
      <c r="D186" s="41">
        <v>13</v>
      </c>
      <c r="E186" s="41">
        <v>5</v>
      </c>
      <c r="F186" s="41">
        <v>3</v>
      </c>
      <c r="G186" s="149">
        <v>0</v>
      </c>
      <c r="H186" s="46">
        <v>1</v>
      </c>
      <c r="N186" s="21">
        <v>1</v>
      </c>
    </row>
    <row r="187" spans="2:14" ht="18">
      <c r="B187" s="41">
        <v>16</v>
      </c>
      <c r="C187" s="41">
        <v>65</v>
      </c>
      <c r="D187" s="41">
        <v>12</v>
      </c>
      <c r="E187" s="41">
        <v>7</v>
      </c>
      <c r="F187" s="41">
        <v>0</v>
      </c>
      <c r="G187" s="149">
        <v>4</v>
      </c>
      <c r="H187" s="46">
        <v>1</v>
      </c>
      <c r="N187" s="21">
        <v>1</v>
      </c>
    </row>
    <row r="188" spans="2:14" ht="18">
      <c r="B188" s="41">
        <v>16</v>
      </c>
      <c r="C188" s="41">
        <v>65</v>
      </c>
      <c r="D188" s="41">
        <v>13</v>
      </c>
      <c r="E188" s="41">
        <v>0</v>
      </c>
      <c r="F188" s="41">
        <v>1</v>
      </c>
      <c r="G188" s="149">
        <v>1</v>
      </c>
      <c r="H188" s="46">
        <v>0</v>
      </c>
      <c r="N188" s="21">
        <v>1</v>
      </c>
    </row>
    <row r="189" spans="2:14" ht="18">
      <c r="B189" s="41">
        <v>16</v>
      </c>
      <c r="C189" s="41">
        <v>71</v>
      </c>
      <c r="D189" s="41">
        <v>9</v>
      </c>
      <c r="E189" s="41">
        <v>19</v>
      </c>
      <c r="F189" s="41">
        <v>18</v>
      </c>
      <c r="G189" s="149">
        <v>9</v>
      </c>
      <c r="H189" s="46">
        <v>0</v>
      </c>
      <c r="N189" s="21">
        <v>1</v>
      </c>
    </row>
    <row r="190" spans="2:14" ht="18">
      <c r="B190" s="41">
        <v>16</v>
      </c>
      <c r="C190" s="41">
        <v>71</v>
      </c>
      <c r="D190" s="41">
        <v>10</v>
      </c>
      <c r="E190" s="41">
        <v>4</v>
      </c>
      <c r="F190" s="41">
        <v>19</v>
      </c>
      <c r="G190" s="149">
        <v>4</v>
      </c>
      <c r="H190" s="46">
        <v>0</v>
      </c>
      <c r="N190" s="21">
        <v>1</v>
      </c>
    </row>
    <row r="191" spans="2:14" ht="18">
      <c r="B191" s="41">
        <v>16</v>
      </c>
      <c r="C191" s="41">
        <v>71</v>
      </c>
      <c r="D191" s="41">
        <v>11</v>
      </c>
      <c r="E191" s="41">
        <v>10</v>
      </c>
      <c r="F191" s="41">
        <v>11</v>
      </c>
      <c r="G191" s="149">
        <v>1</v>
      </c>
      <c r="H191" s="46">
        <v>0</v>
      </c>
      <c r="N191" s="21">
        <v>1</v>
      </c>
    </row>
    <row r="192" spans="2:14" ht="18">
      <c r="B192" s="41">
        <v>16</v>
      </c>
      <c r="C192" s="41">
        <v>71</v>
      </c>
      <c r="D192" s="41">
        <v>12</v>
      </c>
      <c r="E192" s="41">
        <v>3</v>
      </c>
      <c r="F192" s="41">
        <v>10</v>
      </c>
      <c r="G192" s="149">
        <v>1</v>
      </c>
      <c r="H192" s="46">
        <v>1</v>
      </c>
      <c r="N192" s="21">
        <v>1</v>
      </c>
    </row>
    <row r="193" spans="2:14" ht="18">
      <c r="B193" s="41">
        <v>16</v>
      </c>
      <c r="C193" s="41">
        <v>71</v>
      </c>
      <c r="D193" s="41">
        <v>13</v>
      </c>
      <c r="E193" s="41">
        <v>1</v>
      </c>
      <c r="F193" s="41">
        <v>5</v>
      </c>
      <c r="G193" s="149">
        <v>0</v>
      </c>
      <c r="H193" s="46">
        <v>0</v>
      </c>
      <c r="N193" s="21">
        <v>1</v>
      </c>
    </row>
    <row r="194" spans="2:14" ht="18">
      <c r="B194" s="41">
        <v>16</v>
      </c>
      <c r="C194" s="41">
        <v>73</v>
      </c>
      <c r="D194" s="41">
        <v>7</v>
      </c>
      <c r="E194" s="41">
        <v>3</v>
      </c>
      <c r="F194" s="41">
        <v>7</v>
      </c>
      <c r="G194" s="149">
        <v>4</v>
      </c>
      <c r="H194" s="46">
        <v>0</v>
      </c>
      <c r="N194" s="21">
        <v>1</v>
      </c>
    </row>
    <row r="195" spans="2:14" ht="18">
      <c r="B195" s="41">
        <v>16</v>
      </c>
      <c r="C195" s="41">
        <v>73</v>
      </c>
      <c r="D195" s="41">
        <v>8</v>
      </c>
      <c r="E195" s="41">
        <v>6</v>
      </c>
      <c r="F195" s="41">
        <v>7</v>
      </c>
      <c r="G195" s="149">
        <v>1</v>
      </c>
      <c r="H195" s="46">
        <v>0</v>
      </c>
      <c r="N195" s="21">
        <v>1</v>
      </c>
    </row>
    <row r="196" spans="2:14" ht="18">
      <c r="B196" s="41">
        <v>16</v>
      </c>
      <c r="C196" s="41">
        <v>73</v>
      </c>
      <c r="D196" s="41">
        <v>9</v>
      </c>
      <c r="E196" s="41">
        <v>3</v>
      </c>
      <c r="F196" s="41">
        <v>8</v>
      </c>
      <c r="G196" s="149">
        <v>1</v>
      </c>
      <c r="H196" s="46">
        <v>0</v>
      </c>
      <c r="N196" s="21">
        <v>1</v>
      </c>
    </row>
    <row r="197" spans="2:14" ht="18">
      <c r="B197" s="41">
        <v>16</v>
      </c>
      <c r="C197" s="41">
        <v>73</v>
      </c>
      <c r="D197" s="41">
        <v>10</v>
      </c>
      <c r="E197" s="41">
        <v>3</v>
      </c>
      <c r="F197" s="41">
        <v>5</v>
      </c>
      <c r="G197" s="149">
        <v>4</v>
      </c>
      <c r="H197" s="46">
        <v>0</v>
      </c>
      <c r="N197" s="21">
        <v>1</v>
      </c>
    </row>
    <row r="198" spans="2:14" ht="18">
      <c r="B198" s="41">
        <v>16</v>
      </c>
      <c r="C198" s="41">
        <v>73</v>
      </c>
      <c r="D198" s="41">
        <v>11</v>
      </c>
      <c r="E198" s="41">
        <v>4</v>
      </c>
      <c r="F198" s="41">
        <v>6</v>
      </c>
      <c r="G198" s="149">
        <v>5</v>
      </c>
      <c r="H198" s="46">
        <v>0</v>
      </c>
      <c r="N198" s="21">
        <v>1</v>
      </c>
    </row>
    <row r="199" spans="2:14" ht="18">
      <c r="B199" s="41">
        <v>16</v>
      </c>
      <c r="C199" s="41">
        <v>73</v>
      </c>
      <c r="D199" s="41">
        <v>12</v>
      </c>
      <c r="E199" s="41">
        <v>4</v>
      </c>
      <c r="F199" s="41">
        <v>1</v>
      </c>
      <c r="G199" s="149">
        <v>0</v>
      </c>
      <c r="H199" s="46">
        <v>0</v>
      </c>
      <c r="N199" s="21">
        <v>1</v>
      </c>
    </row>
    <row r="200" spans="2:14" ht="18">
      <c r="B200" s="41">
        <v>16</v>
      </c>
      <c r="C200" s="41">
        <v>76</v>
      </c>
      <c r="D200" s="41">
        <v>11</v>
      </c>
      <c r="E200" s="41">
        <v>8</v>
      </c>
      <c r="F200" s="41">
        <v>4</v>
      </c>
      <c r="G200" s="149">
        <v>5</v>
      </c>
      <c r="H200" s="46">
        <v>2</v>
      </c>
      <c r="N200" s="21">
        <v>1</v>
      </c>
    </row>
    <row r="201" spans="2:14" ht="18">
      <c r="B201" s="41">
        <v>16</v>
      </c>
      <c r="C201" s="41">
        <v>76</v>
      </c>
      <c r="D201" s="41">
        <v>12</v>
      </c>
      <c r="E201" s="41">
        <v>3</v>
      </c>
      <c r="F201" s="41">
        <v>3</v>
      </c>
      <c r="G201" s="149">
        <v>4</v>
      </c>
      <c r="H201" s="46">
        <v>1</v>
      </c>
      <c r="N201" s="21">
        <v>1</v>
      </c>
    </row>
    <row r="202" spans="2:14" ht="18">
      <c r="B202" s="41">
        <v>16</v>
      </c>
      <c r="C202" s="41">
        <v>80</v>
      </c>
      <c r="D202" s="41">
        <v>10</v>
      </c>
      <c r="E202" s="41">
        <v>11</v>
      </c>
      <c r="F202" s="41">
        <v>2</v>
      </c>
      <c r="G202" s="149">
        <v>0</v>
      </c>
      <c r="H202" s="46">
        <v>0</v>
      </c>
      <c r="N202" s="21">
        <v>1</v>
      </c>
    </row>
    <row r="203" spans="2:14" ht="18">
      <c r="B203" s="41">
        <v>16</v>
      </c>
      <c r="C203" s="41">
        <v>80</v>
      </c>
      <c r="D203" s="41">
        <v>11</v>
      </c>
      <c r="E203" s="41">
        <v>10</v>
      </c>
      <c r="F203" s="41">
        <v>2</v>
      </c>
      <c r="G203" s="149">
        <v>6</v>
      </c>
      <c r="H203" s="46">
        <v>1</v>
      </c>
      <c r="N203" s="21">
        <v>1</v>
      </c>
    </row>
    <row r="204" spans="2:14" ht="18">
      <c r="B204" s="41">
        <v>16</v>
      </c>
      <c r="C204" s="41">
        <v>80</v>
      </c>
      <c r="D204" s="41">
        <v>12</v>
      </c>
      <c r="E204" s="41">
        <v>5</v>
      </c>
      <c r="F204" s="41">
        <v>1</v>
      </c>
      <c r="G204" s="149">
        <v>0</v>
      </c>
      <c r="H204" s="46">
        <v>0</v>
      </c>
      <c r="N204" s="21">
        <v>1</v>
      </c>
    </row>
    <row r="205" spans="2:14" ht="18">
      <c r="B205" s="41"/>
      <c r="C205" s="41"/>
      <c r="D205" s="41"/>
      <c r="E205" s="41"/>
      <c r="F205" s="41"/>
      <c r="G205" s="149"/>
      <c r="H205" s="46"/>
      <c r="N205" s="21">
        <v>1</v>
      </c>
    </row>
    <row r="206" spans="2:14" ht="18">
      <c r="B206" s="41"/>
      <c r="C206" s="41"/>
      <c r="D206" s="41"/>
      <c r="E206" s="41"/>
      <c r="F206" s="41"/>
      <c r="G206" s="149"/>
      <c r="H206" s="46"/>
      <c r="N206" s="21">
        <v>1</v>
      </c>
    </row>
    <row r="207" spans="2:14" ht="18">
      <c r="B207" s="41"/>
      <c r="C207" s="41"/>
      <c r="D207" s="41"/>
      <c r="E207" s="41"/>
      <c r="F207" s="41"/>
      <c r="G207" s="149"/>
      <c r="H207" s="46"/>
      <c r="N207" s="21">
        <v>1</v>
      </c>
    </row>
    <row r="208" spans="2:14" ht="18">
      <c r="B208" s="41"/>
      <c r="C208" s="41"/>
      <c r="D208" s="41"/>
      <c r="E208" s="41"/>
      <c r="F208" s="41"/>
      <c r="G208" s="149"/>
      <c r="H208" s="46"/>
      <c r="N208" s="21">
        <v>1</v>
      </c>
    </row>
    <row r="209" spans="2:14" ht="18">
      <c r="B209" s="41"/>
      <c r="C209" s="41"/>
      <c r="D209" s="41"/>
      <c r="E209" s="41"/>
      <c r="F209" s="41"/>
      <c r="G209" s="149"/>
      <c r="H209" s="46"/>
      <c r="N209" s="21">
        <v>1</v>
      </c>
    </row>
    <row r="210" spans="2:14" ht="18">
      <c r="B210" s="41"/>
      <c r="C210" s="41"/>
      <c r="D210" s="41"/>
      <c r="E210" s="41"/>
      <c r="F210" s="41"/>
      <c r="G210" s="149"/>
      <c r="H210" s="46"/>
      <c r="N210" s="21">
        <v>1</v>
      </c>
    </row>
    <row r="211" spans="2:14" ht="18">
      <c r="B211" s="41"/>
      <c r="C211" s="41"/>
      <c r="D211" s="41"/>
      <c r="E211" s="41"/>
      <c r="F211" s="41"/>
      <c r="G211" s="149"/>
      <c r="H211" s="46"/>
      <c r="N211" s="21">
        <v>1</v>
      </c>
    </row>
    <row r="212" spans="2:14" ht="18">
      <c r="B212" s="41"/>
      <c r="C212" s="41"/>
      <c r="D212" s="41"/>
      <c r="E212" s="41"/>
      <c r="F212" s="41"/>
      <c r="G212" s="149"/>
      <c r="H212" s="46"/>
      <c r="N212" s="21">
        <v>1</v>
      </c>
    </row>
    <row r="213" spans="2:14" ht="18">
      <c r="B213" s="41"/>
      <c r="C213" s="41"/>
      <c r="D213" s="41"/>
      <c r="E213" s="41"/>
      <c r="F213" s="41"/>
      <c r="G213" s="149"/>
      <c r="H213" s="46"/>
      <c r="N213" s="21">
        <v>1</v>
      </c>
    </row>
    <row r="214" spans="2:14" ht="18">
      <c r="B214" s="41"/>
      <c r="C214" s="41"/>
      <c r="D214" s="41"/>
      <c r="E214" s="41"/>
      <c r="F214" s="41"/>
      <c r="G214" s="149"/>
      <c r="H214" s="46"/>
      <c r="N214" s="21">
        <v>1</v>
      </c>
    </row>
    <row r="215" spans="2:14" ht="18">
      <c r="B215" s="41"/>
      <c r="C215" s="41"/>
      <c r="D215" s="41"/>
      <c r="E215" s="41"/>
      <c r="F215" s="41"/>
      <c r="G215" s="149"/>
      <c r="H215" s="46"/>
      <c r="N215" s="21">
        <v>1</v>
      </c>
    </row>
    <row r="216" spans="2:14" ht="18">
      <c r="B216" s="41"/>
      <c r="C216" s="41"/>
      <c r="D216" s="41"/>
      <c r="E216" s="41"/>
      <c r="F216" s="41"/>
      <c r="G216" s="149"/>
      <c r="H216" s="46"/>
      <c r="N216" s="21">
        <v>1</v>
      </c>
    </row>
    <row r="217" spans="2:14" ht="18">
      <c r="B217" s="41"/>
      <c r="C217" s="41"/>
      <c r="D217" s="41"/>
      <c r="E217" s="41"/>
      <c r="F217" s="41"/>
      <c r="G217" s="149"/>
      <c r="H217" s="46"/>
      <c r="N217" s="21">
        <v>1</v>
      </c>
    </row>
    <row r="218" spans="2:14" ht="18">
      <c r="B218" s="41"/>
      <c r="C218" s="41"/>
      <c r="D218" s="41"/>
      <c r="E218" s="41"/>
      <c r="F218" s="41"/>
      <c r="G218" s="149"/>
      <c r="H218" s="46"/>
      <c r="N218" s="21">
        <v>1</v>
      </c>
    </row>
    <row r="219" spans="2:14" ht="18">
      <c r="B219" s="41"/>
      <c r="C219" s="41"/>
      <c r="D219" s="41"/>
      <c r="E219" s="41"/>
      <c r="F219" s="41"/>
      <c r="G219" s="149"/>
      <c r="H219" s="46"/>
      <c r="N219" s="21">
        <v>1</v>
      </c>
    </row>
    <row r="220" spans="2:14" ht="18">
      <c r="B220" s="41"/>
      <c r="C220" s="41"/>
      <c r="D220" s="41"/>
      <c r="E220" s="41"/>
      <c r="F220" s="41"/>
      <c r="G220" s="149"/>
      <c r="H220" s="46"/>
      <c r="N220" s="21">
        <v>1</v>
      </c>
    </row>
    <row r="221" spans="2:14" ht="18">
      <c r="B221" s="41"/>
      <c r="C221" s="41"/>
      <c r="D221" s="41"/>
      <c r="E221" s="41"/>
      <c r="F221" s="41"/>
      <c r="G221" s="149"/>
      <c r="H221" s="46"/>
      <c r="N221" s="21">
        <v>1</v>
      </c>
    </row>
    <row r="222" spans="2:14" ht="18">
      <c r="B222" s="41"/>
      <c r="C222" s="41"/>
      <c r="D222" s="41"/>
      <c r="E222" s="41"/>
      <c r="F222" s="41"/>
      <c r="G222" s="149"/>
      <c r="H222" s="46"/>
      <c r="N222" s="21">
        <v>1</v>
      </c>
    </row>
    <row r="223" spans="2:14" ht="18">
      <c r="B223" s="41"/>
      <c r="C223" s="41"/>
      <c r="D223" s="41"/>
      <c r="E223" s="41"/>
      <c r="F223" s="41"/>
      <c r="G223" s="149"/>
      <c r="H223" s="46"/>
      <c r="N223" s="21">
        <v>1</v>
      </c>
    </row>
    <row r="224" spans="2:14" ht="18">
      <c r="B224" s="41"/>
      <c r="C224" s="41"/>
      <c r="D224" s="41"/>
      <c r="E224" s="41"/>
      <c r="F224" s="41"/>
      <c r="G224" s="149"/>
      <c r="H224" s="46"/>
      <c r="N224" s="21">
        <v>1</v>
      </c>
    </row>
    <row r="225" spans="2:14" ht="18">
      <c r="B225" s="41"/>
      <c r="C225" s="41"/>
      <c r="D225" s="41"/>
      <c r="E225" s="41"/>
      <c r="F225" s="41"/>
      <c r="G225" s="149"/>
      <c r="H225" s="46"/>
      <c r="N225" s="21">
        <v>1</v>
      </c>
    </row>
    <row r="226" spans="2:14" ht="18">
      <c r="B226" s="41"/>
      <c r="C226" s="41"/>
      <c r="D226" s="41"/>
      <c r="E226" s="41"/>
      <c r="F226" s="41"/>
      <c r="G226" s="149"/>
      <c r="H226" s="46"/>
      <c r="N226" s="21">
        <v>1</v>
      </c>
    </row>
    <row r="227" spans="2:14" ht="18">
      <c r="B227" s="41"/>
      <c r="C227" s="41"/>
      <c r="D227" s="41"/>
      <c r="E227" s="41"/>
      <c r="F227" s="41"/>
      <c r="G227" s="149"/>
      <c r="H227" s="46"/>
      <c r="N227" s="21">
        <v>1</v>
      </c>
    </row>
    <row r="228" spans="2:14" ht="18">
      <c r="B228" s="41"/>
      <c r="C228" s="41"/>
      <c r="D228" s="41"/>
      <c r="E228" s="41"/>
      <c r="F228" s="41"/>
      <c r="G228" s="149"/>
      <c r="H228" s="46"/>
      <c r="N228" s="21">
        <v>1</v>
      </c>
    </row>
    <row r="229" spans="2:14" ht="18">
      <c r="B229" s="41"/>
      <c r="C229" s="41"/>
      <c r="D229" s="41"/>
      <c r="E229" s="41"/>
      <c r="F229" s="41"/>
      <c r="G229" s="149"/>
      <c r="H229" s="46"/>
      <c r="N229" s="21">
        <v>1</v>
      </c>
    </row>
    <row r="230" spans="2:14" ht="18">
      <c r="B230" s="41"/>
      <c r="C230" s="41"/>
      <c r="D230" s="41"/>
      <c r="E230" s="41"/>
      <c r="F230" s="41"/>
      <c r="G230" s="149"/>
      <c r="H230" s="46"/>
      <c r="N230" s="21">
        <v>1</v>
      </c>
    </row>
    <row r="231" spans="2:14" ht="18">
      <c r="B231" s="41"/>
      <c r="C231" s="41"/>
      <c r="D231" s="41"/>
      <c r="E231" s="41"/>
      <c r="F231" s="41"/>
      <c r="G231" s="149"/>
      <c r="H231" s="46"/>
      <c r="N231" s="21">
        <v>1</v>
      </c>
    </row>
    <row r="232" spans="2:14" ht="18">
      <c r="B232" s="41"/>
      <c r="C232" s="41"/>
      <c r="D232" s="41"/>
      <c r="E232" s="41"/>
      <c r="F232" s="41"/>
      <c r="G232" s="149"/>
      <c r="H232" s="46"/>
      <c r="N232" s="21">
        <v>1</v>
      </c>
    </row>
    <row r="233" spans="2:14" ht="18">
      <c r="B233" s="41"/>
      <c r="C233" s="41"/>
      <c r="D233" s="41"/>
      <c r="E233" s="41"/>
      <c r="F233" s="41"/>
      <c r="G233" s="149"/>
      <c r="H233" s="46"/>
      <c r="N233" s="21">
        <v>1</v>
      </c>
    </row>
    <row r="234" spans="2:14" ht="18">
      <c r="B234" s="41"/>
      <c r="C234" s="41"/>
      <c r="D234" s="41"/>
      <c r="E234" s="41"/>
      <c r="F234" s="41"/>
      <c r="G234" s="149"/>
      <c r="H234" s="46"/>
      <c r="N234" s="21">
        <v>1</v>
      </c>
    </row>
    <row r="235" spans="2:14" ht="18">
      <c r="B235" s="41"/>
      <c r="C235" s="41"/>
      <c r="D235" s="41"/>
      <c r="E235" s="41"/>
      <c r="F235" s="41"/>
      <c r="G235" s="149"/>
      <c r="H235" s="46"/>
      <c r="N235" s="21">
        <v>1</v>
      </c>
    </row>
    <row r="236" spans="2:14" ht="18">
      <c r="B236" s="41"/>
      <c r="C236" s="41"/>
      <c r="D236" s="41"/>
      <c r="E236" s="41"/>
      <c r="F236" s="41"/>
      <c r="G236" s="149"/>
      <c r="H236" s="46"/>
      <c r="N236" s="21">
        <v>1</v>
      </c>
    </row>
    <row r="237" spans="2:14" ht="18">
      <c r="B237" s="41"/>
      <c r="C237" s="41"/>
      <c r="D237" s="41"/>
      <c r="E237" s="41"/>
      <c r="F237" s="41"/>
      <c r="G237" s="149"/>
      <c r="H237" s="46"/>
      <c r="N237" s="21">
        <v>1</v>
      </c>
    </row>
    <row r="238" spans="2:14" ht="18">
      <c r="B238" s="41"/>
      <c r="C238" s="41"/>
      <c r="D238" s="41"/>
      <c r="E238" s="41"/>
      <c r="F238" s="41"/>
      <c r="G238" s="149"/>
      <c r="H238" s="46"/>
      <c r="N238" s="21">
        <v>1</v>
      </c>
    </row>
    <row r="239" spans="2:14" ht="18">
      <c r="B239" s="41"/>
      <c r="C239" s="41"/>
      <c r="D239" s="41"/>
      <c r="E239" s="41"/>
      <c r="F239" s="41"/>
      <c r="G239" s="149"/>
      <c r="H239" s="46"/>
      <c r="N239" s="21">
        <v>1</v>
      </c>
    </row>
    <row r="240" spans="2:14" ht="18">
      <c r="B240" s="41"/>
      <c r="C240" s="41"/>
      <c r="D240" s="41"/>
      <c r="E240" s="41"/>
      <c r="F240" s="41"/>
      <c r="G240" s="149"/>
      <c r="H240" s="46"/>
      <c r="N240" s="21">
        <v>1</v>
      </c>
    </row>
    <row r="241" spans="2:14" ht="18">
      <c r="B241" s="41"/>
      <c r="C241" s="41"/>
      <c r="D241" s="41"/>
      <c r="E241" s="41"/>
      <c r="F241" s="41"/>
      <c r="G241" s="149"/>
      <c r="H241" s="46"/>
      <c r="N241" s="21">
        <v>1</v>
      </c>
    </row>
    <row r="242" spans="2:14" ht="18">
      <c r="B242" s="41"/>
      <c r="C242" s="41"/>
      <c r="D242" s="41"/>
      <c r="E242" s="41"/>
      <c r="F242" s="41"/>
      <c r="G242" s="149"/>
      <c r="H242" s="46"/>
      <c r="N242" s="21">
        <v>1</v>
      </c>
    </row>
    <row r="243" spans="2:14" ht="18">
      <c r="B243" s="41"/>
      <c r="C243" s="41"/>
      <c r="D243" s="41"/>
      <c r="E243" s="41"/>
      <c r="F243" s="41"/>
      <c r="G243" s="149"/>
      <c r="H243" s="46"/>
      <c r="N243" s="21">
        <v>1</v>
      </c>
    </row>
    <row r="244" spans="2:14" ht="18">
      <c r="B244" s="41"/>
      <c r="C244" s="41"/>
      <c r="D244" s="41"/>
      <c r="E244" s="41"/>
      <c r="F244" s="41"/>
      <c r="G244" s="149"/>
      <c r="H244" s="46"/>
      <c r="N244" s="21">
        <v>1</v>
      </c>
    </row>
    <row r="245" spans="2:14" ht="18">
      <c r="B245" s="41"/>
      <c r="C245" s="41"/>
      <c r="D245" s="41"/>
      <c r="E245" s="41"/>
      <c r="F245" s="41"/>
      <c r="G245" s="149"/>
      <c r="H245" s="46"/>
      <c r="N245" s="21">
        <v>1</v>
      </c>
    </row>
    <row r="246" spans="2:14" ht="18">
      <c r="B246" s="41"/>
      <c r="C246" s="41"/>
      <c r="D246" s="41"/>
      <c r="E246" s="41"/>
      <c r="F246" s="41"/>
      <c r="G246" s="149"/>
      <c r="H246" s="46"/>
      <c r="N246" s="21">
        <v>1</v>
      </c>
    </row>
    <row r="247" spans="2:14" ht="18">
      <c r="B247" s="41"/>
      <c r="C247" s="41"/>
      <c r="D247" s="41"/>
      <c r="E247" s="41"/>
      <c r="F247" s="41"/>
      <c r="G247" s="149"/>
      <c r="H247" s="46"/>
      <c r="N247" s="21">
        <v>1</v>
      </c>
    </row>
    <row r="248" spans="2:14" ht="18">
      <c r="B248" s="41"/>
      <c r="C248" s="41"/>
      <c r="D248" s="41"/>
      <c r="E248" s="41"/>
      <c r="F248" s="41"/>
      <c r="G248" s="149"/>
      <c r="H248" s="46"/>
      <c r="N248" s="21">
        <v>1</v>
      </c>
    </row>
    <row r="249" spans="2:14" ht="18">
      <c r="B249" s="41"/>
      <c r="C249" s="41"/>
      <c r="D249" s="41"/>
      <c r="E249" s="41"/>
      <c r="F249" s="41"/>
      <c r="G249" s="149"/>
      <c r="H249" s="46"/>
      <c r="N249" s="21">
        <v>1</v>
      </c>
    </row>
    <row r="250" spans="2:14" ht="18">
      <c r="B250" s="41"/>
      <c r="C250" s="41"/>
      <c r="D250" s="41"/>
      <c r="E250" s="41"/>
      <c r="F250" s="41"/>
      <c r="G250" s="149"/>
      <c r="H250" s="46"/>
      <c r="N250" s="21">
        <v>1</v>
      </c>
    </row>
    <row r="251" spans="2:14" ht="18">
      <c r="B251" s="41"/>
      <c r="C251" s="41"/>
      <c r="D251" s="41"/>
      <c r="E251" s="41"/>
      <c r="F251" s="41"/>
      <c r="G251" s="149"/>
      <c r="H251" s="46"/>
      <c r="N251" s="21">
        <v>1</v>
      </c>
    </row>
    <row r="252" spans="2:14" ht="18">
      <c r="B252" s="41"/>
      <c r="C252" s="41"/>
      <c r="D252" s="41"/>
      <c r="E252" s="41"/>
      <c r="F252" s="41"/>
      <c r="G252" s="149"/>
      <c r="H252" s="46"/>
      <c r="N252" s="21">
        <v>1</v>
      </c>
    </row>
    <row r="253" spans="2:14" ht="18">
      <c r="B253" s="41"/>
      <c r="C253" s="41"/>
      <c r="D253" s="41"/>
      <c r="E253" s="41"/>
      <c r="F253" s="41"/>
      <c r="G253" s="149"/>
      <c r="H253" s="46"/>
      <c r="N253" s="21">
        <v>1</v>
      </c>
    </row>
    <row r="254" spans="2:14" ht="18">
      <c r="B254" s="41"/>
      <c r="C254" s="41"/>
      <c r="D254" s="41"/>
      <c r="E254" s="41"/>
      <c r="F254" s="41"/>
      <c r="G254" s="149"/>
      <c r="H254" s="46"/>
      <c r="N254" s="21">
        <v>1</v>
      </c>
    </row>
    <row r="255" spans="2:14" ht="18">
      <c r="B255" s="41"/>
      <c r="C255" s="41"/>
      <c r="D255" s="41"/>
      <c r="E255" s="41"/>
      <c r="F255" s="41"/>
      <c r="G255" s="149"/>
      <c r="H255" s="46"/>
      <c r="N255" s="21">
        <v>1</v>
      </c>
    </row>
    <row r="256" spans="2:14" ht="18">
      <c r="B256" s="41"/>
      <c r="C256" s="41"/>
      <c r="D256" s="41"/>
      <c r="E256" s="41"/>
      <c r="F256" s="41"/>
      <c r="G256" s="149"/>
      <c r="H256" s="46"/>
      <c r="N256" s="21">
        <v>1</v>
      </c>
    </row>
    <row r="257" spans="2:14" ht="18">
      <c r="B257" s="41"/>
      <c r="C257" s="41"/>
      <c r="D257" s="41"/>
      <c r="E257" s="41"/>
      <c r="F257" s="41"/>
      <c r="G257" s="149"/>
      <c r="H257" s="46"/>
      <c r="N257" s="21">
        <v>1</v>
      </c>
    </row>
    <row r="258" spans="2:14" ht="18">
      <c r="B258" s="41"/>
      <c r="C258" s="41"/>
      <c r="D258" s="41"/>
      <c r="E258" s="41"/>
      <c r="F258" s="41"/>
      <c r="G258" s="149"/>
      <c r="H258" s="46"/>
      <c r="N258" s="21">
        <v>1</v>
      </c>
    </row>
    <row r="259" spans="2:14" ht="18">
      <c r="B259" s="41"/>
      <c r="C259" s="41"/>
      <c r="D259" s="41"/>
      <c r="E259" s="41"/>
      <c r="F259" s="41"/>
      <c r="G259" s="149"/>
      <c r="H259" s="46"/>
      <c r="N259" s="21">
        <v>1</v>
      </c>
    </row>
    <row r="260" spans="2:14" ht="18">
      <c r="B260" s="41"/>
      <c r="C260" s="41"/>
      <c r="D260" s="41"/>
      <c r="E260" s="41"/>
      <c r="F260" s="41"/>
      <c r="G260" s="149"/>
      <c r="H260" s="46"/>
      <c r="N260" s="21">
        <v>1</v>
      </c>
    </row>
    <row r="261" spans="2:14" ht="18">
      <c r="B261" s="41"/>
      <c r="C261" s="41"/>
      <c r="D261" s="41"/>
      <c r="E261" s="41"/>
      <c r="F261" s="41"/>
      <c r="G261" s="149"/>
      <c r="H261" s="46"/>
      <c r="N261" s="21">
        <v>1</v>
      </c>
    </row>
    <row r="262" spans="2:14" ht="18">
      <c r="B262" s="41"/>
      <c r="C262" s="41"/>
      <c r="D262" s="41"/>
      <c r="E262" s="41"/>
      <c r="F262" s="41"/>
      <c r="G262" s="149"/>
      <c r="H262" s="46"/>
      <c r="N262" s="21">
        <v>1</v>
      </c>
    </row>
    <row r="263" spans="2:14" ht="18">
      <c r="B263" s="41"/>
      <c r="C263" s="41"/>
      <c r="D263" s="41"/>
      <c r="E263" s="41"/>
      <c r="F263" s="41"/>
      <c r="G263" s="149"/>
      <c r="H263" s="46"/>
      <c r="N263" s="21">
        <v>1</v>
      </c>
    </row>
    <row r="264" spans="2:14" ht="18">
      <c r="B264" s="41"/>
      <c r="C264" s="41"/>
      <c r="D264" s="41"/>
      <c r="E264" s="41"/>
      <c r="F264" s="41"/>
      <c r="G264" s="149"/>
      <c r="H264" s="46"/>
      <c r="N264" s="21">
        <v>1</v>
      </c>
    </row>
    <row r="265" spans="2:14" ht="18">
      <c r="B265" s="41"/>
      <c r="C265" s="41"/>
      <c r="D265" s="41"/>
      <c r="E265" s="41"/>
      <c r="F265" s="41"/>
      <c r="G265" s="149"/>
      <c r="H265" s="46"/>
      <c r="N265" s="21">
        <v>1</v>
      </c>
    </row>
    <row r="266" spans="2:14" ht="18">
      <c r="B266" s="41"/>
      <c r="C266" s="41"/>
      <c r="D266" s="41"/>
      <c r="E266" s="41"/>
      <c r="F266" s="41"/>
      <c r="G266" s="149"/>
      <c r="H266" s="46"/>
      <c r="N266" s="21">
        <v>1</v>
      </c>
    </row>
    <row r="267" spans="2:14" ht="18">
      <c r="B267" s="41"/>
      <c r="C267" s="41"/>
      <c r="D267" s="41"/>
      <c r="E267" s="41"/>
      <c r="F267" s="41"/>
      <c r="G267" s="149"/>
      <c r="H267" s="46"/>
      <c r="N267" s="21">
        <v>1</v>
      </c>
    </row>
    <row r="268" spans="2:14" ht="18">
      <c r="B268" s="41"/>
      <c r="C268" s="41"/>
      <c r="D268" s="41"/>
      <c r="E268" s="41"/>
      <c r="F268" s="41"/>
      <c r="G268" s="149"/>
      <c r="H268" s="46"/>
      <c r="N268" s="21">
        <v>1</v>
      </c>
    </row>
    <row r="269" spans="2:14" ht="18">
      <c r="B269" s="41"/>
      <c r="C269" s="41"/>
      <c r="D269" s="41"/>
      <c r="E269" s="41"/>
      <c r="F269" s="41"/>
      <c r="G269" s="149"/>
      <c r="H269" s="46"/>
      <c r="N269" s="21">
        <v>1</v>
      </c>
    </row>
    <row r="270" spans="2:14" ht="18">
      <c r="B270" s="41"/>
      <c r="C270" s="41"/>
      <c r="D270" s="41"/>
      <c r="E270" s="41"/>
      <c r="F270" s="41"/>
      <c r="G270" s="149"/>
      <c r="H270" s="46"/>
      <c r="N270" s="21">
        <v>1</v>
      </c>
    </row>
    <row r="271" spans="2:14" ht="18">
      <c r="B271" s="41"/>
      <c r="C271" s="41"/>
      <c r="D271" s="41"/>
      <c r="E271" s="41"/>
      <c r="F271" s="41"/>
      <c r="G271" s="149"/>
      <c r="H271" s="46"/>
      <c r="N271" s="21">
        <v>1</v>
      </c>
    </row>
    <row r="272" spans="2:14" ht="18">
      <c r="B272" s="41"/>
      <c r="C272" s="41"/>
      <c r="D272" s="41"/>
      <c r="E272" s="41"/>
      <c r="F272" s="41"/>
      <c r="G272" s="149"/>
      <c r="H272" s="46"/>
      <c r="N272" s="21">
        <v>1</v>
      </c>
    </row>
    <row r="273" spans="2:14" ht="18">
      <c r="B273" s="41"/>
      <c r="C273" s="41"/>
      <c r="D273" s="41"/>
      <c r="E273" s="41"/>
      <c r="F273" s="41"/>
      <c r="G273" s="149"/>
      <c r="H273" s="46"/>
      <c r="N273" s="21">
        <v>1</v>
      </c>
    </row>
    <row r="274" spans="2:14" ht="18">
      <c r="B274" s="41"/>
      <c r="C274" s="41"/>
      <c r="D274" s="41"/>
      <c r="E274" s="41"/>
      <c r="F274" s="41"/>
      <c r="G274" s="149"/>
      <c r="H274" s="46"/>
      <c r="N274" s="21">
        <v>1</v>
      </c>
    </row>
    <row r="275" spans="2:14" ht="18">
      <c r="B275" s="41"/>
      <c r="C275" s="41"/>
      <c r="D275" s="41"/>
      <c r="E275" s="41"/>
      <c r="F275" s="41"/>
      <c r="G275" s="149"/>
      <c r="H275" s="46"/>
      <c r="N275" s="21">
        <v>1</v>
      </c>
    </row>
    <row r="276" spans="2:14" ht="18">
      <c r="B276" s="41"/>
      <c r="C276" s="41"/>
      <c r="D276" s="41"/>
      <c r="E276" s="41"/>
      <c r="F276" s="41"/>
      <c r="G276" s="149"/>
      <c r="H276" s="46"/>
      <c r="N276" s="21">
        <v>1</v>
      </c>
    </row>
    <row r="277" spans="2:14" ht="18">
      <c r="B277" s="41"/>
      <c r="C277" s="41"/>
      <c r="D277" s="41"/>
      <c r="E277" s="41"/>
      <c r="F277" s="41"/>
      <c r="G277" s="149"/>
      <c r="H277" s="46"/>
      <c r="N277" s="21">
        <v>1</v>
      </c>
    </row>
    <row r="278" spans="2:14" ht="18">
      <c r="B278" s="41"/>
      <c r="C278" s="41"/>
      <c r="D278" s="41"/>
      <c r="E278" s="41"/>
      <c r="F278" s="41"/>
      <c r="G278" s="149"/>
      <c r="H278" s="46"/>
      <c r="N278" s="21">
        <v>1</v>
      </c>
    </row>
    <row r="279" spans="2:14" ht="18">
      <c r="B279" s="41"/>
      <c r="C279" s="41"/>
      <c r="D279" s="41"/>
      <c r="E279" s="41"/>
      <c r="F279" s="41"/>
      <c r="G279" s="149"/>
      <c r="H279" s="46"/>
      <c r="N279" s="21">
        <v>1</v>
      </c>
    </row>
    <row r="280" spans="2:14" ht="18">
      <c r="B280" s="41"/>
      <c r="C280" s="41"/>
      <c r="D280" s="41"/>
      <c r="E280" s="41"/>
      <c r="F280" s="41"/>
      <c r="G280" s="149"/>
      <c r="H280" s="46"/>
      <c r="N280" s="21">
        <v>1</v>
      </c>
    </row>
    <row r="281" spans="2:14" ht="18">
      <c r="B281" s="41"/>
      <c r="C281" s="41"/>
      <c r="D281" s="41"/>
      <c r="E281" s="41"/>
      <c r="F281" s="41"/>
      <c r="G281" s="149"/>
      <c r="H281" s="46"/>
      <c r="N281" s="21">
        <v>1</v>
      </c>
    </row>
    <row r="282" spans="2:14" ht="18">
      <c r="B282" s="41"/>
      <c r="C282" s="41"/>
      <c r="D282" s="41"/>
      <c r="E282" s="41"/>
      <c r="F282" s="41"/>
      <c r="G282" s="149"/>
      <c r="H282" s="46"/>
      <c r="N282" s="21">
        <v>1</v>
      </c>
    </row>
    <row r="283" spans="2:14" ht="18">
      <c r="B283" s="41"/>
      <c r="C283" s="41"/>
      <c r="D283" s="41"/>
      <c r="E283" s="41"/>
      <c r="F283" s="41"/>
      <c r="G283" s="149"/>
      <c r="H283" s="46"/>
      <c r="N283" s="21">
        <v>1</v>
      </c>
    </row>
    <row r="284" spans="2:14" ht="18">
      <c r="B284" s="41"/>
      <c r="C284" s="41"/>
      <c r="D284" s="41"/>
      <c r="E284" s="41"/>
      <c r="F284" s="41"/>
      <c r="G284" s="149"/>
      <c r="H284" s="46"/>
      <c r="N284" s="21">
        <v>1</v>
      </c>
    </row>
    <row r="285" spans="2:14" ht="18">
      <c r="B285" s="41"/>
      <c r="C285" s="41"/>
      <c r="D285" s="41"/>
      <c r="E285" s="41"/>
      <c r="F285" s="41"/>
      <c r="G285" s="149"/>
      <c r="H285" s="46"/>
      <c r="N285" s="21">
        <v>1</v>
      </c>
    </row>
    <row r="286" spans="2:14" ht="18">
      <c r="B286" s="41"/>
      <c r="C286" s="41"/>
      <c r="D286" s="41"/>
      <c r="E286" s="41"/>
      <c r="F286" s="41"/>
      <c r="G286" s="149"/>
      <c r="H286" s="46"/>
      <c r="N286" s="21">
        <v>1</v>
      </c>
    </row>
    <row r="287" spans="2:14" ht="18">
      <c r="B287" s="41"/>
      <c r="C287" s="41"/>
      <c r="D287" s="41"/>
      <c r="E287" s="41"/>
      <c r="F287" s="41"/>
      <c r="G287" s="149"/>
      <c r="H287" s="46"/>
      <c r="N287" s="21">
        <v>1</v>
      </c>
    </row>
    <row r="288" spans="2:14" ht="18">
      <c r="B288" s="41"/>
      <c r="C288" s="41"/>
      <c r="D288" s="41"/>
      <c r="E288" s="41"/>
      <c r="F288" s="41"/>
      <c r="G288" s="149"/>
      <c r="H288" s="46"/>
      <c r="N288" s="21">
        <v>1</v>
      </c>
    </row>
    <row r="289" spans="2:14" ht="18">
      <c r="B289" s="41"/>
      <c r="C289" s="41"/>
      <c r="D289" s="41"/>
      <c r="E289" s="41"/>
      <c r="F289" s="41"/>
      <c r="G289" s="149"/>
      <c r="H289" s="46"/>
      <c r="N289" s="21">
        <v>1</v>
      </c>
    </row>
    <row r="290" spans="2:14" ht="18">
      <c r="B290" s="41"/>
      <c r="C290" s="41"/>
      <c r="D290" s="41"/>
      <c r="E290" s="41"/>
      <c r="F290" s="41"/>
      <c r="G290" s="149"/>
      <c r="H290" s="46"/>
      <c r="N290" s="21">
        <v>1</v>
      </c>
    </row>
    <row r="291" spans="2:14" ht="18">
      <c r="B291" s="41"/>
      <c r="C291" s="41"/>
      <c r="D291" s="41"/>
      <c r="E291" s="41"/>
      <c r="F291" s="41"/>
      <c r="G291" s="149"/>
      <c r="H291" s="46"/>
      <c r="N291" s="21">
        <v>1</v>
      </c>
    </row>
    <row r="292" spans="2:14" ht="18">
      <c r="B292" s="41"/>
      <c r="C292" s="41"/>
      <c r="D292" s="41"/>
      <c r="E292" s="41"/>
      <c r="F292" s="41"/>
      <c r="G292" s="149"/>
      <c r="H292" s="46"/>
      <c r="N292" s="21">
        <v>1</v>
      </c>
    </row>
    <row r="293" spans="2:14" ht="18">
      <c r="B293" s="41"/>
      <c r="C293" s="41"/>
      <c r="D293" s="41"/>
      <c r="E293" s="41"/>
      <c r="F293" s="41"/>
      <c r="G293" s="149"/>
      <c r="H293" s="46"/>
      <c r="N293" s="21">
        <v>1</v>
      </c>
    </row>
    <row r="294" spans="2:14" ht="18">
      <c r="B294" s="41"/>
      <c r="C294" s="41"/>
      <c r="D294" s="41"/>
      <c r="E294" s="41"/>
      <c r="F294" s="41"/>
      <c r="G294" s="149"/>
      <c r="H294" s="46"/>
      <c r="N294" s="21">
        <v>1</v>
      </c>
    </row>
    <row r="295" spans="2:14" ht="18">
      <c r="B295" s="41"/>
      <c r="C295" s="41"/>
      <c r="D295" s="41"/>
      <c r="E295" s="41"/>
      <c r="F295" s="41"/>
      <c r="G295" s="149"/>
      <c r="H295" s="46"/>
      <c r="N295" s="21">
        <v>1</v>
      </c>
    </row>
    <row r="296" spans="2:14" ht="18">
      <c r="B296" s="41"/>
      <c r="C296" s="41"/>
      <c r="D296" s="41"/>
      <c r="E296" s="41"/>
      <c r="F296" s="41"/>
      <c r="G296" s="149"/>
      <c r="H296" s="46"/>
      <c r="N296" s="21">
        <v>1</v>
      </c>
    </row>
    <row r="297" spans="2:14" ht="18">
      <c r="B297" s="41"/>
      <c r="C297" s="41"/>
      <c r="D297" s="41"/>
      <c r="E297" s="41"/>
      <c r="F297" s="41"/>
      <c r="G297" s="149"/>
      <c r="H297" s="46"/>
      <c r="N297" s="21">
        <v>1</v>
      </c>
    </row>
    <row r="298" spans="2:14" ht="18">
      <c r="B298" s="41"/>
      <c r="C298" s="41"/>
      <c r="D298" s="41"/>
      <c r="E298" s="41"/>
      <c r="F298" s="41"/>
      <c r="G298" s="149"/>
      <c r="H298" s="46"/>
      <c r="N298" s="21">
        <v>1</v>
      </c>
    </row>
    <row r="299" spans="2:14" ht="18">
      <c r="B299" s="41"/>
      <c r="C299" s="41"/>
      <c r="D299" s="41"/>
      <c r="E299" s="41"/>
      <c r="F299" s="41"/>
      <c r="G299" s="149"/>
      <c r="H299" s="46"/>
      <c r="N299" s="21">
        <v>1</v>
      </c>
    </row>
    <row r="300" spans="2:14" ht="18">
      <c r="B300" s="41"/>
      <c r="C300" s="41"/>
      <c r="D300" s="41"/>
      <c r="E300" s="41"/>
      <c r="F300" s="41"/>
      <c r="G300" s="149"/>
      <c r="H300" s="46"/>
      <c r="N300" s="21">
        <v>1</v>
      </c>
    </row>
    <row r="301" spans="2:14" ht="18">
      <c r="B301" s="41"/>
      <c r="C301" s="41"/>
      <c r="D301" s="41"/>
      <c r="E301" s="41"/>
      <c r="F301" s="41"/>
      <c r="G301" s="149"/>
      <c r="H301" s="46"/>
      <c r="N301" s="21">
        <v>1</v>
      </c>
    </row>
    <row r="302" spans="2:14" ht="18">
      <c r="B302" s="41"/>
      <c r="C302" s="41"/>
      <c r="D302" s="41"/>
      <c r="E302" s="41"/>
      <c r="F302" s="41"/>
      <c r="G302" s="149"/>
      <c r="H302" s="46"/>
      <c r="N302" s="21">
        <v>1</v>
      </c>
    </row>
    <row r="303" spans="2:14" ht="18">
      <c r="B303" s="41"/>
      <c r="C303" s="41"/>
      <c r="D303" s="41"/>
      <c r="E303" s="41"/>
      <c r="F303" s="41"/>
      <c r="G303" s="149"/>
      <c r="H303" s="46"/>
      <c r="N303" s="21">
        <v>1</v>
      </c>
    </row>
    <row r="304" spans="2:14" ht="18">
      <c r="B304" s="41"/>
      <c r="C304" s="41"/>
      <c r="D304" s="41"/>
      <c r="E304" s="41"/>
      <c r="F304" s="41"/>
      <c r="G304" s="149"/>
      <c r="H304" s="46"/>
      <c r="N304" s="21">
        <v>1</v>
      </c>
    </row>
    <row r="305" spans="2:14" ht="18">
      <c r="B305" s="41"/>
      <c r="C305" s="41"/>
      <c r="D305" s="41"/>
      <c r="E305" s="41"/>
      <c r="F305" s="41"/>
      <c r="G305" s="149"/>
      <c r="H305" s="46"/>
      <c r="N305" s="21">
        <v>1</v>
      </c>
    </row>
    <row r="306" spans="2:14" ht="18">
      <c r="B306" s="41"/>
      <c r="C306" s="41"/>
      <c r="D306" s="41"/>
      <c r="E306" s="41"/>
      <c r="F306" s="41"/>
      <c r="G306" s="149"/>
      <c r="H306" s="46"/>
      <c r="N306" s="21">
        <v>1</v>
      </c>
    </row>
    <row r="307" spans="2:14" ht="18">
      <c r="B307" s="41"/>
      <c r="C307" s="41"/>
      <c r="D307" s="41"/>
      <c r="E307" s="41"/>
      <c r="F307" s="41"/>
      <c r="G307" s="149"/>
      <c r="H307" s="46"/>
      <c r="N307" s="21">
        <v>1</v>
      </c>
    </row>
    <row r="308" spans="2:14" ht="18">
      <c r="B308" s="41"/>
      <c r="C308" s="41"/>
      <c r="D308" s="41"/>
      <c r="E308" s="41"/>
      <c r="F308" s="41"/>
      <c r="G308" s="149"/>
      <c r="H308" s="46"/>
      <c r="N308" s="21">
        <v>1</v>
      </c>
    </row>
    <row r="309" spans="2:14" ht="18">
      <c r="B309" s="41"/>
      <c r="C309" s="41"/>
      <c r="D309" s="41"/>
      <c r="E309" s="41"/>
      <c r="F309" s="41"/>
      <c r="G309" s="149"/>
      <c r="H309" s="46"/>
      <c r="N309" s="21">
        <v>1</v>
      </c>
    </row>
    <row r="310" spans="2:14" ht="18">
      <c r="B310" s="41"/>
      <c r="C310" s="41"/>
      <c r="D310" s="41"/>
      <c r="E310" s="41"/>
      <c r="F310" s="41"/>
      <c r="G310" s="149"/>
      <c r="H310" s="46"/>
      <c r="N310" s="21">
        <v>1</v>
      </c>
    </row>
    <row r="311" spans="2:14" ht="18">
      <c r="B311" s="41"/>
      <c r="C311" s="41"/>
      <c r="D311" s="41"/>
      <c r="E311" s="41"/>
      <c r="F311" s="41"/>
      <c r="G311" s="149"/>
      <c r="H311" s="46"/>
      <c r="N311" s="21">
        <v>1</v>
      </c>
    </row>
    <row r="312" spans="2:14" ht="18">
      <c r="B312" s="41"/>
      <c r="C312" s="41"/>
      <c r="D312" s="41"/>
      <c r="E312" s="41"/>
      <c r="F312" s="41"/>
      <c r="G312" s="149"/>
      <c r="H312" s="46"/>
      <c r="N312" s="21">
        <v>1</v>
      </c>
    </row>
    <row r="313" spans="2:14" ht="18">
      <c r="B313" s="41"/>
      <c r="C313" s="41"/>
      <c r="D313" s="41"/>
      <c r="E313" s="41"/>
      <c r="F313" s="41"/>
      <c r="G313" s="149"/>
      <c r="H313" s="46"/>
      <c r="N313" s="21">
        <v>1</v>
      </c>
    </row>
    <row r="314" spans="2:14" ht="18">
      <c r="B314" s="41"/>
      <c r="C314" s="41"/>
      <c r="D314" s="41"/>
      <c r="E314" s="41"/>
      <c r="F314" s="41"/>
      <c r="G314" s="149"/>
      <c r="H314" s="46"/>
      <c r="N314" s="21">
        <v>1</v>
      </c>
    </row>
    <row r="315" spans="2:14" ht="18">
      <c r="B315" s="41"/>
      <c r="C315" s="41"/>
      <c r="D315" s="41"/>
      <c r="E315" s="41"/>
      <c r="F315" s="41"/>
      <c r="G315" s="149"/>
      <c r="H315" s="46"/>
      <c r="N315" s="21">
        <v>1</v>
      </c>
    </row>
    <row r="316" spans="2:14" ht="18">
      <c r="B316" s="41"/>
      <c r="C316" s="41"/>
      <c r="D316" s="41"/>
      <c r="E316" s="41"/>
      <c r="F316" s="41"/>
      <c r="G316" s="149"/>
      <c r="H316" s="46"/>
      <c r="N316" s="21">
        <v>1</v>
      </c>
    </row>
    <row r="317" spans="2:14" ht="18">
      <c r="B317" s="41"/>
      <c r="C317" s="41"/>
      <c r="D317" s="41"/>
      <c r="E317" s="41"/>
      <c r="F317" s="41"/>
      <c r="G317" s="149"/>
      <c r="H317" s="46"/>
      <c r="N317" s="21">
        <v>1</v>
      </c>
    </row>
    <row r="318" spans="2:14" ht="18">
      <c r="B318" s="41"/>
      <c r="C318" s="41"/>
      <c r="D318" s="41"/>
      <c r="E318" s="41"/>
      <c r="F318" s="41"/>
      <c r="G318" s="149"/>
      <c r="H318" s="46"/>
      <c r="N318" s="21">
        <v>1</v>
      </c>
    </row>
    <row r="319" spans="2:14" ht="18">
      <c r="B319" s="41"/>
      <c r="C319" s="41"/>
      <c r="D319" s="41"/>
      <c r="E319" s="41"/>
      <c r="F319" s="41"/>
      <c r="G319" s="149"/>
      <c r="H319" s="46"/>
      <c r="N319" s="21">
        <v>1</v>
      </c>
    </row>
    <row r="320" spans="2:14" ht="18">
      <c r="B320" s="41"/>
      <c r="C320" s="41"/>
      <c r="D320" s="41"/>
      <c r="E320" s="41"/>
      <c r="F320" s="41"/>
      <c r="G320" s="149"/>
      <c r="H320" s="46"/>
      <c r="N320" s="21">
        <v>1</v>
      </c>
    </row>
    <row r="321" spans="2:14" ht="18">
      <c r="B321" s="41"/>
      <c r="C321" s="41"/>
      <c r="D321" s="41"/>
      <c r="E321" s="41"/>
      <c r="F321" s="41"/>
      <c r="G321" s="149"/>
      <c r="H321" s="46"/>
      <c r="N321" s="21">
        <v>1</v>
      </c>
    </row>
    <row r="322" spans="2:14" ht="18">
      <c r="B322" s="41"/>
      <c r="C322" s="41"/>
      <c r="D322" s="41"/>
      <c r="E322" s="41"/>
      <c r="F322" s="41"/>
      <c r="G322" s="149"/>
      <c r="H322" s="46"/>
      <c r="N322" s="21">
        <v>1</v>
      </c>
    </row>
    <row r="323" spans="2:14" ht="18">
      <c r="B323" s="41"/>
      <c r="C323" s="41"/>
      <c r="D323" s="41"/>
      <c r="E323" s="41"/>
      <c r="F323" s="41"/>
      <c r="G323" s="149"/>
      <c r="H323" s="46"/>
      <c r="N323" s="21">
        <v>1</v>
      </c>
    </row>
    <row r="324" spans="2:14" ht="18">
      <c r="B324" s="41"/>
      <c r="C324" s="41"/>
      <c r="D324" s="41"/>
      <c r="E324" s="41"/>
      <c r="F324" s="41"/>
      <c r="G324" s="149"/>
      <c r="H324" s="46"/>
      <c r="N324" s="21">
        <v>1</v>
      </c>
    </row>
    <row r="325" spans="2:14" ht="18">
      <c r="B325" s="41"/>
      <c r="C325" s="41"/>
      <c r="D325" s="41"/>
      <c r="E325" s="41"/>
      <c r="F325" s="41"/>
      <c r="G325" s="149"/>
      <c r="H325" s="46"/>
      <c r="N325" s="21">
        <v>1</v>
      </c>
    </row>
    <row r="326" spans="2:14" ht="18">
      <c r="B326" s="41"/>
      <c r="C326" s="41"/>
      <c r="D326" s="41"/>
      <c r="E326" s="41"/>
      <c r="F326" s="41"/>
      <c r="G326" s="149"/>
      <c r="H326" s="46"/>
      <c r="N326" s="21">
        <v>1</v>
      </c>
    </row>
    <row r="327" spans="2:14" ht="18">
      <c r="B327" s="41"/>
      <c r="C327" s="41"/>
      <c r="D327" s="41"/>
      <c r="E327" s="41"/>
      <c r="F327" s="41"/>
      <c r="G327" s="149"/>
      <c r="H327" s="46"/>
      <c r="N327" s="21">
        <v>1</v>
      </c>
    </row>
    <row r="328" spans="2:14" ht="18">
      <c r="B328" s="41"/>
      <c r="C328" s="41"/>
      <c r="D328" s="41"/>
      <c r="E328" s="41"/>
      <c r="F328" s="41"/>
      <c r="G328" s="149"/>
      <c r="H328" s="46"/>
      <c r="N328" s="21">
        <v>1</v>
      </c>
    </row>
    <row r="329" spans="2:14" ht="18">
      <c r="B329" s="41"/>
      <c r="C329" s="41"/>
      <c r="D329" s="41"/>
      <c r="E329" s="41"/>
      <c r="F329" s="41"/>
      <c r="G329" s="149"/>
      <c r="H329" s="46"/>
      <c r="N329" s="21">
        <v>1</v>
      </c>
    </row>
    <row r="330" spans="2:14" ht="18">
      <c r="B330" s="41"/>
      <c r="C330" s="41"/>
      <c r="D330" s="41"/>
      <c r="E330" s="41"/>
      <c r="F330" s="41"/>
      <c r="G330" s="149"/>
      <c r="H330" s="46"/>
      <c r="N330" s="21">
        <v>1</v>
      </c>
    </row>
    <row r="331" spans="2:14" ht="18">
      <c r="B331" s="41"/>
      <c r="C331" s="41"/>
      <c r="D331" s="41"/>
      <c r="E331" s="41"/>
      <c r="F331" s="41"/>
      <c r="G331" s="149"/>
      <c r="H331" s="46"/>
      <c r="N331" s="21">
        <v>1</v>
      </c>
    </row>
    <row r="332" spans="2:14" ht="18">
      <c r="B332" s="41"/>
      <c r="C332" s="41"/>
      <c r="D332" s="41"/>
      <c r="E332" s="41"/>
      <c r="F332" s="41"/>
      <c r="G332" s="149"/>
      <c r="H332" s="46"/>
      <c r="N332" s="21">
        <v>1</v>
      </c>
    </row>
    <row r="333" spans="2:14" ht="18">
      <c r="B333" s="41"/>
      <c r="C333" s="41"/>
      <c r="D333" s="41"/>
      <c r="E333" s="41"/>
      <c r="F333" s="41"/>
      <c r="G333" s="149"/>
      <c r="H333" s="46"/>
      <c r="N333" s="21">
        <v>1</v>
      </c>
    </row>
    <row r="334" spans="2:14" ht="18">
      <c r="B334" s="41"/>
      <c r="C334" s="41"/>
      <c r="D334" s="41"/>
      <c r="E334" s="41"/>
      <c r="F334" s="41"/>
      <c r="G334" s="149"/>
      <c r="H334" s="46"/>
      <c r="N334" s="21">
        <v>1</v>
      </c>
    </row>
    <row r="335" spans="2:14" ht="18">
      <c r="B335" s="41"/>
      <c r="C335" s="41"/>
      <c r="D335" s="41"/>
      <c r="E335" s="41"/>
      <c r="F335" s="41"/>
      <c r="G335" s="149"/>
      <c r="H335" s="46"/>
      <c r="N335" s="21">
        <v>1</v>
      </c>
    </row>
    <row r="336" spans="2:14" ht="18">
      <c r="B336" s="41"/>
      <c r="C336" s="41"/>
      <c r="D336" s="41"/>
      <c r="E336" s="41"/>
      <c r="F336" s="41"/>
      <c r="G336" s="149"/>
      <c r="H336" s="46"/>
      <c r="N336" s="21">
        <v>1</v>
      </c>
    </row>
    <row r="337" spans="2:14" ht="18">
      <c r="B337" s="41"/>
      <c r="C337" s="41"/>
      <c r="D337" s="41"/>
      <c r="E337" s="41"/>
      <c r="F337" s="41"/>
      <c r="G337" s="149"/>
      <c r="H337" s="46"/>
      <c r="N337" s="21">
        <v>1</v>
      </c>
    </row>
    <row r="338" spans="2:14" ht="18">
      <c r="B338" s="41"/>
      <c r="C338" s="41"/>
      <c r="D338" s="41"/>
      <c r="E338" s="41"/>
      <c r="F338" s="41"/>
      <c r="G338" s="149"/>
      <c r="H338" s="46"/>
      <c r="N338" s="21">
        <v>1</v>
      </c>
    </row>
    <row r="339" spans="2:14" ht="18">
      <c r="B339" s="41"/>
      <c r="C339" s="41"/>
      <c r="D339" s="41"/>
      <c r="E339" s="41"/>
      <c r="F339" s="41"/>
      <c r="G339" s="149"/>
      <c r="H339" s="46"/>
      <c r="N339" s="21">
        <v>1</v>
      </c>
    </row>
    <row r="340" spans="2:14" ht="18">
      <c r="B340" s="41"/>
      <c r="C340" s="41"/>
      <c r="D340" s="41"/>
      <c r="E340" s="41"/>
      <c r="F340" s="41"/>
      <c r="G340" s="149"/>
      <c r="H340" s="46"/>
      <c r="N340" s="21">
        <v>1</v>
      </c>
    </row>
    <row r="341" spans="2:14" ht="18">
      <c r="B341" s="41"/>
      <c r="C341" s="41"/>
      <c r="D341" s="41"/>
      <c r="E341" s="41"/>
      <c r="F341" s="41"/>
      <c r="G341" s="149"/>
      <c r="H341" s="46"/>
      <c r="N341" s="21">
        <v>1</v>
      </c>
    </row>
    <row r="342" spans="2:14" ht="18">
      <c r="B342" s="41"/>
      <c r="C342" s="41"/>
      <c r="D342" s="41"/>
      <c r="E342" s="41"/>
      <c r="F342" s="41"/>
      <c r="G342" s="149"/>
      <c r="H342" s="46"/>
      <c r="N342" s="21">
        <v>1</v>
      </c>
    </row>
    <row r="343" spans="2:14" ht="18">
      <c r="B343" s="41"/>
      <c r="C343" s="41"/>
      <c r="D343" s="41"/>
      <c r="E343" s="41"/>
      <c r="F343" s="41"/>
      <c r="G343" s="149"/>
      <c r="H343" s="46"/>
      <c r="N343" s="21">
        <v>1</v>
      </c>
    </row>
    <row r="344" spans="2:14" ht="18">
      <c r="B344" s="41"/>
      <c r="C344" s="41"/>
      <c r="D344" s="41"/>
      <c r="E344" s="41"/>
      <c r="F344" s="41"/>
      <c r="G344" s="149"/>
      <c r="H344" s="46"/>
      <c r="N344" s="21">
        <v>1</v>
      </c>
    </row>
    <row r="345" spans="2:14" ht="18">
      <c r="B345" s="41"/>
      <c r="C345" s="41"/>
      <c r="D345" s="41"/>
      <c r="E345" s="41"/>
      <c r="F345" s="41"/>
      <c r="G345" s="149"/>
      <c r="H345" s="46"/>
      <c r="N345" s="21">
        <v>1</v>
      </c>
    </row>
    <row r="346" spans="2:14" ht="18">
      <c r="B346" s="41"/>
      <c r="C346" s="41"/>
      <c r="D346" s="41"/>
      <c r="E346" s="41"/>
      <c r="F346" s="41"/>
      <c r="G346" s="149"/>
      <c r="H346" s="46"/>
      <c r="N346" s="21">
        <v>1</v>
      </c>
    </row>
    <row r="347" spans="2:14" ht="18">
      <c r="B347" s="41"/>
      <c r="C347" s="41"/>
      <c r="D347" s="41"/>
      <c r="E347" s="41"/>
      <c r="F347" s="41"/>
      <c r="G347" s="149"/>
      <c r="H347" s="46"/>
      <c r="N347" s="21">
        <v>1</v>
      </c>
    </row>
    <row r="348" spans="2:14" ht="18">
      <c r="B348" s="41"/>
      <c r="C348" s="41"/>
      <c r="D348" s="41"/>
      <c r="E348" s="41"/>
      <c r="F348" s="41"/>
      <c r="G348" s="149"/>
      <c r="H348" s="46"/>
      <c r="N348" s="21">
        <v>1</v>
      </c>
    </row>
    <row r="349" spans="2:14" ht="18">
      <c r="B349" s="41"/>
      <c r="C349" s="41"/>
      <c r="D349" s="41"/>
      <c r="E349" s="41"/>
      <c r="F349" s="41"/>
      <c r="G349" s="149"/>
      <c r="H349" s="46"/>
      <c r="N349" s="21">
        <v>1</v>
      </c>
    </row>
    <row r="350" spans="2:14" ht="18">
      <c r="B350" s="41"/>
      <c r="C350" s="41"/>
      <c r="D350" s="41"/>
      <c r="E350" s="41"/>
      <c r="F350" s="41"/>
      <c r="G350" s="149"/>
      <c r="H350" s="46"/>
      <c r="N350" s="21">
        <v>1</v>
      </c>
    </row>
    <row r="351" spans="2:14" ht="18">
      <c r="B351" s="41"/>
      <c r="C351" s="41"/>
      <c r="D351" s="41"/>
      <c r="E351" s="41"/>
      <c r="F351" s="41"/>
      <c r="G351" s="149"/>
      <c r="H351" s="46"/>
      <c r="N351" s="21">
        <v>1</v>
      </c>
    </row>
    <row r="352" spans="2:14" ht="18">
      <c r="B352" s="41"/>
      <c r="C352" s="41"/>
      <c r="D352" s="41"/>
      <c r="E352" s="41"/>
      <c r="F352" s="41"/>
      <c r="G352" s="149"/>
      <c r="H352" s="46"/>
      <c r="N352" s="21">
        <v>1</v>
      </c>
    </row>
    <row r="353" spans="2:14" ht="18">
      <c r="B353" s="41"/>
      <c r="C353" s="41"/>
      <c r="D353" s="41"/>
      <c r="E353" s="41"/>
      <c r="F353" s="41"/>
      <c r="G353" s="149"/>
      <c r="H353" s="46"/>
      <c r="N353" s="21">
        <v>1</v>
      </c>
    </row>
    <row r="354" spans="2:14" ht="18">
      <c r="B354" s="41"/>
      <c r="C354" s="41"/>
      <c r="D354" s="41"/>
      <c r="E354" s="41"/>
      <c r="F354" s="41"/>
      <c r="G354" s="149"/>
      <c r="H354" s="46"/>
      <c r="N354" s="21">
        <v>1</v>
      </c>
    </row>
    <row r="355" spans="2:14" ht="18">
      <c r="B355" s="41"/>
      <c r="C355" s="41"/>
      <c r="D355" s="41"/>
      <c r="E355" s="41"/>
      <c r="F355" s="41"/>
      <c r="G355" s="149"/>
      <c r="H355" s="46"/>
      <c r="N355" s="21">
        <v>1</v>
      </c>
    </row>
    <row r="356" spans="2:14" ht="18">
      <c r="B356" s="41"/>
      <c r="C356" s="41"/>
      <c r="D356" s="41"/>
      <c r="E356" s="41"/>
      <c r="F356" s="41"/>
      <c r="G356" s="149"/>
      <c r="H356" s="46"/>
      <c r="N356" s="21">
        <v>1</v>
      </c>
    </row>
    <row r="357" spans="2:14" ht="18">
      <c r="B357" s="41"/>
      <c r="C357" s="41"/>
      <c r="D357" s="41"/>
      <c r="E357" s="41"/>
      <c r="F357" s="41"/>
      <c r="G357" s="149"/>
      <c r="H357" s="46"/>
      <c r="N357" s="21">
        <v>1</v>
      </c>
    </row>
    <row r="358" spans="2:14" ht="18">
      <c r="B358" s="41"/>
      <c r="C358" s="41"/>
      <c r="D358" s="41"/>
      <c r="E358" s="41"/>
      <c r="F358" s="41"/>
      <c r="G358" s="149"/>
      <c r="H358" s="46"/>
      <c r="N358" s="21">
        <v>1</v>
      </c>
    </row>
    <row r="359" spans="2:14" ht="18">
      <c r="B359" s="41"/>
      <c r="C359" s="41"/>
      <c r="D359" s="41"/>
      <c r="E359" s="41"/>
      <c r="F359" s="41"/>
      <c r="G359" s="149"/>
      <c r="H359" s="46"/>
      <c r="N359" s="21">
        <v>1</v>
      </c>
    </row>
    <row r="360" spans="2:14" ht="18">
      <c r="B360" s="41"/>
      <c r="C360" s="41"/>
      <c r="D360" s="41"/>
      <c r="E360" s="41"/>
      <c r="F360" s="41"/>
      <c r="G360" s="149"/>
      <c r="H360" s="46"/>
      <c r="N360" s="21">
        <v>1</v>
      </c>
    </row>
    <row r="361" spans="2:14" ht="18">
      <c r="B361" s="41"/>
      <c r="C361" s="41"/>
      <c r="D361" s="41"/>
      <c r="E361" s="41"/>
      <c r="F361" s="41"/>
      <c r="G361" s="149"/>
      <c r="H361" s="46"/>
      <c r="N361" s="21">
        <v>1</v>
      </c>
    </row>
    <row r="362" spans="2:14" ht="18">
      <c r="B362" s="41"/>
      <c r="C362" s="41"/>
      <c r="D362" s="41"/>
      <c r="E362" s="41"/>
      <c r="F362" s="41"/>
      <c r="G362" s="149"/>
      <c r="H362" s="46"/>
      <c r="N362" s="21">
        <v>1</v>
      </c>
    </row>
    <row r="363" spans="2:14" ht="18">
      <c r="B363" s="41"/>
      <c r="C363" s="41"/>
      <c r="D363" s="41"/>
      <c r="E363" s="41"/>
      <c r="F363" s="41"/>
      <c r="G363" s="149"/>
      <c r="H363" s="46"/>
      <c r="N363" s="21">
        <v>1</v>
      </c>
    </row>
    <row r="364" spans="2:14" ht="18">
      <c r="B364" s="41"/>
      <c r="C364" s="41"/>
      <c r="D364" s="41"/>
      <c r="E364" s="41"/>
      <c r="F364" s="41"/>
      <c r="G364" s="149"/>
      <c r="H364" s="46"/>
      <c r="N364" s="21">
        <v>1</v>
      </c>
    </row>
    <row r="365" spans="2:14" ht="18">
      <c r="B365" s="41"/>
      <c r="C365" s="41"/>
      <c r="D365" s="41"/>
      <c r="E365" s="41"/>
      <c r="F365" s="41"/>
      <c r="G365" s="149"/>
      <c r="H365" s="46"/>
      <c r="N365" s="21">
        <v>1</v>
      </c>
    </row>
    <row r="366" spans="2:14" ht="18">
      <c r="B366" s="41"/>
      <c r="C366" s="41"/>
      <c r="D366" s="41"/>
      <c r="E366" s="41"/>
      <c r="F366" s="41"/>
      <c r="G366" s="149"/>
      <c r="H366" s="46"/>
      <c r="N366" s="21">
        <v>1</v>
      </c>
    </row>
    <row r="367" spans="2:14" ht="18">
      <c r="B367" s="41"/>
      <c r="C367" s="41"/>
      <c r="D367" s="41"/>
      <c r="E367" s="41"/>
      <c r="F367" s="41"/>
      <c r="G367" s="149"/>
      <c r="H367" s="46"/>
      <c r="N367" s="21">
        <v>1</v>
      </c>
    </row>
    <row r="368" spans="2:14" ht="18">
      <c r="B368" s="41"/>
      <c r="C368" s="41"/>
      <c r="D368" s="41"/>
      <c r="E368" s="41"/>
      <c r="F368" s="41"/>
      <c r="G368" s="149"/>
      <c r="H368" s="46"/>
      <c r="N368" s="21">
        <v>1</v>
      </c>
    </row>
    <row r="369" spans="2:14" ht="18">
      <c r="B369" s="41"/>
      <c r="C369" s="41"/>
      <c r="D369" s="41"/>
      <c r="E369" s="41"/>
      <c r="F369" s="41"/>
      <c r="G369" s="149"/>
      <c r="H369" s="46"/>
      <c r="N369" s="21">
        <v>1</v>
      </c>
    </row>
    <row r="370" spans="2:14" ht="18">
      <c r="B370" s="41"/>
      <c r="C370" s="41"/>
      <c r="D370" s="41"/>
      <c r="E370" s="41"/>
      <c r="F370" s="41"/>
      <c r="G370" s="149"/>
      <c r="H370" s="46"/>
      <c r="N370" s="21">
        <v>1</v>
      </c>
    </row>
    <row r="371" spans="2:14" ht="18">
      <c r="B371" s="41"/>
      <c r="C371" s="41"/>
      <c r="D371" s="41"/>
      <c r="E371" s="41"/>
      <c r="F371" s="41"/>
      <c r="G371" s="149"/>
      <c r="H371" s="46"/>
      <c r="N371" s="21">
        <v>1</v>
      </c>
    </row>
    <row r="372" spans="2:14" ht="18">
      <c r="B372" s="41"/>
      <c r="C372" s="41"/>
      <c r="D372" s="41"/>
      <c r="E372" s="41"/>
      <c r="F372" s="41"/>
      <c r="G372" s="149"/>
      <c r="H372" s="46"/>
      <c r="N372" s="21">
        <v>1</v>
      </c>
    </row>
    <row r="373" spans="2:14" ht="18">
      <c r="B373" s="41"/>
      <c r="C373" s="41"/>
      <c r="D373" s="41"/>
      <c r="E373" s="41"/>
      <c r="F373" s="41"/>
      <c r="G373" s="149"/>
      <c r="H373" s="46"/>
      <c r="N373" s="21">
        <v>1</v>
      </c>
    </row>
    <row r="374" spans="2:14" ht="18">
      <c r="B374" s="41"/>
      <c r="C374" s="41"/>
      <c r="D374" s="41"/>
      <c r="E374" s="41"/>
      <c r="F374" s="41"/>
      <c r="G374" s="149"/>
      <c r="H374" s="46"/>
      <c r="N374" s="21">
        <v>1</v>
      </c>
    </row>
    <row r="375" spans="2:14" ht="18">
      <c r="B375" s="41"/>
      <c r="C375" s="41"/>
      <c r="D375" s="41"/>
      <c r="E375" s="41"/>
      <c r="F375" s="41"/>
      <c r="G375" s="149"/>
      <c r="H375" s="46"/>
      <c r="N375" s="21">
        <v>1</v>
      </c>
    </row>
    <row r="376" spans="2:14" ht="18">
      <c r="B376" s="41"/>
      <c r="C376" s="41"/>
      <c r="D376" s="41"/>
      <c r="E376" s="41"/>
      <c r="F376" s="41"/>
      <c r="G376" s="149"/>
      <c r="H376" s="46"/>
      <c r="N376" s="21">
        <v>1</v>
      </c>
    </row>
    <row r="377" spans="2:14" ht="18">
      <c r="B377" s="41"/>
      <c r="C377" s="41"/>
      <c r="D377" s="41"/>
      <c r="E377" s="41"/>
      <c r="F377" s="41"/>
      <c r="G377" s="149"/>
      <c r="H377" s="46"/>
      <c r="N377" s="21">
        <v>1</v>
      </c>
    </row>
    <row r="378" spans="2:14" ht="18">
      <c r="B378" s="41"/>
      <c r="C378" s="41"/>
      <c r="D378" s="41"/>
      <c r="E378" s="41"/>
      <c r="F378" s="41"/>
      <c r="G378" s="149"/>
      <c r="H378" s="46"/>
      <c r="N378" s="21">
        <v>1</v>
      </c>
    </row>
    <row r="379" spans="2:14" ht="18">
      <c r="B379" s="41"/>
      <c r="C379" s="41"/>
      <c r="D379" s="41"/>
      <c r="E379" s="41"/>
      <c r="F379" s="41"/>
      <c r="G379" s="149"/>
      <c r="H379" s="46"/>
      <c r="N379" s="21">
        <v>1</v>
      </c>
    </row>
    <row r="380" spans="2:14" ht="18">
      <c r="B380" s="41"/>
      <c r="C380" s="41"/>
      <c r="D380" s="41"/>
      <c r="E380" s="41"/>
      <c r="F380" s="41"/>
      <c r="G380" s="149"/>
      <c r="H380" s="46"/>
      <c r="N380" s="21">
        <v>1</v>
      </c>
    </row>
    <row r="381" spans="2:14" ht="18">
      <c r="B381" s="41"/>
      <c r="C381" s="41"/>
      <c r="D381" s="41"/>
      <c r="E381" s="41"/>
      <c r="F381" s="41"/>
      <c r="G381" s="149"/>
      <c r="H381" s="46"/>
      <c r="N381" s="21">
        <v>1</v>
      </c>
    </row>
    <row r="382" spans="2:14" ht="18">
      <c r="B382" s="41"/>
      <c r="C382" s="41"/>
      <c r="D382" s="41"/>
      <c r="E382" s="41"/>
      <c r="F382" s="41"/>
      <c r="G382" s="149"/>
      <c r="H382" s="46"/>
      <c r="N382" s="21">
        <v>1</v>
      </c>
    </row>
    <row r="383" spans="2:14" ht="18">
      <c r="B383" s="41"/>
      <c r="C383" s="41"/>
      <c r="D383" s="41"/>
      <c r="E383" s="41"/>
      <c r="F383" s="41"/>
      <c r="G383" s="149"/>
      <c r="H383" s="46"/>
      <c r="N383" s="21">
        <v>1</v>
      </c>
    </row>
    <row r="384" spans="2:14" ht="18">
      <c r="B384" s="41"/>
      <c r="C384" s="41"/>
      <c r="D384" s="41"/>
      <c r="E384" s="41"/>
      <c r="F384" s="41"/>
      <c r="G384" s="149"/>
      <c r="H384" s="46"/>
      <c r="N384" s="21">
        <v>1</v>
      </c>
    </row>
    <row r="385" spans="2:14" ht="18">
      <c r="B385" s="41"/>
      <c r="C385" s="41"/>
      <c r="D385" s="41"/>
      <c r="E385" s="41"/>
      <c r="F385" s="41"/>
      <c r="G385" s="149"/>
      <c r="H385" s="46"/>
      <c r="N385" s="21">
        <v>1</v>
      </c>
    </row>
    <row r="386" spans="2:14" ht="18">
      <c r="B386" s="41"/>
      <c r="C386" s="41"/>
      <c r="D386" s="41"/>
      <c r="E386" s="41"/>
      <c r="F386" s="41"/>
      <c r="G386" s="149"/>
      <c r="H386" s="46"/>
      <c r="N386" s="21">
        <v>1</v>
      </c>
    </row>
    <row r="387" spans="2:14" ht="18">
      <c r="B387" s="41"/>
      <c r="C387" s="41"/>
      <c r="D387" s="41"/>
      <c r="E387" s="41"/>
      <c r="F387" s="41"/>
      <c r="G387" s="149"/>
      <c r="H387" s="46"/>
      <c r="N387" s="21">
        <v>1</v>
      </c>
    </row>
    <row r="388" spans="2:14" ht="18">
      <c r="B388" s="41"/>
      <c r="C388" s="41"/>
      <c r="D388" s="41"/>
      <c r="E388" s="41"/>
      <c r="F388" s="41"/>
      <c r="G388" s="149"/>
      <c r="H388" s="46"/>
      <c r="N388" s="21">
        <v>1</v>
      </c>
    </row>
    <row r="389" spans="2:14" ht="27.75" thickBot="1">
      <c r="B389" s="42" t="s">
        <v>3</v>
      </c>
      <c r="C389" s="42" t="s">
        <v>3</v>
      </c>
      <c r="D389" s="42" t="s">
        <v>3</v>
      </c>
      <c r="E389" s="43" t="s">
        <v>3</v>
      </c>
      <c r="F389" s="43" t="s">
        <v>3</v>
      </c>
      <c r="G389" s="150" t="s">
        <v>3</v>
      </c>
      <c r="H389" s="44" t="s">
        <v>3</v>
      </c>
      <c r="N389" s="21" t="s">
        <v>3</v>
      </c>
    </row>
    <row r="390" spans="2:14" ht="13.5" thickTop="1"/>
  </sheetData>
  <sheetProtection sheet="1" objects="1" scenarios="1" selectLockedCells="1"/>
  <customSheetViews>
    <customSheetView guid="{E103CAA9-E8FB-4228-A076-3C3E3EEEC109}" showGridLines="0" showRowCol="0">
      <pane ySplit="8" topLeftCell="A9" activePane="bottomLeft" state="frozen"/>
      <selection pane="bottomLeft" activeCell="I2" sqref="I2"/>
      <pageMargins left="0.7" right="0.7" top="0.75" bottom="0.75" header="0.3" footer="0.3"/>
    </customSheetView>
    <customSheetView guid="{37EA6283-F051-4D0B-81C6-34EEB84CCDF0}" showGridLines="0" showRowCol="0">
      <pane ySplit="8" topLeftCell="A9" activePane="bottomLeft" state="frozen"/>
      <selection pane="bottomLeft" activeCell="I5" sqref="I5"/>
      <pageMargins left="0.7" right="0.7" top="0.75" bottom="0.75" header="0.3" footer="0.3"/>
    </customSheetView>
    <customSheetView guid="{A6A06E36-D96E-4193-B19F-8D7934C6230C}" showGridLines="0" showRowCol="0">
      <pane ySplit="8" topLeftCell="A9" activePane="bottomLeft" state="frozen"/>
      <selection pane="bottomLeft" activeCell="B9" sqref="B9"/>
      <pageMargins left="0.7" right="0.7" top="0.75" bottom="0.75" header="0.3" footer="0.3"/>
    </customSheetView>
  </customSheetViews>
  <mergeCells count="5">
    <mergeCell ref="O9:P9"/>
    <mergeCell ref="Q8:S8"/>
    <mergeCell ref="T8:V8"/>
    <mergeCell ref="W8:Y8"/>
    <mergeCell ref="Z8:AB8"/>
  </mergeCells>
  <dataValidations count="4">
    <dataValidation type="list" allowBlank="1" showDropDown="1" showInputMessage="1" showErrorMessage="1" sqref="D9:D388">
      <formula1>$P$10:$P$29</formula1>
    </dataValidation>
    <dataValidation type="list" allowBlank="1" showDropDown="1" showInputMessage="1" showErrorMessage="1" sqref="C9:C388">
      <formula1>$P$32:$P$50</formula1>
    </dataValidation>
    <dataValidation type="list" allowBlank="1" showDropDown="1" showInputMessage="1" showErrorMessage="1" sqref="B9:B388">
      <formula1>$B$6</formula1>
    </dataValidation>
    <dataValidation allowBlank="1" showInputMessage="1" showErrorMessage="1" errorTitle="Dato no valido" error="El valor esta fuera de rango [0,30] o No es un numero" sqref="E9:H388"/>
  </dataValidations>
  <hyperlinks>
    <hyperlink ref="I2" location="PPrincipal!A1" display="* Pagina Principal"/>
    <hyperlink ref="I3" location="Falcón!A1" display="Falcón"/>
    <hyperlink ref="I4" location="Lara!A1" display="Lara"/>
    <hyperlink ref="I5" location="Yaracuy!A1" display="Yaracuy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K44"/>
  <sheetViews>
    <sheetView showGridLines="0" showRowColHeaders="0" workbookViewId="0">
      <selection activeCell="J5" sqref="J5"/>
    </sheetView>
  </sheetViews>
  <sheetFormatPr baseColWidth="10" defaultColWidth="15.7109375" defaultRowHeight="22.5" customHeight="1"/>
  <cols>
    <col min="1" max="16384" width="15.7109375" style="53"/>
  </cols>
  <sheetData>
    <row r="1" spans="1:11" ht="15" customHeight="1">
      <c r="J1" s="87"/>
    </row>
    <row r="2" spans="1:11" ht="15" customHeight="1">
      <c r="J2" s="80" t="s">
        <v>8</v>
      </c>
      <c r="K2" s="104"/>
    </row>
    <row r="3" spans="1:11" ht="15" customHeight="1">
      <c r="J3" s="80" t="s">
        <v>31</v>
      </c>
      <c r="K3" s="104"/>
    </row>
    <row r="4" spans="1:11" ht="15" customHeight="1">
      <c r="J4" s="80" t="s">
        <v>34</v>
      </c>
      <c r="K4" s="104"/>
    </row>
    <row r="5" spans="1:11" ht="15" customHeight="1">
      <c r="G5" s="56"/>
      <c r="J5" s="80" t="s">
        <v>79</v>
      </c>
      <c r="K5" s="104"/>
    </row>
    <row r="6" spans="1:11" ht="15" customHeight="1">
      <c r="A6" s="168" t="s">
        <v>38</v>
      </c>
      <c r="B6" s="168"/>
      <c r="C6" s="168"/>
      <c r="D6" s="168"/>
      <c r="E6" s="168"/>
      <c r="F6" s="168"/>
    </row>
    <row r="25" spans="2:7" ht="22.5" customHeight="1">
      <c r="B25" s="168"/>
      <c r="C25" s="168"/>
      <c r="D25" s="168"/>
      <c r="E25" s="168"/>
      <c r="F25" s="168"/>
      <c r="G25" s="168"/>
    </row>
    <row r="44" spans="7:7" ht="22.5" customHeight="1">
      <c r="G44" s="56"/>
    </row>
  </sheetData>
  <customSheetViews>
    <customSheetView guid="{E103CAA9-E8FB-4228-A076-3C3E3EEEC109}" showGridLines="0" showRowCol="0">
      <selection activeCell="J5" sqref="J5"/>
      <pageMargins left="0.7" right="0.7" top="0.75" bottom="0.75" header="0.3" footer="0.3"/>
    </customSheetView>
    <customSheetView guid="{37EA6283-F051-4D0B-81C6-34EEB84CCDF0}" showGridLines="0" showRowCol="0">
      <selection activeCell="J5" sqref="J5"/>
      <pageMargins left="0.7" right="0.7" top="0.75" bottom="0.75" header="0.3" footer="0.3"/>
    </customSheetView>
    <customSheetView guid="{A6A06E36-D96E-4193-B19F-8D7934C6230C}" showGridLines="0" showRowCol="0">
      <selection activeCell="J5" sqref="J5"/>
      <pageMargins left="0.7" right="0.7" top="0.75" bottom="0.75" header="0.3" footer="0.3"/>
    </customSheetView>
  </customSheetViews>
  <mergeCells count="2">
    <mergeCell ref="A6:F6"/>
    <mergeCell ref="B25:G25"/>
  </mergeCells>
  <hyperlinks>
    <hyperlink ref="J2" location="PPrincipal!A1" display="* Pagina Principal"/>
    <hyperlink ref="J3" location="GFalcón!A1" display="Falcón"/>
    <hyperlink ref="J4" location="GLara!A1" display="Lara"/>
    <hyperlink ref="J5" location="GYaracuy!A1" display="Yaracuy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D36"/>
  <sheetViews>
    <sheetView showGridLines="0" showRowColHeaders="0" workbookViewId="0">
      <selection activeCell="Y2" sqref="Y2"/>
    </sheetView>
  </sheetViews>
  <sheetFormatPr baseColWidth="10" defaultColWidth="5.85546875" defaultRowHeight="15" customHeight="1"/>
  <cols>
    <col min="1" max="1" width="1.140625" style="67" customWidth="1"/>
    <col min="2" max="2" width="7.28515625" style="67" customWidth="1"/>
    <col min="3" max="13" width="5.5703125" style="67" customWidth="1"/>
    <col min="14" max="14" width="5.5703125" style="68" customWidth="1"/>
    <col min="15" max="22" width="5.5703125" style="67" customWidth="1"/>
    <col min="23" max="23" width="1" style="67" customWidth="1"/>
    <col min="24" max="24" width="17.7109375" style="67" customWidth="1"/>
    <col min="25" max="25" width="12.85546875" style="67" customWidth="1"/>
    <col min="26" max="26" width="12.7109375" style="67" customWidth="1"/>
    <col min="27" max="28" width="10.42578125" style="67" customWidth="1"/>
    <col min="29" max="16384" width="5.85546875" style="67"/>
  </cols>
  <sheetData>
    <row r="1" spans="1:30" ht="31.5" customHeight="1">
      <c r="A1" s="67" t="s">
        <v>17</v>
      </c>
      <c r="B1" s="169" t="s">
        <v>39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</row>
    <row r="2" spans="1:30" ht="15" customHeight="1">
      <c r="C2" s="85"/>
      <c r="I2" s="79"/>
      <c r="J2" s="79"/>
      <c r="Y2" s="80" t="s">
        <v>8</v>
      </c>
      <c r="Z2" s="85"/>
      <c r="AA2" s="86"/>
      <c r="AB2" s="86"/>
      <c r="AC2" s="86"/>
      <c r="AD2" s="86"/>
    </row>
    <row r="3" spans="1:30" ht="15" customHeight="1">
      <c r="J3" s="79"/>
      <c r="Y3" s="80" t="s">
        <v>31</v>
      </c>
    </row>
    <row r="4" spans="1:30" ht="15" customHeight="1">
      <c r="C4" s="85"/>
      <c r="I4" s="79"/>
      <c r="J4" s="79"/>
      <c r="Y4" s="80" t="s">
        <v>34</v>
      </c>
      <c r="Z4" s="85"/>
      <c r="AA4" s="86"/>
      <c r="AB4" s="86"/>
      <c r="AC4" s="86"/>
      <c r="AD4" s="86"/>
    </row>
    <row r="5" spans="1:30" ht="15" customHeight="1">
      <c r="C5" s="85"/>
      <c r="I5" s="79"/>
      <c r="J5" s="79"/>
      <c r="Y5" s="80" t="s">
        <v>79</v>
      </c>
      <c r="Z5" s="85"/>
      <c r="AA5" s="86"/>
      <c r="AB5" s="86"/>
      <c r="AC5" s="86"/>
      <c r="AD5" s="86"/>
    </row>
    <row r="6" spans="1:30" s="1" customFormat="1" ht="30.75" customHeight="1" thickBot="1">
      <c r="A6" s="57"/>
      <c r="B6" s="64"/>
      <c r="C6" s="64"/>
      <c r="D6" s="64"/>
      <c r="E6" s="64"/>
      <c r="F6" s="64"/>
      <c r="G6" s="64"/>
      <c r="H6" s="64"/>
      <c r="I6" s="64"/>
      <c r="J6" s="64"/>
      <c r="K6" s="64"/>
      <c r="L6" s="67"/>
      <c r="M6" s="67"/>
      <c r="N6" s="68"/>
      <c r="O6" s="67"/>
      <c r="P6" s="67"/>
      <c r="Q6" s="67"/>
      <c r="R6" s="67"/>
      <c r="S6" s="67"/>
      <c r="T6" s="67"/>
      <c r="U6" s="67"/>
      <c r="V6" s="67"/>
    </row>
    <row r="7" spans="1:30" s="65" customFormat="1" ht="15" customHeight="1">
      <c r="A7" s="58"/>
      <c r="B7" s="72" t="s">
        <v>0</v>
      </c>
      <c r="C7" s="81">
        <v>0.3125</v>
      </c>
      <c r="D7" s="82">
        <v>0.33333333333333298</v>
      </c>
      <c r="E7" s="82">
        <v>0.35416666666666702</v>
      </c>
      <c r="F7" s="82">
        <v>0.375</v>
      </c>
      <c r="G7" s="82">
        <v>0.39583333333333298</v>
      </c>
      <c r="H7" s="82">
        <v>0.41666666666666702</v>
      </c>
      <c r="I7" s="82">
        <v>0.4375</v>
      </c>
      <c r="J7" s="82">
        <v>0.45833333333333298</v>
      </c>
      <c r="K7" s="82">
        <v>0.47916666666666702</v>
      </c>
      <c r="L7" s="82">
        <v>0.5</v>
      </c>
      <c r="M7" s="82">
        <v>0.52083333333333304</v>
      </c>
      <c r="N7" s="82">
        <v>4.1666666666666664E-2</v>
      </c>
      <c r="O7" s="82">
        <v>6.25E-2</v>
      </c>
      <c r="P7" s="82">
        <v>8.3333333333333329E-2</v>
      </c>
      <c r="Q7" s="82">
        <v>0.104166666666667</v>
      </c>
      <c r="R7" s="82">
        <v>0.125</v>
      </c>
      <c r="S7" s="82">
        <v>0.14583333333333301</v>
      </c>
      <c r="T7" s="82">
        <v>0.16666666666666599</v>
      </c>
      <c r="U7" s="82">
        <v>0.187499999999999</v>
      </c>
      <c r="V7" s="83">
        <v>0.20833333333333201</v>
      </c>
      <c r="X7" s="174" t="s">
        <v>13</v>
      </c>
      <c r="Y7" s="174" t="s">
        <v>59</v>
      </c>
      <c r="Z7" s="174" t="s">
        <v>60</v>
      </c>
      <c r="AA7" s="174" t="s">
        <v>61</v>
      </c>
      <c r="AB7" s="174" t="s">
        <v>4</v>
      </c>
    </row>
    <row r="8" spans="1:30" ht="15" customHeight="1" thickBot="1">
      <c r="A8" s="66"/>
      <c r="B8" s="151" t="s">
        <v>2</v>
      </c>
      <c r="C8" s="140">
        <v>1</v>
      </c>
      <c r="D8" s="141">
        <v>2</v>
      </c>
      <c r="E8" s="141">
        <v>3</v>
      </c>
      <c r="F8" s="141">
        <v>4</v>
      </c>
      <c r="G8" s="141">
        <v>5</v>
      </c>
      <c r="H8" s="141">
        <v>6</v>
      </c>
      <c r="I8" s="141">
        <v>7</v>
      </c>
      <c r="J8" s="141">
        <v>8</v>
      </c>
      <c r="K8" s="141">
        <v>9</v>
      </c>
      <c r="L8" s="141">
        <v>10</v>
      </c>
      <c r="M8" s="141">
        <v>11</v>
      </c>
      <c r="N8" s="141">
        <v>12</v>
      </c>
      <c r="O8" s="141">
        <v>13</v>
      </c>
      <c r="P8" s="141">
        <v>14</v>
      </c>
      <c r="Q8" s="141">
        <v>15</v>
      </c>
      <c r="R8" s="141">
        <v>16</v>
      </c>
      <c r="S8" s="141">
        <v>17</v>
      </c>
      <c r="T8" s="141">
        <v>18</v>
      </c>
      <c r="U8" s="141">
        <v>19</v>
      </c>
      <c r="V8" s="142">
        <v>20</v>
      </c>
      <c r="X8" s="175"/>
      <c r="Y8" s="175"/>
      <c r="Z8" s="175"/>
      <c r="AA8" s="175"/>
      <c r="AB8" s="175"/>
    </row>
    <row r="9" spans="1:30" ht="15" customHeight="1">
      <c r="A9" s="66"/>
      <c r="B9" s="143">
        <v>65</v>
      </c>
      <c r="C9" s="144">
        <f t="shared" ref="C9:L24" si="0">SUMIFS(SumaPO,CentroPO,$B9,TurnoPO,C$8)</f>
        <v>1</v>
      </c>
      <c r="D9" s="144">
        <f t="shared" si="0"/>
        <v>1</v>
      </c>
      <c r="E9" s="144">
        <f t="shared" si="0"/>
        <v>1</v>
      </c>
      <c r="F9" s="144">
        <f t="shared" si="0"/>
        <v>1</v>
      </c>
      <c r="G9" s="144">
        <f t="shared" si="0"/>
        <v>1</v>
      </c>
      <c r="H9" s="144">
        <f t="shared" si="0"/>
        <v>1</v>
      </c>
      <c r="I9" s="144">
        <f t="shared" si="0"/>
        <v>1</v>
      </c>
      <c r="J9" s="144">
        <f t="shared" si="0"/>
        <v>1</v>
      </c>
      <c r="K9" s="144">
        <f t="shared" si="0"/>
        <v>1</v>
      </c>
      <c r="L9" s="144">
        <f t="shared" si="0"/>
        <v>1</v>
      </c>
      <c r="M9" s="144">
        <f t="shared" ref="M9:V24" si="1">SUMIFS(SumaPO,CentroPO,$B9,TurnoPO,M$8)</f>
        <v>1</v>
      </c>
      <c r="N9" s="144">
        <f t="shared" si="1"/>
        <v>1</v>
      </c>
      <c r="O9" s="144">
        <f t="shared" si="1"/>
        <v>1</v>
      </c>
      <c r="P9" s="144">
        <f t="shared" si="1"/>
        <v>0</v>
      </c>
      <c r="Q9" s="144">
        <f t="shared" si="1"/>
        <v>0</v>
      </c>
      <c r="R9" s="144">
        <f t="shared" si="1"/>
        <v>0</v>
      </c>
      <c r="S9" s="144">
        <f t="shared" si="1"/>
        <v>0</v>
      </c>
      <c r="T9" s="144">
        <f t="shared" si="1"/>
        <v>0</v>
      </c>
      <c r="U9" s="144">
        <f t="shared" si="1"/>
        <v>0</v>
      </c>
      <c r="V9" s="145">
        <f t="shared" si="1"/>
        <v>0</v>
      </c>
      <c r="X9" s="93" t="s">
        <v>62</v>
      </c>
      <c r="Y9" s="95">
        <f t="shared" ref="Y9:Y27" si="2">SUMIF(CentroPO,$B9,Wilmar_Castro)</f>
        <v>98</v>
      </c>
      <c r="Z9" s="95">
        <f t="shared" ref="Z9:Z27" si="3">SUMIF(CentroPO,$B9,Jobito_Villegas)</f>
        <v>35</v>
      </c>
      <c r="AA9" s="95">
        <f t="shared" ref="AA9:AA27" si="4">SUMIF(CentroPO,$B9,Bella_Petrizzo)</f>
        <v>62</v>
      </c>
      <c r="AB9" s="95">
        <f t="shared" ref="AB9:AB24" si="5">SUMIF(CentroPO,$B9,OtroPO)</f>
        <v>16</v>
      </c>
    </row>
    <row r="10" spans="1:30" ht="15" customHeight="1">
      <c r="A10" s="66"/>
      <c r="B10" s="146">
        <v>66</v>
      </c>
      <c r="C10" s="71">
        <f t="shared" si="0"/>
        <v>1</v>
      </c>
      <c r="D10" s="71">
        <f t="shared" si="0"/>
        <v>1</v>
      </c>
      <c r="E10" s="71">
        <f t="shared" si="0"/>
        <v>1</v>
      </c>
      <c r="F10" s="71">
        <f t="shared" si="0"/>
        <v>2</v>
      </c>
      <c r="G10" s="71">
        <f t="shared" si="0"/>
        <v>1</v>
      </c>
      <c r="H10" s="71">
        <f t="shared" si="0"/>
        <v>1</v>
      </c>
      <c r="I10" s="71">
        <f t="shared" si="0"/>
        <v>1</v>
      </c>
      <c r="J10" s="71">
        <f t="shared" si="0"/>
        <v>1</v>
      </c>
      <c r="K10" s="71">
        <f t="shared" si="0"/>
        <v>0</v>
      </c>
      <c r="L10" s="71">
        <f t="shared" si="0"/>
        <v>0</v>
      </c>
      <c r="M10" s="71">
        <f t="shared" si="1"/>
        <v>0</v>
      </c>
      <c r="N10" s="71">
        <f t="shared" si="1"/>
        <v>0</v>
      </c>
      <c r="O10" s="71">
        <f t="shared" si="1"/>
        <v>0</v>
      </c>
      <c r="P10" s="71">
        <f t="shared" si="1"/>
        <v>0</v>
      </c>
      <c r="Q10" s="71">
        <f t="shared" si="1"/>
        <v>0</v>
      </c>
      <c r="R10" s="71">
        <f t="shared" si="1"/>
        <v>0</v>
      </c>
      <c r="S10" s="71">
        <f t="shared" si="1"/>
        <v>0</v>
      </c>
      <c r="T10" s="71">
        <f t="shared" si="1"/>
        <v>0</v>
      </c>
      <c r="U10" s="71">
        <f t="shared" si="1"/>
        <v>0</v>
      </c>
      <c r="V10" s="136">
        <f t="shared" si="1"/>
        <v>0</v>
      </c>
      <c r="X10" s="94" t="s">
        <v>62</v>
      </c>
      <c r="Y10" s="95">
        <f t="shared" si="2"/>
        <v>81</v>
      </c>
      <c r="Z10" s="95">
        <f t="shared" si="3"/>
        <v>51</v>
      </c>
      <c r="AA10" s="95">
        <f t="shared" si="4"/>
        <v>59</v>
      </c>
      <c r="AB10" s="95">
        <f t="shared" si="5"/>
        <v>4</v>
      </c>
    </row>
    <row r="11" spans="1:30" ht="15" customHeight="1">
      <c r="A11" s="66"/>
      <c r="B11" s="146">
        <v>67</v>
      </c>
      <c r="C11" s="71">
        <f t="shared" si="0"/>
        <v>1</v>
      </c>
      <c r="D11" s="71">
        <f t="shared" si="0"/>
        <v>1</v>
      </c>
      <c r="E11" s="71">
        <f t="shared" si="0"/>
        <v>1</v>
      </c>
      <c r="F11" s="71">
        <f t="shared" si="0"/>
        <v>1</v>
      </c>
      <c r="G11" s="71">
        <f t="shared" si="0"/>
        <v>1</v>
      </c>
      <c r="H11" s="71">
        <f t="shared" si="0"/>
        <v>1</v>
      </c>
      <c r="I11" s="71">
        <f t="shared" si="0"/>
        <v>1</v>
      </c>
      <c r="J11" s="71">
        <f t="shared" si="0"/>
        <v>1</v>
      </c>
      <c r="K11" s="71">
        <f t="shared" si="0"/>
        <v>1</v>
      </c>
      <c r="L11" s="71">
        <f t="shared" si="0"/>
        <v>1</v>
      </c>
      <c r="M11" s="71">
        <f t="shared" si="1"/>
        <v>1</v>
      </c>
      <c r="N11" s="71">
        <f t="shared" si="1"/>
        <v>0</v>
      </c>
      <c r="O11" s="71">
        <f t="shared" si="1"/>
        <v>0</v>
      </c>
      <c r="P11" s="71">
        <f t="shared" si="1"/>
        <v>0</v>
      </c>
      <c r="Q11" s="71">
        <f t="shared" si="1"/>
        <v>0</v>
      </c>
      <c r="R11" s="71">
        <f t="shared" si="1"/>
        <v>0</v>
      </c>
      <c r="S11" s="71">
        <f t="shared" si="1"/>
        <v>0</v>
      </c>
      <c r="T11" s="71">
        <f t="shared" si="1"/>
        <v>0</v>
      </c>
      <c r="U11" s="71">
        <f t="shared" si="1"/>
        <v>0</v>
      </c>
      <c r="V11" s="136">
        <f t="shared" si="1"/>
        <v>0</v>
      </c>
      <c r="X11" s="94" t="s">
        <v>62</v>
      </c>
      <c r="Y11" s="95">
        <f t="shared" si="2"/>
        <v>64</v>
      </c>
      <c r="Z11" s="95">
        <f t="shared" si="3"/>
        <v>23</v>
      </c>
      <c r="AA11" s="95">
        <f t="shared" si="4"/>
        <v>16</v>
      </c>
      <c r="AB11" s="95">
        <f t="shared" si="5"/>
        <v>0</v>
      </c>
    </row>
    <row r="12" spans="1:30" ht="15" customHeight="1">
      <c r="A12" s="66"/>
      <c r="B12" s="146">
        <v>68</v>
      </c>
      <c r="C12" s="71">
        <f t="shared" si="0"/>
        <v>1</v>
      </c>
      <c r="D12" s="71">
        <f t="shared" si="0"/>
        <v>1</v>
      </c>
      <c r="E12" s="71">
        <f t="shared" si="0"/>
        <v>1</v>
      </c>
      <c r="F12" s="71">
        <f t="shared" si="0"/>
        <v>2</v>
      </c>
      <c r="G12" s="71">
        <f t="shared" si="0"/>
        <v>1</v>
      </c>
      <c r="H12" s="71">
        <f t="shared" si="0"/>
        <v>1</v>
      </c>
      <c r="I12" s="71">
        <f t="shared" si="0"/>
        <v>1</v>
      </c>
      <c r="J12" s="71">
        <f t="shared" si="0"/>
        <v>1</v>
      </c>
      <c r="K12" s="71">
        <f t="shared" si="0"/>
        <v>1</v>
      </c>
      <c r="L12" s="71">
        <f t="shared" si="0"/>
        <v>1</v>
      </c>
      <c r="M12" s="71">
        <f t="shared" si="1"/>
        <v>1</v>
      </c>
      <c r="N12" s="71">
        <f t="shared" si="1"/>
        <v>0</v>
      </c>
      <c r="O12" s="71">
        <f t="shared" si="1"/>
        <v>0</v>
      </c>
      <c r="P12" s="71">
        <f t="shared" si="1"/>
        <v>0</v>
      </c>
      <c r="Q12" s="71">
        <f t="shared" si="1"/>
        <v>0</v>
      </c>
      <c r="R12" s="71">
        <f t="shared" si="1"/>
        <v>0</v>
      </c>
      <c r="S12" s="71">
        <f t="shared" si="1"/>
        <v>0</v>
      </c>
      <c r="T12" s="71">
        <f t="shared" si="1"/>
        <v>0</v>
      </c>
      <c r="U12" s="71">
        <f t="shared" si="1"/>
        <v>0</v>
      </c>
      <c r="V12" s="136">
        <f t="shared" si="1"/>
        <v>0</v>
      </c>
      <c r="X12" s="94" t="s">
        <v>62</v>
      </c>
      <c r="Y12" s="95">
        <f t="shared" si="2"/>
        <v>112</v>
      </c>
      <c r="Z12" s="95">
        <f t="shared" si="3"/>
        <v>54</v>
      </c>
      <c r="AA12" s="95">
        <f t="shared" si="4"/>
        <v>70</v>
      </c>
      <c r="AB12" s="95">
        <f t="shared" si="5"/>
        <v>36</v>
      </c>
    </row>
    <row r="13" spans="1:30" ht="15" customHeight="1">
      <c r="A13" s="66"/>
      <c r="B13" s="146">
        <v>69</v>
      </c>
      <c r="C13" s="71">
        <f t="shared" si="0"/>
        <v>1</v>
      </c>
      <c r="D13" s="71">
        <f t="shared" si="0"/>
        <v>1</v>
      </c>
      <c r="E13" s="71">
        <f t="shared" si="0"/>
        <v>1</v>
      </c>
      <c r="F13" s="71">
        <f t="shared" si="0"/>
        <v>1</v>
      </c>
      <c r="G13" s="71">
        <f t="shared" si="0"/>
        <v>2</v>
      </c>
      <c r="H13" s="71">
        <f t="shared" si="0"/>
        <v>0</v>
      </c>
      <c r="I13" s="71">
        <f t="shared" si="0"/>
        <v>1</v>
      </c>
      <c r="J13" s="71">
        <f t="shared" si="0"/>
        <v>1</v>
      </c>
      <c r="K13" s="71">
        <f t="shared" si="0"/>
        <v>1</v>
      </c>
      <c r="L13" s="71">
        <f t="shared" si="0"/>
        <v>1</v>
      </c>
      <c r="M13" s="71">
        <f t="shared" si="1"/>
        <v>1</v>
      </c>
      <c r="N13" s="71">
        <f t="shared" si="1"/>
        <v>0</v>
      </c>
      <c r="O13" s="71">
        <f t="shared" si="1"/>
        <v>0</v>
      </c>
      <c r="P13" s="71">
        <f t="shared" si="1"/>
        <v>0</v>
      </c>
      <c r="Q13" s="71">
        <f t="shared" si="1"/>
        <v>0</v>
      </c>
      <c r="R13" s="71">
        <f t="shared" si="1"/>
        <v>0</v>
      </c>
      <c r="S13" s="71">
        <f t="shared" si="1"/>
        <v>0</v>
      </c>
      <c r="T13" s="71">
        <f t="shared" si="1"/>
        <v>0</v>
      </c>
      <c r="U13" s="71">
        <f t="shared" si="1"/>
        <v>0</v>
      </c>
      <c r="V13" s="136">
        <f t="shared" si="1"/>
        <v>0</v>
      </c>
      <c r="X13" s="94" t="s">
        <v>63</v>
      </c>
      <c r="Y13" s="95">
        <f t="shared" si="2"/>
        <v>109</v>
      </c>
      <c r="Z13" s="95">
        <f t="shared" si="3"/>
        <v>64</v>
      </c>
      <c r="AA13" s="95">
        <f t="shared" si="4"/>
        <v>100</v>
      </c>
      <c r="AB13" s="95">
        <f t="shared" si="5"/>
        <v>16</v>
      </c>
    </row>
    <row r="14" spans="1:30" ht="15" customHeight="1">
      <c r="B14" s="146">
        <v>70</v>
      </c>
      <c r="C14" s="71">
        <f t="shared" si="0"/>
        <v>1</v>
      </c>
      <c r="D14" s="71">
        <f t="shared" si="0"/>
        <v>1</v>
      </c>
      <c r="E14" s="71">
        <f t="shared" si="0"/>
        <v>1</v>
      </c>
      <c r="F14" s="71">
        <f t="shared" si="0"/>
        <v>1</v>
      </c>
      <c r="G14" s="71">
        <f t="shared" si="0"/>
        <v>1</v>
      </c>
      <c r="H14" s="71">
        <f t="shared" si="0"/>
        <v>1</v>
      </c>
      <c r="I14" s="71">
        <f t="shared" si="0"/>
        <v>1</v>
      </c>
      <c r="J14" s="71">
        <f t="shared" si="0"/>
        <v>1</v>
      </c>
      <c r="K14" s="71">
        <f t="shared" si="0"/>
        <v>1</v>
      </c>
      <c r="L14" s="71">
        <f t="shared" si="0"/>
        <v>0</v>
      </c>
      <c r="M14" s="71">
        <f t="shared" si="1"/>
        <v>0</v>
      </c>
      <c r="N14" s="71">
        <f t="shared" si="1"/>
        <v>0</v>
      </c>
      <c r="O14" s="71">
        <f t="shared" si="1"/>
        <v>0</v>
      </c>
      <c r="P14" s="71">
        <f t="shared" si="1"/>
        <v>0</v>
      </c>
      <c r="Q14" s="71">
        <f t="shared" si="1"/>
        <v>0</v>
      </c>
      <c r="R14" s="71">
        <f t="shared" si="1"/>
        <v>0</v>
      </c>
      <c r="S14" s="71">
        <f t="shared" si="1"/>
        <v>0</v>
      </c>
      <c r="T14" s="71">
        <f t="shared" si="1"/>
        <v>0</v>
      </c>
      <c r="U14" s="71">
        <f t="shared" si="1"/>
        <v>0</v>
      </c>
      <c r="V14" s="136">
        <f t="shared" si="1"/>
        <v>0</v>
      </c>
      <c r="X14" s="94" t="s">
        <v>64</v>
      </c>
      <c r="Y14" s="95">
        <f t="shared" si="2"/>
        <v>20</v>
      </c>
      <c r="Z14" s="95">
        <f t="shared" si="3"/>
        <v>51</v>
      </c>
      <c r="AA14" s="95">
        <f t="shared" si="4"/>
        <v>39</v>
      </c>
      <c r="AB14" s="95">
        <f t="shared" si="5"/>
        <v>0</v>
      </c>
    </row>
    <row r="15" spans="1:30" ht="15" customHeight="1">
      <c r="B15" s="146">
        <v>71</v>
      </c>
      <c r="C15" s="71">
        <f t="shared" si="0"/>
        <v>1</v>
      </c>
      <c r="D15" s="71">
        <f t="shared" si="0"/>
        <v>1</v>
      </c>
      <c r="E15" s="71">
        <f t="shared" si="0"/>
        <v>1</v>
      </c>
      <c r="F15" s="71">
        <f t="shared" si="0"/>
        <v>1</v>
      </c>
      <c r="G15" s="71">
        <f t="shared" si="0"/>
        <v>1</v>
      </c>
      <c r="H15" s="71">
        <f t="shared" si="0"/>
        <v>2</v>
      </c>
      <c r="I15" s="71">
        <f t="shared" si="0"/>
        <v>1</v>
      </c>
      <c r="J15" s="71">
        <f t="shared" si="0"/>
        <v>1</v>
      </c>
      <c r="K15" s="71">
        <f t="shared" si="0"/>
        <v>1</v>
      </c>
      <c r="L15" s="71">
        <f t="shared" si="0"/>
        <v>1</v>
      </c>
      <c r="M15" s="71">
        <f t="shared" si="1"/>
        <v>1</v>
      </c>
      <c r="N15" s="71">
        <f t="shared" si="1"/>
        <v>1</v>
      </c>
      <c r="O15" s="71">
        <f t="shared" si="1"/>
        <v>1</v>
      </c>
      <c r="P15" s="71">
        <f t="shared" si="1"/>
        <v>0</v>
      </c>
      <c r="Q15" s="71">
        <f t="shared" si="1"/>
        <v>0</v>
      </c>
      <c r="R15" s="71">
        <f t="shared" si="1"/>
        <v>0</v>
      </c>
      <c r="S15" s="71">
        <f t="shared" si="1"/>
        <v>0</v>
      </c>
      <c r="T15" s="71">
        <f t="shared" si="1"/>
        <v>0</v>
      </c>
      <c r="U15" s="71">
        <f t="shared" si="1"/>
        <v>0</v>
      </c>
      <c r="V15" s="136">
        <f t="shared" si="1"/>
        <v>0</v>
      </c>
      <c r="W15" s="68"/>
      <c r="X15" s="94" t="s">
        <v>64</v>
      </c>
      <c r="Y15" s="95">
        <f t="shared" si="2"/>
        <v>73</v>
      </c>
      <c r="Z15" s="95">
        <f t="shared" si="3"/>
        <v>107</v>
      </c>
      <c r="AA15" s="95">
        <f t="shared" si="4"/>
        <v>30</v>
      </c>
      <c r="AB15" s="95">
        <f t="shared" si="5"/>
        <v>4</v>
      </c>
    </row>
    <row r="16" spans="1:30" ht="15" customHeight="1">
      <c r="B16" s="146">
        <v>72</v>
      </c>
      <c r="C16" s="71">
        <f t="shared" si="0"/>
        <v>2</v>
      </c>
      <c r="D16" s="71">
        <f t="shared" si="0"/>
        <v>1</v>
      </c>
      <c r="E16" s="71">
        <f t="shared" si="0"/>
        <v>1</v>
      </c>
      <c r="F16" s="71">
        <f t="shared" si="0"/>
        <v>1</v>
      </c>
      <c r="G16" s="71">
        <f t="shared" si="0"/>
        <v>1</v>
      </c>
      <c r="H16" s="71">
        <f t="shared" si="0"/>
        <v>0</v>
      </c>
      <c r="I16" s="71">
        <f t="shared" si="0"/>
        <v>1</v>
      </c>
      <c r="J16" s="71">
        <f t="shared" si="0"/>
        <v>1</v>
      </c>
      <c r="K16" s="71">
        <f t="shared" si="0"/>
        <v>1</v>
      </c>
      <c r="L16" s="71">
        <f t="shared" si="0"/>
        <v>0</v>
      </c>
      <c r="M16" s="71">
        <f t="shared" si="1"/>
        <v>1</v>
      </c>
      <c r="N16" s="71">
        <f t="shared" si="1"/>
        <v>1</v>
      </c>
      <c r="O16" s="71">
        <f t="shared" si="1"/>
        <v>1</v>
      </c>
      <c r="P16" s="71">
        <f t="shared" si="1"/>
        <v>1</v>
      </c>
      <c r="Q16" s="71">
        <f t="shared" si="1"/>
        <v>0</v>
      </c>
      <c r="R16" s="71">
        <f t="shared" si="1"/>
        <v>0</v>
      </c>
      <c r="S16" s="71">
        <f t="shared" si="1"/>
        <v>0</v>
      </c>
      <c r="T16" s="71">
        <f t="shared" si="1"/>
        <v>0</v>
      </c>
      <c r="U16" s="71">
        <f t="shared" si="1"/>
        <v>0</v>
      </c>
      <c r="V16" s="136">
        <f t="shared" si="1"/>
        <v>0</v>
      </c>
      <c r="W16" s="68"/>
      <c r="X16" s="94" t="s">
        <v>64</v>
      </c>
      <c r="Y16" s="95">
        <f t="shared" si="2"/>
        <v>57</v>
      </c>
      <c r="Z16" s="95">
        <f t="shared" si="3"/>
        <v>76</v>
      </c>
      <c r="AA16" s="95">
        <f t="shared" si="4"/>
        <v>30</v>
      </c>
      <c r="AB16" s="95">
        <f t="shared" si="5"/>
        <v>0</v>
      </c>
    </row>
    <row r="17" spans="2:28" ht="15" customHeight="1">
      <c r="B17" s="146">
        <v>73</v>
      </c>
      <c r="C17" s="71">
        <f t="shared" si="0"/>
        <v>1</v>
      </c>
      <c r="D17" s="71">
        <f t="shared" si="0"/>
        <v>1</v>
      </c>
      <c r="E17" s="71">
        <f t="shared" si="0"/>
        <v>1</v>
      </c>
      <c r="F17" s="71">
        <f t="shared" si="0"/>
        <v>1</v>
      </c>
      <c r="G17" s="71">
        <f t="shared" si="0"/>
        <v>1</v>
      </c>
      <c r="H17" s="71">
        <f t="shared" si="0"/>
        <v>1</v>
      </c>
      <c r="I17" s="71">
        <f t="shared" si="0"/>
        <v>1</v>
      </c>
      <c r="J17" s="71">
        <f t="shared" si="0"/>
        <v>1</v>
      </c>
      <c r="K17" s="71">
        <f t="shared" si="0"/>
        <v>1</v>
      </c>
      <c r="L17" s="71">
        <f t="shared" si="0"/>
        <v>1</v>
      </c>
      <c r="M17" s="71">
        <f t="shared" si="1"/>
        <v>1</v>
      </c>
      <c r="N17" s="71">
        <f t="shared" si="1"/>
        <v>1</v>
      </c>
      <c r="O17" s="71">
        <f t="shared" si="1"/>
        <v>0</v>
      </c>
      <c r="P17" s="71">
        <f t="shared" si="1"/>
        <v>0</v>
      </c>
      <c r="Q17" s="71">
        <f t="shared" si="1"/>
        <v>0</v>
      </c>
      <c r="R17" s="71">
        <f t="shared" si="1"/>
        <v>0</v>
      </c>
      <c r="S17" s="71">
        <f t="shared" si="1"/>
        <v>0</v>
      </c>
      <c r="T17" s="71">
        <f t="shared" si="1"/>
        <v>0</v>
      </c>
      <c r="U17" s="71">
        <f t="shared" si="1"/>
        <v>0</v>
      </c>
      <c r="V17" s="136">
        <f t="shared" si="1"/>
        <v>0</v>
      </c>
      <c r="W17" s="68"/>
      <c r="X17" s="94" t="s">
        <v>64</v>
      </c>
      <c r="Y17" s="95">
        <f t="shared" si="2"/>
        <v>55</v>
      </c>
      <c r="Z17" s="95">
        <f t="shared" si="3"/>
        <v>66</v>
      </c>
      <c r="AA17" s="95">
        <f t="shared" si="4"/>
        <v>35</v>
      </c>
      <c r="AB17" s="95">
        <f t="shared" si="5"/>
        <v>8</v>
      </c>
    </row>
    <row r="18" spans="2:28" ht="15" customHeight="1">
      <c r="B18" s="146">
        <v>74</v>
      </c>
      <c r="C18" s="71">
        <f t="shared" si="0"/>
        <v>1</v>
      </c>
      <c r="D18" s="71">
        <f t="shared" si="0"/>
        <v>1</v>
      </c>
      <c r="E18" s="71">
        <f t="shared" si="0"/>
        <v>1</v>
      </c>
      <c r="F18" s="71">
        <f t="shared" si="0"/>
        <v>1</v>
      </c>
      <c r="G18" s="71">
        <f t="shared" si="0"/>
        <v>1</v>
      </c>
      <c r="H18" s="71">
        <f t="shared" si="0"/>
        <v>1</v>
      </c>
      <c r="I18" s="71">
        <f t="shared" si="0"/>
        <v>0</v>
      </c>
      <c r="J18" s="71">
        <f t="shared" si="0"/>
        <v>2</v>
      </c>
      <c r="K18" s="71">
        <f t="shared" si="0"/>
        <v>1</v>
      </c>
      <c r="L18" s="71">
        <f t="shared" si="0"/>
        <v>1</v>
      </c>
      <c r="M18" s="71">
        <f t="shared" si="1"/>
        <v>1</v>
      </c>
      <c r="N18" s="71">
        <f t="shared" si="1"/>
        <v>1</v>
      </c>
      <c r="O18" s="71">
        <f t="shared" si="1"/>
        <v>1</v>
      </c>
      <c r="P18" s="71">
        <f t="shared" si="1"/>
        <v>0</v>
      </c>
      <c r="Q18" s="71">
        <f t="shared" si="1"/>
        <v>0</v>
      </c>
      <c r="R18" s="71">
        <f t="shared" si="1"/>
        <v>0</v>
      </c>
      <c r="S18" s="71">
        <f t="shared" si="1"/>
        <v>0</v>
      </c>
      <c r="T18" s="71">
        <f t="shared" si="1"/>
        <v>0</v>
      </c>
      <c r="U18" s="71">
        <f t="shared" si="1"/>
        <v>0</v>
      </c>
      <c r="V18" s="136">
        <f t="shared" si="1"/>
        <v>0</v>
      </c>
      <c r="X18" s="94" t="s">
        <v>64</v>
      </c>
      <c r="Y18" s="95">
        <f t="shared" si="2"/>
        <v>113</v>
      </c>
      <c r="Z18" s="95">
        <f t="shared" si="3"/>
        <v>58</v>
      </c>
      <c r="AA18" s="95">
        <f t="shared" si="4"/>
        <v>9</v>
      </c>
      <c r="AB18" s="95">
        <f t="shared" si="5"/>
        <v>8</v>
      </c>
    </row>
    <row r="19" spans="2:28" ht="15" customHeight="1">
      <c r="B19" s="146">
        <v>75</v>
      </c>
      <c r="C19" s="71">
        <f t="shared" si="0"/>
        <v>0</v>
      </c>
      <c r="D19" s="71">
        <f t="shared" si="0"/>
        <v>0</v>
      </c>
      <c r="E19" s="71">
        <f t="shared" si="0"/>
        <v>0</v>
      </c>
      <c r="F19" s="71">
        <f t="shared" si="0"/>
        <v>0</v>
      </c>
      <c r="G19" s="71">
        <f t="shared" si="0"/>
        <v>0</v>
      </c>
      <c r="H19" s="71">
        <f t="shared" si="0"/>
        <v>0</v>
      </c>
      <c r="I19" s="71">
        <f t="shared" si="0"/>
        <v>0</v>
      </c>
      <c r="J19" s="71">
        <f t="shared" si="0"/>
        <v>0</v>
      </c>
      <c r="K19" s="71">
        <f t="shared" si="0"/>
        <v>0</v>
      </c>
      <c r="L19" s="71">
        <f t="shared" si="0"/>
        <v>0</v>
      </c>
      <c r="M19" s="71">
        <f t="shared" si="1"/>
        <v>0</v>
      </c>
      <c r="N19" s="71">
        <f t="shared" si="1"/>
        <v>0</v>
      </c>
      <c r="O19" s="71">
        <f t="shared" si="1"/>
        <v>0</v>
      </c>
      <c r="P19" s="71">
        <f t="shared" si="1"/>
        <v>0</v>
      </c>
      <c r="Q19" s="71">
        <f t="shared" si="1"/>
        <v>0</v>
      </c>
      <c r="R19" s="71">
        <f t="shared" si="1"/>
        <v>0</v>
      </c>
      <c r="S19" s="71">
        <f t="shared" si="1"/>
        <v>0</v>
      </c>
      <c r="T19" s="71">
        <f t="shared" si="1"/>
        <v>0</v>
      </c>
      <c r="U19" s="71">
        <f t="shared" si="1"/>
        <v>0</v>
      </c>
      <c r="V19" s="136">
        <f t="shared" si="1"/>
        <v>0</v>
      </c>
      <c r="X19" s="94" t="s">
        <v>65</v>
      </c>
      <c r="Y19" s="95">
        <f t="shared" si="2"/>
        <v>0</v>
      </c>
      <c r="Z19" s="95">
        <f t="shared" si="3"/>
        <v>0</v>
      </c>
      <c r="AA19" s="95">
        <f t="shared" si="4"/>
        <v>0</v>
      </c>
      <c r="AB19" s="95">
        <f t="shared" si="5"/>
        <v>0</v>
      </c>
    </row>
    <row r="20" spans="2:28" ht="15" customHeight="1">
      <c r="B20" s="146">
        <v>76</v>
      </c>
      <c r="C20" s="71">
        <f t="shared" si="0"/>
        <v>1</v>
      </c>
      <c r="D20" s="71">
        <f t="shared" si="0"/>
        <v>1</v>
      </c>
      <c r="E20" s="71">
        <f t="shared" si="0"/>
        <v>1</v>
      </c>
      <c r="F20" s="71">
        <f t="shared" si="0"/>
        <v>1</v>
      </c>
      <c r="G20" s="71">
        <f t="shared" si="0"/>
        <v>1</v>
      </c>
      <c r="H20" s="71">
        <f t="shared" si="0"/>
        <v>1</v>
      </c>
      <c r="I20" s="71">
        <f t="shared" si="0"/>
        <v>1</v>
      </c>
      <c r="J20" s="71">
        <f t="shared" si="0"/>
        <v>1</v>
      </c>
      <c r="K20" s="71">
        <f t="shared" si="0"/>
        <v>1</v>
      </c>
      <c r="L20" s="71">
        <f t="shared" si="0"/>
        <v>1</v>
      </c>
      <c r="M20" s="71">
        <f t="shared" si="1"/>
        <v>1</v>
      </c>
      <c r="N20" s="71">
        <f t="shared" si="1"/>
        <v>1</v>
      </c>
      <c r="O20" s="71">
        <f t="shared" si="1"/>
        <v>0</v>
      </c>
      <c r="P20" s="71">
        <f t="shared" si="1"/>
        <v>0</v>
      </c>
      <c r="Q20" s="71">
        <f t="shared" si="1"/>
        <v>0</v>
      </c>
      <c r="R20" s="71">
        <f t="shared" si="1"/>
        <v>0</v>
      </c>
      <c r="S20" s="71">
        <f t="shared" si="1"/>
        <v>0</v>
      </c>
      <c r="T20" s="71">
        <f t="shared" si="1"/>
        <v>0</v>
      </c>
      <c r="U20" s="71">
        <f t="shared" si="1"/>
        <v>0</v>
      </c>
      <c r="V20" s="136">
        <f t="shared" si="1"/>
        <v>0</v>
      </c>
      <c r="X20" s="94" t="s">
        <v>66</v>
      </c>
      <c r="Y20" s="95">
        <f t="shared" si="2"/>
        <v>61</v>
      </c>
      <c r="Z20" s="95">
        <f t="shared" si="3"/>
        <v>73</v>
      </c>
      <c r="AA20" s="95">
        <f t="shared" si="4"/>
        <v>46</v>
      </c>
      <c r="AB20" s="95">
        <f t="shared" si="5"/>
        <v>3</v>
      </c>
    </row>
    <row r="21" spans="2:28" ht="15" customHeight="1">
      <c r="B21" s="146">
        <v>77</v>
      </c>
      <c r="C21" s="71">
        <f t="shared" si="0"/>
        <v>1</v>
      </c>
      <c r="D21" s="71">
        <f t="shared" si="0"/>
        <v>1</v>
      </c>
      <c r="E21" s="71">
        <f t="shared" si="0"/>
        <v>1</v>
      </c>
      <c r="F21" s="71">
        <f t="shared" si="0"/>
        <v>1</v>
      </c>
      <c r="G21" s="71">
        <f t="shared" si="0"/>
        <v>1</v>
      </c>
      <c r="H21" s="71">
        <f t="shared" si="0"/>
        <v>1</v>
      </c>
      <c r="I21" s="71">
        <f t="shared" si="0"/>
        <v>1</v>
      </c>
      <c r="J21" s="71">
        <f t="shared" si="0"/>
        <v>1</v>
      </c>
      <c r="K21" s="71">
        <f t="shared" si="0"/>
        <v>1</v>
      </c>
      <c r="L21" s="71">
        <f t="shared" si="0"/>
        <v>1</v>
      </c>
      <c r="M21" s="71">
        <f t="shared" si="1"/>
        <v>1</v>
      </c>
      <c r="N21" s="71">
        <f t="shared" si="1"/>
        <v>0</v>
      </c>
      <c r="O21" s="71">
        <f t="shared" si="1"/>
        <v>0</v>
      </c>
      <c r="P21" s="71">
        <f t="shared" si="1"/>
        <v>0</v>
      </c>
      <c r="Q21" s="71">
        <f t="shared" si="1"/>
        <v>0</v>
      </c>
      <c r="R21" s="71">
        <f t="shared" si="1"/>
        <v>0</v>
      </c>
      <c r="S21" s="71">
        <f t="shared" si="1"/>
        <v>0</v>
      </c>
      <c r="T21" s="71">
        <f t="shared" si="1"/>
        <v>0</v>
      </c>
      <c r="U21" s="71">
        <f t="shared" si="1"/>
        <v>0</v>
      </c>
      <c r="V21" s="136">
        <f t="shared" si="1"/>
        <v>0</v>
      </c>
      <c r="X21" s="94" t="s">
        <v>66</v>
      </c>
      <c r="Y21" s="95">
        <f t="shared" si="2"/>
        <v>190</v>
      </c>
      <c r="Z21" s="95">
        <f t="shared" si="3"/>
        <v>7</v>
      </c>
      <c r="AA21" s="95">
        <f t="shared" si="4"/>
        <v>73</v>
      </c>
      <c r="AB21" s="95">
        <f t="shared" si="5"/>
        <v>8</v>
      </c>
    </row>
    <row r="22" spans="2:28" ht="15" customHeight="1">
      <c r="B22" s="146">
        <v>78</v>
      </c>
      <c r="C22" s="71">
        <f t="shared" si="0"/>
        <v>1</v>
      </c>
      <c r="D22" s="71">
        <f t="shared" si="0"/>
        <v>1</v>
      </c>
      <c r="E22" s="71">
        <f t="shared" si="0"/>
        <v>1</v>
      </c>
      <c r="F22" s="71">
        <f t="shared" si="0"/>
        <v>1</v>
      </c>
      <c r="G22" s="71">
        <f t="shared" si="0"/>
        <v>1</v>
      </c>
      <c r="H22" s="71">
        <f t="shared" si="0"/>
        <v>1</v>
      </c>
      <c r="I22" s="71">
        <f t="shared" si="0"/>
        <v>1</v>
      </c>
      <c r="J22" s="71">
        <f t="shared" si="0"/>
        <v>1</v>
      </c>
      <c r="K22" s="71">
        <f t="shared" si="0"/>
        <v>1</v>
      </c>
      <c r="L22" s="71">
        <f t="shared" si="0"/>
        <v>1</v>
      </c>
      <c r="M22" s="71">
        <f t="shared" si="1"/>
        <v>1</v>
      </c>
      <c r="N22" s="71">
        <f t="shared" si="1"/>
        <v>0</v>
      </c>
      <c r="O22" s="71">
        <f t="shared" si="1"/>
        <v>0</v>
      </c>
      <c r="P22" s="71">
        <f t="shared" si="1"/>
        <v>0</v>
      </c>
      <c r="Q22" s="71">
        <f t="shared" si="1"/>
        <v>0</v>
      </c>
      <c r="R22" s="71">
        <f t="shared" si="1"/>
        <v>0</v>
      </c>
      <c r="S22" s="71">
        <f t="shared" si="1"/>
        <v>0</v>
      </c>
      <c r="T22" s="71">
        <f t="shared" si="1"/>
        <v>0</v>
      </c>
      <c r="U22" s="71">
        <f t="shared" si="1"/>
        <v>0</v>
      </c>
      <c r="V22" s="136">
        <f t="shared" si="1"/>
        <v>0</v>
      </c>
      <c r="X22" s="94" t="s">
        <v>66</v>
      </c>
      <c r="Y22" s="95">
        <f t="shared" si="2"/>
        <v>158</v>
      </c>
      <c r="Z22" s="95">
        <f t="shared" si="3"/>
        <v>81</v>
      </c>
      <c r="AA22" s="95">
        <f t="shared" si="4"/>
        <v>30</v>
      </c>
      <c r="AB22" s="95">
        <f t="shared" si="5"/>
        <v>0</v>
      </c>
    </row>
    <row r="23" spans="2:28" ht="15" customHeight="1">
      <c r="B23" s="146">
        <v>79</v>
      </c>
      <c r="C23" s="71">
        <f t="shared" si="0"/>
        <v>1</v>
      </c>
      <c r="D23" s="71">
        <f t="shared" si="0"/>
        <v>1</v>
      </c>
      <c r="E23" s="71">
        <f t="shared" si="0"/>
        <v>1</v>
      </c>
      <c r="F23" s="71">
        <f t="shared" si="0"/>
        <v>1</v>
      </c>
      <c r="G23" s="71">
        <f t="shared" si="0"/>
        <v>0</v>
      </c>
      <c r="H23" s="71">
        <f t="shared" si="0"/>
        <v>0</v>
      </c>
      <c r="I23" s="71">
        <f t="shared" si="0"/>
        <v>0</v>
      </c>
      <c r="J23" s="71">
        <f t="shared" si="0"/>
        <v>0</v>
      </c>
      <c r="K23" s="71">
        <f t="shared" si="0"/>
        <v>0</v>
      </c>
      <c r="L23" s="71">
        <f t="shared" si="0"/>
        <v>0</v>
      </c>
      <c r="M23" s="71">
        <f t="shared" si="1"/>
        <v>0</v>
      </c>
      <c r="N23" s="71">
        <f t="shared" si="1"/>
        <v>0</v>
      </c>
      <c r="O23" s="71">
        <f t="shared" si="1"/>
        <v>0</v>
      </c>
      <c r="P23" s="71">
        <f t="shared" si="1"/>
        <v>0</v>
      </c>
      <c r="Q23" s="71">
        <f t="shared" si="1"/>
        <v>0</v>
      </c>
      <c r="R23" s="71">
        <f t="shared" si="1"/>
        <v>0</v>
      </c>
      <c r="S23" s="71">
        <f t="shared" si="1"/>
        <v>0</v>
      </c>
      <c r="T23" s="71">
        <f t="shared" si="1"/>
        <v>0</v>
      </c>
      <c r="U23" s="71">
        <f t="shared" si="1"/>
        <v>0</v>
      </c>
      <c r="V23" s="136">
        <f t="shared" si="1"/>
        <v>0</v>
      </c>
      <c r="X23" s="94" t="s">
        <v>66</v>
      </c>
      <c r="Y23" s="95">
        <f t="shared" si="2"/>
        <v>29</v>
      </c>
      <c r="Z23" s="95">
        <f t="shared" si="3"/>
        <v>17</v>
      </c>
      <c r="AA23" s="95">
        <f t="shared" si="4"/>
        <v>11</v>
      </c>
      <c r="AB23" s="95">
        <f t="shared" si="5"/>
        <v>10</v>
      </c>
    </row>
    <row r="24" spans="2:28" ht="15" customHeight="1">
      <c r="B24" s="146">
        <v>80</v>
      </c>
      <c r="C24" s="71">
        <f t="shared" si="0"/>
        <v>1</v>
      </c>
      <c r="D24" s="71">
        <f t="shared" si="0"/>
        <v>1</v>
      </c>
      <c r="E24" s="71">
        <f t="shared" si="0"/>
        <v>1</v>
      </c>
      <c r="F24" s="71">
        <f t="shared" si="0"/>
        <v>1</v>
      </c>
      <c r="G24" s="71">
        <f t="shared" si="0"/>
        <v>1</v>
      </c>
      <c r="H24" s="71">
        <f t="shared" si="0"/>
        <v>1</v>
      </c>
      <c r="I24" s="71">
        <f t="shared" si="0"/>
        <v>1</v>
      </c>
      <c r="J24" s="71">
        <f t="shared" si="0"/>
        <v>1</v>
      </c>
      <c r="K24" s="71">
        <f t="shared" si="0"/>
        <v>1</v>
      </c>
      <c r="L24" s="71">
        <f t="shared" si="0"/>
        <v>1</v>
      </c>
      <c r="M24" s="71">
        <f t="shared" si="1"/>
        <v>1</v>
      </c>
      <c r="N24" s="71">
        <f t="shared" si="1"/>
        <v>1</v>
      </c>
      <c r="O24" s="71">
        <f t="shared" si="1"/>
        <v>0</v>
      </c>
      <c r="P24" s="71">
        <f t="shared" si="1"/>
        <v>0</v>
      </c>
      <c r="Q24" s="71">
        <f t="shared" si="1"/>
        <v>0</v>
      </c>
      <c r="R24" s="71">
        <f t="shared" si="1"/>
        <v>0</v>
      </c>
      <c r="S24" s="71">
        <f t="shared" si="1"/>
        <v>0</v>
      </c>
      <c r="T24" s="71">
        <f t="shared" si="1"/>
        <v>0</v>
      </c>
      <c r="U24" s="71">
        <f t="shared" si="1"/>
        <v>0</v>
      </c>
      <c r="V24" s="136">
        <f t="shared" si="1"/>
        <v>0</v>
      </c>
      <c r="X24" s="94" t="s">
        <v>66</v>
      </c>
      <c r="Y24" s="95">
        <f t="shared" si="2"/>
        <v>100</v>
      </c>
      <c r="Z24" s="95">
        <f t="shared" si="3"/>
        <v>18</v>
      </c>
      <c r="AA24" s="95">
        <f t="shared" si="4"/>
        <v>17</v>
      </c>
      <c r="AB24" s="95">
        <f t="shared" si="5"/>
        <v>5</v>
      </c>
    </row>
    <row r="25" spans="2:28" ht="15" customHeight="1">
      <c r="B25" s="146">
        <v>81</v>
      </c>
      <c r="C25" s="71">
        <f t="shared" ref="C25:R27" si="6">SUMIFS(SumaPO,CentroPO,$B25,TurnoPO,C$8)</f>
        <v>3</v>
      </c>
      <c r="D25" s="71">
        <f t="shared" si="6"/>
        <v>0</v>
      </c>
      <c r="E25" s="71">
        <f t="shared" si="6"/>
        <v>1</v>
      </c>
      <c r="F25" s="71">
        <f t="shared" si="6"/>
        <v>1</v>
      </c>
      <c r="G25" s="71">
        <f t="shared" si="6"/>
        <v>1</v>
      </c>
      <c r="H25" s="71">
        <f t="shared" si="6"/>
        <v>1</v>
      </c>
      <c r="I25" s="71">
        <f t="shared" si="6"/>
        <v>1</v>
      </c>
      <c r="J25" s="71">
        <f t="shared" si="6"/>
        <v>1</v>
      </c>
      <c r="K25" s="71">
        <f t="shared" si="6"/>
        <v>1</v>
      </c>
      <c r="L25" s="71">
        <f t="shared" si="6"/>
        <v>1</v>
      </c>
      <c r="M25" s="71">
        <f t="shared" si="6"/>
        <v>1</v>
      </c>
      <c r="N25" s="71">
        <f t="shared" si="6"/>
        <v>0</v>
      </c>
      <c r="O25" s="71">
        <f t="shared" si="6"/>
        <v>0</v>
      </c>
      <c r="P25" s="71">
        <f t="shared" si="6"/>
        <v>0</v>
      </c>
      <c r="Q25" s="71">
        <f t="shared" si="6"/>
        <v>0</v>
      </c>
      <c r="R25" s="71">
        <f t="shared" si="6"/>
        <v>0</v>
      </c>
      <c r="S25" s="71">
        <f t="shared" ref="M25:V27" si="7">SUMIFS(SumaPO,CentroPO,$B25,TurnoPO,S$8)</f>
        <v>0</v>
      </c>
      <c r="T25" s="71">
        <f t="shared" si="7"/>
        <v>0</v>
      </c>
      <c r="U25" s="71">
        <f t="shared" si="7"/>
        <v>0</v>
      </c>
      <c r="V25" s="136">
        <f t="shared" si="7"/>
        <v>0</v>
      </c>
      <c r="X25" s="94" t="s">
        <v>10</v>
      </c>
      <c r="Y25" s="95">
        <f t="shared" si="2"/>
        <v>105</v>
      </c>
      <c r="Z25" s="95">
        <f t="shared" si="3"/>
        <v>52</v>
      </c>
      <c r="AA25" s="95">
        <f t="shared" si="4"/>
        <v>107</v>
      </c>
      <c r="AB25" s="95">
        <f t="shared" ref="AB25:AB27" si="8">SUMIF(CentroPO,$B25,OtroPO)</f>
        <v>20</v>
      </c>
    </row>
    <row r="26" spans="2:28" ht="15" customHeight="1">
      <c r="B26" s="146">
        <v>82</v>
      </c>
      <c r="C26" s="71">
        <f t="shared" si="6"/>
        <v>1</v>
      </c>
      <c r="D26" s="71">
        <f t="shared" si="6"/>
        <v>1</v>
      </c>
      <c r="E26" s="71">
        <f t="shared" si="6"/>
        <v>1</v>
      </c>
      <c r="F26" s="71">
        <f t="shared" si="6"/>
        <v>1</v>
      </c>
      <c r="G26" s="71">
        <f t="shared" si="6"/>
        <v>1</v>
      </c>
      <c r="H26" s="71">
        <f t="shared" si="6"/>
        <v>1</v>
      </c>
      <c r="I26" s="71">
        <f t="shared" si="6"/>
        <v>1</v>
      </c>
      <c r="J26" s="71">
        <f t="shared" si="6"/>
        <v>1</v>
      </c>
      <c r="K26" s="71">
        <f t="shared" si="6"/>
        <v>1</v>
      </c>
      <c r="L26" s="71">
        <f t="shared" si="6"/>
        <v>1</v>
      </c>
      <c r="M26" s="71">
        <f t="shared" si="7"/>
        <v>1</v>
      </c>
      <c r="N26" s="71">
        <f t="shared" si="7"/>
        <v>1</v>
      </c>
      <c r="O26" s="71">
        <f t="shared" si="7"/>
        <v>1</v>
      </c>
      <c r="P26" s="71">
        <f t="shared" si="7"/>
        <v>0</v>
      </c>
      <c r="Q26" s="71">
        <f t="shared" si="7"/>
        <v>0</v>
      </c>
      <c r="R26" s="71">
        <f t="shared" si="7"/>
        <v>0</v>
      </c>
      <c r="S26" s="71">
        <f t="shared" si="7"/>
        <v>0</v>
      </c>
      <c r="T26" s="71">
        <f t="shared" si="7"/>
        <v>0</v>
      </c>
      <c r="U26" s="71">
        <f t="shared" si="7"/>
        <v>0</v>
      </c>
      <c r="V26" s="136">
        <f t="shared" si="7"/>
        <v>0</v>
      </c>
      <c r="X26" s="94" t="s">
        <v>67</v>
      </c>
      <c r="Y26" s="95">
        <f t="shared" si="2"/>
        <v>80</v>
      </c>
      <c r="Z26" s="95">
        <f t="shared" si="3"/>
        <v>44</v>
      </c>
      <c r="AA26" s="95">
        <f t="shared" si="4"/>
        <v>31</v>
      </c>
      <c r="AB26" s="95">
        <f t="shared" si="8"/>
        <v>0</v>
      </c>
    </row>
    <row r="27" spans="2:28" ht="15" customHeight="1" thickBot="1">
      <c r="B27" s="147">
        <v>83</v>
      </c>
      <c r="C27" s="137">
        <f t="shared" si="6"/>
        <v>1</v>
      </c>
      <c r="D27" s="137">
        <f t="shared" si="6"/>
        <v>1</v>
      </c>
      <c r="E27" s="137">
        <f t="shared" si="6"/>
        <v>1</v>
      </c>
      <c r="F27" s="137">
        <f t="shared" si="6"/>
        <v>1</v>
      </c>
      <c r="G27" s="137">
        <f t="shared" si="6"/>
        <v>0</v>
      </c>
      <c r="H27" s="137">
        <f t="shared" si="6"/>
        <v>0</v>
      </c>
      <c r="I27" s="137">
        <f t="shared" si="6"/>
        <v>0</v>
      </c>
      <c r="J27" s="137">
        <f t="shared" si="6"/>
        <v>0</v>
      </c>
      <c r="K27" s="137">
        <f t="shared" si="6"/>
        <v>0</v>
      </c>
      <c r="L27" s="137">
        <f t="shared" si="6"/>
        <v>0</v>
      </c>
      <c r="M27" s="137">
        <f t="shared" si="7"/>
        <v>0</v>
      </c>
      <c r="N27" s="137">
        <f t="shared" si="7"/>
        <v>0</v>
      </c>
      <c r="O27" s="137">
        <f t="shared" si="7"/>
        <v>0</v>
      </c>
      <c r="P27" s="137">
        <f t="shared" si="7"/>
        <v>0</v>
      </c>
      <c r="Q27" s="137">
        <f t="shared" si="7"/>
        <v>0</v>
      </c>
      <c r="R27" s="137">
        <f t="shared" si="7"/>
        <v>0</v>
      </c>
      <c r="S27" s="137">
        <f t="shared" si="7"/>
        <v>0</v>
      </c>
      <c r="T27" s="137">
        <f t="shared" si="7"/>
        <v>0</v>
      </c>
      <c r="U27" s="137">
        <f t="shared" si="7"/>
        <v>0</v>
      </c>
      <c r="V27" s="138">
        <f t="shared" si="7"/>
        <v>0</v>
      </c>
      <c r="X27" s="94" t="s">
        <v>67</v>
      </c>
      <c r="Y27" s="95">
        <f t="shared" si="2"/>
        <v>61</v>
      </c>
      <c r="Z27" s="95">
        <f t="shared" si="3"/>
        <v>15</v>
      </c>
      <c r="AA27" s="95">
        <f t="shared" si="4"/>
        <v>17</v>
      </c>
      <c r="AB27" s="95">
        <f t="shared" si="8"/>
        <v>1</v>
      </c>
    </row>
    <row r="29" spans="2:28" ht="15" customHeight="1" thickBot="1"/>
    <row r="30" spans="2:28" ht="15" customHeight="1">
      <c r="X30" s="108" t="s">
        <v>62</v>
      </c>
      <c r="Y30" s="105">
        <f t="shared" ref="Y30:AB36" si="9">SUMIF(MunicipiosPO,$X30,Y$9:Y$27)</f>
        <v>355</v>
      </c>
      <c r="Z30" s="105">
        <f t="shared" si="9"/>
        <v>163</v>
      </c>
      <c r="AA30" s="105">
        <f t="shared" si="9"/>
        <v>207</v>
      </c>
      <c r="AB30" s="106">
        <f t="shared" si="9"/>
        <v>56</v>
      </c>
    </row>
    <row r="31" spans="2:28" ht="15" customHeight="1">
      <c r="X31" s="109" t="s">
        <v>63</v>
      </c>
      <c r="Y31" s="69">
        <f t="shared" si="9"/>
        <v>109</v>
      </c>
      <c r="Z31" s="69">
        <f t="shared" si="9"/>
        <v>64</v>
      </c>
      <c r="AA31" s="69">
        <f t="shared" si="9"/>
        <v>100</v>
      </c>
      <c r="AB31" s="84">
        <f t="shared" si="9"/>
        <v>16</v>
      </c>
    </row>
    <row r="32" spans="2:28" ht="15" customHeight="1">
      <c r="X32" s="109" t="s">
        <v>64</v>
      </c>
      <c r="Y32" s="69">
        <f t="shared" si="9"/>
        <v>318</v>
      </c>
      <c r="Z32" s="69">
        <f t="shared" si="9"/>
        <v>358</v>
      </c>
      <c r="AA32" s="69">
        <f t="shared" si="9"/>
        <v>143</v>
      </c>
      <c r="AB32" s="84">
        <f t="shared" si="9"/>
        <v>20</v>
      </c>
    </row>
    <row r="33" spans="24:28" ht="15" customHeight="1">
      <c r="X33" s="109" t="s">
        <v>65</v>
      </c>
      <c r="Y33" s="69">
        <f t="shared" si="9"/>
        <v>0</v>
      </c>
      <c r="Z33" s="69">
        <f t="shared" si="9"/>
        <v>0</v>
      </c>
      <c r="AA33" s="69">
        <f t="shared" si="9"/>
        <v>0</v>
      </c>
      <c r="AB33" s="84">
        <f t="shared" si="9"/>
        <v>0</v>
      </c>
    </row>
    <row r="34" spans="24:28" ht="15" customHeight="1">
      <c r="X34" s="109" t="s">
        <v>66</v>
      </c>
      <c r="Y34" s="69">
        <f t="shared" si="9"/>
        <v>538</v>
      </c>
      <c r="Z34" s="69">
        <f t="shared" si="9"/>
        <v>196</v>
      </c>
      <c r="AA34" s="69">
        <f t="shared" si="9"/>
        <v>177</v>
      </c>
      <c r="AB34" s="84">
        <f t="shared" si="9"/>
        <v>26</v>
      </c>
    </row>
    <row r="35" spans="24:28" ht="15" customHeight="1">
      <c r="X35" s="109" t="s">
        <v>10</v>
      </c>
      <c r="Y35" s="69">
        <f t="shared" si="9"/>
        <v>105</v>
      </c>
      <c r="Z35" s="69">
        <f t="shared" si="9"/>
        <v>52</v>
      </c>
      <c r="AA35" s="69">
        <f t="shared" si="9"/>
        <v>107</v>
      </c>
      <c r="AB35" s="84">
        <f t="shared" si="9"/>
        <v>20</v>
      </c>
    </row>
    <row r="36" spans="24:28" ht="15" customHeight="1" thickBot="1">
      <c r="X36" s="110" t="s">
        <v>67</v>
      </c>
      <c r="Y36" s="90">
        <f t="shared" si="9"/>
        <v>141</v>
      </c>
      <c r="Z36" s="90">
        <f t="shared" si="9"/>
        <v>59</v>
      </c>
      <c r="AA36" s="90">
        <f t="shared" si="9"/>
        <v>48</v>
      </c>
      <c r="AB36" s="91">
        <f t="shared" si="9"/>
        <v>1</v>
      </c>
    </row>
  </sheetData>
  <customSheetViews>
    <customSheetView guid="{E103CAA9-E8FB-4228-A076-3C3E3EEEC109}" showGridLines="0" showRowCol="0">
      <selection activeCell="Y5" sqref="Y5"/>
      <pageMargins left="0.7" right="0.7" top="0.75" bottom="0.75" header="0.3" footer="0.3"/>
      <pageSetup paperSize="9" orientation="portrait" r:id="rId1"/>
    </customSheetView>
    <customSheetView guid="{37EA6283-F051-4D0B-81C6-34EEB84CCDF0}" showGridLines="0" showRowCol="0">
      <selection activeCell="Y2" sqref="Y2"/>
      <pageMargins left="0.7" right="0.7" top="0.75" bottom="0.75" header="0.3" footer="0.3"/>
      <pageSetup paperSize="9" orientation="portrait" r:id="rId2"/>
    </customSheetView>
    <customSheetView guid="{A6A06E36-D96E-4193-B19F-8D7934C6230C}" showGridLines="0" showRowCol="0">
      <selection activeCell="Y2" sqref="Y2"/>
      <pageMargins left="0.7" right="0.7" top="0.75" bottom="0.75" header="0.3" footer="0.3"/>
      <pageSetup paperSize="9" orientation="portrait" r:id="rId3"/>
    </customSheetView>
  </customSheetViews>
  <mergeCells count="6">
    <mergeCell ref="AB7:AB8"/>
    <mergeCell ref="Y7:Y8"/>
    <mergeCell ref="Z7:Z8"/>
    <mergeCell ref="B1:V1"/>
    <mergeCell ref="X7:X8"/>
    <mergeCell ref="AA7:AA8"/>
  </mergeCells>
  <conditionalFormatting sqref="C8:V8 B6:K6">
    <cfRule type="cellIs" dxfId="11" priority="4" stopIfTrue="1" operator="equal">
      <formula>"F"</formula>
    </cfRule>
    <cfRule type="cellIs" dxfId="10" priority="5" stopIfTrue="1" operator="equal">
      <formula>"C"</formula>
    </cfRule>
    <cfRule type="cellIs" dxfId="9" priority="6" stopIfTrue="1" operator="equal">
      <formula>"C"</formula>
    </cfRule>
  </conditionalFormatting>
  <conditionalFormatting sqref="C9:V27">
    <cfRule type="cellIs" dxfId="8" priority="1" stopIfTrue="1" operator="equal">
      <formula>0</formula>
    </cfRule>
    <cfRule type="cellIs" dxfId="7" priority="2" stopIfTrue="1" operator="equal">
      <formula>1</formula>
    </cfRule>
    <cfRule type="cellIs" dxfId="6" priority="3" stopIfTrue="1" operator="greaterThan">
      <formula>1</formula>
    </cfRule>
  </conditionalFormatting>
  <hyperlinks>
    <hyperlink ref="Y2" location="PPrincipal!A1" display="* Pagina Principal"/>
    <hyperlink ref="Y3" location="CFalcón!A1" display="Falcón"/>
    <hyperlink ref="Y4" location="CLara!A1" display="Lara"/>
    <hyperlink ref="Y5" location="CYaracuy!A1" display="Yaracuy"/>
  </hyperlinks>
  <pageMargins left="0.7" right="0.7" top="0.75" bottom="0.75" header="0.3" footer="0.3"/>
  <pageSetup paperSize="9" orientation="portrait" r:id="rId4"/>
</worksheet>
</file>

<file path=xl/worksheets/sheet11.xml><?xml version="1.0" encoding="utf-8"?>
<worksheet xmlns="http://schemas.openxmlformats.org/spreadsheetml/2006/main" xmlns:r="http://schemas.openxmlformats.org/officeDocument/2006/relationships">
  <dimension ref="B1:AA290"/>
  <sheetViews>
    <sheetView showGridLines="0" showRowColHeaders="0" workbookViewId="0">
      <pane ySplit="8" topLeftCell="A54" activePane="bottomLeft" state="frozen"/>
      <selection pane="bottomLeft" activeCell="I5" sqref="I5"/>
    </sheetView>
  </sheetViews>
  <sheetFormatPr baseColWidth="10" defaultRowHeight="12.75"/>
  <cols>
    <col min="1" max="1" width="42.7109375" customWidth="1"/>
    <col min="2" max="12" width="13.7109375" customWidth="1"/>
    <col min="13" max="13" width="13.7109375" style="21" customWidth="1"/>
    <col min="14" max="34" width="13.7109375" customWidth="1"/>
  </cols>
  <sheetData>
    <row r="1" spans="2:27" s="13" customFormat="1">
      <c r="J1" s="107"/>
      <c r="M1" s="26"/>
      <c r="P1" s="60"/>
      <c r="Q1" s="60"/>
      <c r="R1" s="60"/>
    </row>
    <row r="2" spans="2:27" s="13" customFormat="1">
      <c r="I2" s="153" t="s">
        <v>8</v>
      </c>
      <c r="M2" s="26"/>
      <c r="P2" s="61" t="s">
        <v>69</v>
      </c>
      <c r="Q2" s="96">
        <f>R9</f>
        <v>0.41029523088569264</v>
      </c>
      <c r="R2" s="59"/>
    </row>
    <row r="3" spans="2:27" s="13" customFormat="1">
      <c r="I3" s="153" t="s">
        <v>31</v>
      </c>
      <c r="M3" s="26"/>
      <c r="P3" s="61" t="s">
        <v>70</v>
      </c>
      <c r="Q3" s="96">
        <f>U9</f>
        <v>0.31642694928084786</v>
      </c>
      <c r="R3" s="59"/>
    </row>
    <row r="4" spans="2:27" s="13" customFormat="1">
      <c r="I4" s="153" t="s">
        <v>34</v>
      </c>
      <c r="M4" s="26"/>
      <c r="P4" s="61" t="s">
        <v>71</v>
      </c>
      <c r="Q4" s="96">
        <f>X9</f>
        <v>0.23921271763815291</v>
      </c>
      <c r="R4" s="59"/>
    </row>
    <row r="5" spans="2:27" s="13" customFormat="1">
      <c r="I5" s="153" t="s">
        <v>78</v>
      </c>
      <c r="M5" s="26"/>
      <c r="P5" s="61" t="s">
        <v>4</v>
      </c>
      <c r="Q5" s="96">
        <f>AA9</f>
        <v>3.4065102195306583E-2</v>
      </c>
      <c r="R5" s="59"/>
    </row>
    <row r="6" spans="2:27" s="13" customFormat="1" ht="33">
      <c r="C6" s="15">
        <v>20</v>
      </c>
      <c r="D6" s="15" t="s">
        <v>68</v>
      </c>
      <c r="E6" s="14"/>
      <c r="F6" s="14"/>
      <c r="G6" s="14"/>
      <c r="H6" s="14"/>
      <c r="I6" s="14"/>
      <c r="J6"/>
      <c r="M6" s="26"/>
    </row>
    <row r="7" spans="2:27" ht="13.5" thickBot="1"/>
    <row r="8" spans="2:27" ht="30.75" thickBot="1">
      <c r="B8" s="23" t="s">
        <v>1</v>
      </c>
      <c r="C8" s="24" t="s">
        <v>2</v>
      </c>
      <c r="D8" s="25" t="s">
        <v>0</v>
      </c>
      <c r="E8" s="12" t="s">
        <v>69</v>
      </c>
      <c r="F8" s="12" t="s">
        <v>70</v>
      </c>
      <c r="G8" s="12" t="s">
        <v>71</v>
      </c>
      <c r="H8" s="12" t="s">
        <v>4</v>
      </c>
      <c r="M8" s="55" t="s">
        <v>72</v>
      </c>
      <c r="P8" s="165" t="s">
        <v>69</v>
      </c>
      <c r="Q8" s="166"/>
      <c r="R8" s="167"/>
      <c r="S8" s="165" t="s">
        <v>70</v>
      </c>
      <c r="T8" s="166"/>
      <c r="U8" s="167"/>
      <c r="V8" s="165" t="s">
        <v>71</v>
      </c>
      <c r="W8" s="166"/>
      <c r="X8" s="167"/>
      <c r="Y8" s="165" t="s">
        <v>4</v>
      </c>
      <c r="Z8" s="166"/>
      <c r="AA8" s="167"/>
    </row>
    <row r="9" spans="2:27" ht="18">
      <c r="B9" s="51">
        <v>20</v>
      </c>
      <c r="C9" s="51">
        <v>97</v>
      </c>
      <c r="D9" s="51">
        <v>1</v>
      </c>
      <c r="E9" s="51">
        <v>11</v>
      </c>
      <c r="F9" s="51">
        <v>4</v>
      </c>
      <c r="G9" s="51">
        <v>5</v>
      </c>
      <c r="H9" s="51">
        <v>3</v>
      </c>
      <c r="M9" s="21">
        <v>1</v>
      </c>
      <c r="N9" s="163" t="s">
        <v>0</v>
      </c>
      <c r="O9" s="163"/>
      <c r="P9" s="31">
        <f>SUM(Julio_Leon)</f>
        <v>542</v>
      </c>
      <c r="Q9" s="32">
        <f>P9</f>
        <v>542</v>
      </c>
      <c r="R9" s="33">
        <f>P9/($P$9+$S$9+$V$9+$Y$9)</f>
        <v>0.41029523088569264</v>
      </c>
      <c r="S9" s="31">
        <f>SUM(Edward_Capdevielle)</f>
        <v>418</v>
      </c>
      <c r="T9" s="32">
        <f>S9</f>
        <v>418</v>
      </c>
      <c r="U9" s="33">
        <f>S9/($P$9+$S$9+$V$9+$Y$9)</f>
        <v>0.31642694928084786</v>
      </c>
      <c r="V9" s="31">
        <f>SUM(Filippo_Lapi)</f>
        <v>316</v>
      </c>
      <c r="W9" s="32">
        <f>V9</f>
        <v>316</v>
      </c>
      <c r="X9" s="33">
        <f>V9/($P$9+$S$9+$V$9+$Y$9)</f>
        <v>0.23921271763815291</v>
      </c>
      <c r="Y9" s="31">
        <f>SUM(OtroYA)</f>
        <v>45</v>
      </c>
      <c r="Z9" s="32">
        <f>Y9</f>
        <v>45</v>
      </c>
      <c r="AA9" s="34">
        <f>Y9/($P$9+$S$9+$V$9+$Y$9)</f>
        <v>3.4065102195306583E-2</v>
      </c>
    </row>
    <row r="10" spans="2:27" ht="18">
      <c r="B10" s="52">
        <v>20</v>
      </c>
      <c r="C10" s="52">
        <v>97</v>
      </c>
      <c r="D10" s="52">
        <v>2</v>
      </c>
      <c r="E10" s="52">
        <v>4</v>
      </c>
      <c r="F10" s="52">
        <v>6</v>
      </c>
      <c r="G10" s="52">
        <v>6</v>
      </c>
      <c r="H10" s="52">
        <v>6</v>
      </c>
      <c r="J10" s="5"/>
      <c r="M10" s="21">
        <v>1</v>
      </c>
      <c r="N10" s="6">
        <v>0.3125</v>
      </c>
      <c r="O10" s="2">
        <v>1</v>
      </c>
      <c r="P10" s="4">
        <f t="shared" ref="P10:P29" si="0">SUMIF(TurnoYA,$O10,Julio_Leon)</f>
        <v>95</v>
      </c>
      <c r="Q10" s="5">
        <f>P10</f>
        <v>95</v>
      </c>
      <c r="R10" s="10">
        <f>IF(P10&lt;&gt;0,Q10/($Q10+$T10+$W10+$Z10),LOOKUP(2121,$R$3:$R$6))</f>
        <v>0.5337078651685393</v>
      </c>
      <c r="S10" s="4">
        <f t="shared" ref="S10:S29" si="1">SUMIF(TurnoYA,$O10,Edward_Capdevielle)</f>
        <v>33</v>
      </c>
      <c r="T10" s="5">
        <f>S10</f>
        <v>33</v>
      </c>
      <c r="U10" s="10">
        <f>IF(S10&lt;&gt;0,T10/($Q10+$T10+$W10+$Z10),LOOKUP(2121,$R$3:$R$6))</f>
        <v>0.1853932584269663</v>
      </c>
      <c r="V10" s="4">
        <f t="shared" ref="V10:V29" si="2">SUMIF(TurnoYA,$O10,Filippo_Lapi)</f>
        <v>44</v>
      </c>
      <c r="W10" s="5">
        <f>V10</f>
        <v>44</v>
      </c>
      <c r="X10" s="10">
        <f>IF(V10&lt;&gt;0,W10/($Q10+$T10+$W10+$Z10),LOOKUP(2121,$R$3:$R$6))</f>
        <v>0.24719101123595505</v>
      </c>
      <c r="Y10" s="4">
        <f t="shared" ref="Y10:Y29" si="3">SUMIF(TurnoYA,$O10,OtroYA)</f>
        <v>6</v>
      </c>
      <c r="Z10" s="5">
        <f>Y10</f>
        <v>6</v>
      </c>
      <c r="AA10" s="3">
        <f>IF(Y10&lt;&gt;0,Z10/($Q10+$T10+$W10+$Z10),LOOKUP(2121,$R$3:$R$6))</f>
        <v>3.3707865168539325E-2</v>
      </c>
    </row>
    <row r="11" spans="2:27" ht="18">
      <c r="B11" s="52">
        <v>20</v>
      </c>
      <c r="C11" s="52">
        <v>96</v>
      </c>
      <c r="D11" s="52">
        <v>1</v>
      </c>
      <c r="E11" s="52">
        <v>16</v>
      </c>
      <c r="F11" s="52">
        <v>6</v>
      </c>
      <c r="G11" s="52">
        <v>3</v>
      </c>
      <c r="H11" s="52">
        <v>0</v>
      </c>
      <c r="M11" s="21">
        <v>1</v>
      </c>
      <c r="N11" s="6">
        <v>0.33333333333333298</v>
      </c>
      <c r="O11" s="2">
        <v>2</v>
      </c>
      <c r="P11" s="4">
        <f t="shared" si="0"/>
        <v>41</v>
      </c>
      <c r="Q11" s="5">
        <f>Q10+P11</f>
        <v>136</v>
      </c>
      <c r="R11" s="10">
        <f t="shared" ref="R11:R29" si="4">IF(P11&lt;&gt;0,Q11/($Q11+$T11+$W11+$Z11),LOOKUP(2121,$R$3:$R$6))</f>
        <v>0.46416382252559729</v>
      </c>
      <c r="S11" s="4">
        <f t="shared" si="1"/>
        <v>34</v>
      </c>
      <c r="T11" s="5">
        <f>T10+S11</f>
        <v>67</v>
      </c>
      <c r="U11" s="10">
        <f t="shared" ref="U11:U29" si="5">IF(S11&lt;&gt;0,T11/($Q11+$T11+$W11+$Z11),LOOKUP(2121,$R$3:$R$6))</f>
        <v>0.22866894197952217</v>
      </c>
      <c r="V11" s="4">
        <f t="shared" si="2"/>
        <v>24</v>
      </c>
      <c r="W11" s="5">
        <f>W10+V11</f>
        <v>68</v>
      </c>
      <c r="X11" s="10">
        <f t="shared" ref="X11:X29" si="6">IF(V11&lt;&gt;0,W11/($Q11+$T11+$W11+$Z11),LOOKUP(2121,$R$3:$R$6))</f>
        <v>0.23208191126279865</v>
      </c>
      <c r="Y11" s="4">
        <f t="shared" si="3"/>
        <v>16</v>
      </c>
      <c r="Z11" s="5">
        <f>Z10+Y11</f>
        <v>22</v>
      </c>
      <c r="AA11" s="3">
        <f t="shared" ref="AA11:AA29" si="7">IF(Y11&lt;&gt;0,Z11/($Q11+$T11+$W11+$Z11),LOOKUP(2121,$R$3:$R$6))</f>
        <v>7.5085324232081918E-2</v>
      </c>
    </row>
    <row r="12" spans="2:27" ht="18">
      <c r="B12" s="52">
        <v>20</v>
      </c>
      <c r="C12" s="52">
        <v>96</v>
      </c>
      <c r="D12" s="52">
        <v>2</v>
      </c>
      <c r="E12" s="52">
        <v>0</v>
      </c>
      <c r="F12" s="52">
        <v>0</v>
      </c>
      <c r="G12" s="52">
        <v>0</v>
      </c>
      <c r="H12" s="52">
        <v>1</v>
      </c>
      <c r="M12" s="21">
        <v>1</v>
      </c>
      <c r="N12" s="6">
        <v>0.35416666666666702</v>
      </c>
      <c r="O12" s="2">
        <v>3</v>
      </c>
      <c r="P12" s="4">
        <f t="shared" si="0"/>
        <v>62</v>
      </c>
      <c r="Q12" s="5">
        <f t="shared" ref="Q12:Q29" si="8">Q11+P12</f>
        <v>198</v>
      </c>
      <c r="R12" s="10">
        <f t="shared" si="4"/>
        <v>0.46370023419203749</v>
      </c>
      <c r="S12" s="4">
        <f t="shared" si="1"/>
        <v>37</v>
      </c>
      <c r="T12" s="5">
        <f t="shared" ref="T12:T29" si="9">T11+S12</f>
        <v>104</v>
      </c>
      <c r="U12" s="10">
        <f t="shared" si="5"/>
        <v>0.24355971896955503</v>
      </c>
      <c r="V12" s="4">
        <f t="shared" si="2"/>
        <v>32</v>
      </c>
      <c r="W12" s="5">
        <f t="shared" ref="W12:W29" si="10">W11+V12</f>
        <v>100</v>
      </c>
      <c r="X12" s="10">
        <f t="shared" si="6"/>
        <v>0.23419203747072601</v>
      </c>
      <c r="Y12" s="4">
        <f t="shared" si="3"/>
        <v>3</v>
      </c>
      <c r="Z12" s="5">
        <f t="shared" ref="Z12:Z29" si="11">Z11+Y12</f>
        <v>25</v>
      </c>
      <c r="AA12" s="3">
        <f t="shared" si="7"/>
        <v>5.8548009367681501E-2</v>
      </c>
    </row>
    <row r="13" spans="2:27" ht="18">
      <c r="B13" s="52">
        <v>20</v>
      </c>
      <c r="C13" s="52">
        <v>97</v>
      </c>
      <c r="D13" s="52">
        <v>4</v>
      </c>
      <c r="E13" s="52">
        <v>41</v>
      </c>
      <c r="F13" s="52">
        <v>16</v>
      </c>
      <c r="G13" s="52">
        <v>9</v>
      </c>
      <c r="H13" s="52">
        <v>0</v>
      </c>
      <c r="M13" s="21">
        <v>1</v>
      </c>
      <c r="N13" s="6">
        <v>0.375</v>
      </c>
      <c r="O13" s="2">
        <v>4</v>
      </c>
      <c r="P13" s="4">
        <f t="shared" si="0"/>
        <v>62</v>
      </c>
      <c r="Q13" s="5">
        <f t="shared" si="8"/>
        <v>260</v>
      </c>
      <c r="R13" s="10">
        <f t="shared" si="4"/>
        <v>0.48417132216014896</v>
      </c>
      <c r="S13" s="4">
        <f t="shared" si="1"/>
        <v>32</v>
      </c>
      <c r="T13" s="5">
        <f t="shared" si="9"/>
        <v>136</v>
      </c>
      <c r="U13" s="10">
        <f t="shared" si="5"/>
        <v>0.2532588454376164</v>
      </c>
      <c r="V13" s="4">
        <f t="shared" si="2"/>
        <v>15</v>
      </c>
      <c r="W13" s="5">
        <f t="shared" si="10"/>
        <v>115</v>
      </c>
      <c r="X13" s="10">
        <f t="shared" si="6"/>
        <v>0.21415270018621974</v>
      </c>
      <c r="Y13" s="4">
        <f t="shared" si="3"/>
        <v>1</v>
      </c>
      <c r="Z13" s="5">
        <f t="shared" si="11"/>
        <v>26</v>
      </c>
      <c r="AA13" s="3">
        <f t="shared" si="7"/>
        <v>4.8417132216014895E-2</v>
      </c>
    </row>
    <row r="14" spans="2:27" ht="18">
      <c r="B14" s="52">
        <v>20</v>
      </c>
      <c r="C14" s="52">
        <v>97</v>
      </c>
      <c r="D14" s="52">
        <v>3</v>
      </c>
      <c r="E14" s="52">
        <v>30</v>
      </c>
      <c r="F14" s="52">
        <v>15</v>
      </c>
      <c r="G14" s="52">
        <v>16</v>
      </c>
      <c r="H14" s="52">
        <v>0</v>
      </c>
      <c r="M14" s="21">
        <v>1</v>
      </c>
      <c r="N14" s="6">
        <v>0.39583333333333298</v>
      </c>
      <c r="O14" s="2">
        <v>5</v>
      </c>
      <c r="P14" s="4">
        <f t="shared" si="0"/>
        <v>76</v>
      </c>
      <c r="Q14" s="5">
        <f t="shared" si="8"/>
        <v>336</v>
      </c>
      <c r="R14" s="10">
        <f t="shared" si="4"/>
        <v>0.44919786096256686</v>
      </c>
      <c r="S14" s="4">
        <f t="shared" si="1"/>
        <v>74</v>
      </c>
      <c r="T14" s="5">
        <f t="shared" si="9"/>
        <v>210</v>
      </c>
      <c r="U14" s="10">
        <f t="shared" si="5"/>
        <v>0.28074866310160429</v>
      </c>
      <c r="V14" s="4">
        <f t="shared" si="2"/>
        <v>53</v>
      </c>
      <c r="W14" s="5">
        <f t="shared" si="10"/>
        <v>168</v>
      </c>
      <c r="X14" s="10">
        <f t="shared" si="6"/>
        <v>0.22459893048128343</v>
      </c>
      <c r="Y14" s="4">
        <f t="shared" si="3"/>
        <v>8</v>
      </c>
      <c r="Z14" s="5">
        <f t="shared" si="11"/>
        <v>34</v>
      </c>
      <c r="AA14" s="3">
        <f t="shared" si="7"/>
        <v>4.5454545454545456E-2</v>
      </c>
    </row>
    <row r="15" spans="2:27" ht="18">
      <c r="B15" s="52">
        <v>20</v>
      </c>
      <c r="C15" s="52">
        <v>87</v>
      </c>
      <c r="D15" s="52">
        <v>1</v>
      </c>
      <c r="E15" s="52">
        <v>15</v>
      </c>
      <c r="F15" s="52">
        <v>6</v>
      </c>
      <c r="G15" s="52">
        <v>3</v>
      </c>
      <c r="H15" s="52">
        <v>0</v>
      </c>
      <c r="M15" s="21">
        <v>1</v>
      </c>
      <c r="N15" s="6">
        <v>0.41666666666666702</v>
      </c>
      <c r="O15" s="2">
        <v>6</v>
      </c>
      <c r="P15" s="4">
        <f t="shared" si="0"/>
        <v>66</v>
      </c>
      <c r="Q15" s="5">
        <f t="shared" si="8"/>
        <v>402</v>
      </c>
      <c r="R15" s="10">
        <f t="shared" si="4"/>
        <v>0.43982494529540483</v>
      </c>
      <c r="S15" s="4">
        <f t="shared" si="1"/>
        <v>62</v>
      </c>
      <c r="T15" s="5">
        <f t="shared" si="9"/>
        <v>272</v>
      </c>
      <c r="U15" s="10">
        <f t="shared" si="5"/>
        <v>0.2975929978118162</v>
      </c>
      <c r="V15" s="4">
        <f t="shared" si="2"/>
        <v>30</v>
      </c>
      <c r="W15" s="5">
        <f t="shared" si="10"/>
        <v>198</v>
      </c>
      <c r="X15" s="10">
        <f t="shared" si="6"/>
        <v>0.21663019693654267</v>
      </c>
      <c r="Y15" s="4">
        <f t="shared" si="3"/>
        <v>8</v>
      </c>
      <c r="Z15" s="5">
        <f t="shared" si="11"/>
        <v>42</v>
      </c>
      <c r="AA15" s="3">
        <f t="shared" si="7"/>
        <v>4.5951859956236324E-2</v>
      </c>
    </row>
    <row r="16" spans="2:27" ht="18">
      <c r="B16" s="52">
        <v>20</v>
      </c>
      <c r="C16" s="52">
        <v>86</v>
      </c>
      <c r="D16" s="52">
        <v>1</v>
      </c>
      <c r="E16" s="52">
        <v>12</v>
      </c>
      <c r="F16" s="52">
        <v>6</v>
      </c>
      <c r="G16" s="52">
        <v>2</v>
      </c>
      <c r="H16" s="52">
        <v>0</v>
      </c>
      <c r="M16" s="21">
        <v>1</v>
      </c>
      <c r="N16" s="6">
        <v>0.4375</v>
      </c>
      <c r="O16" s="2">
        <v>7</v>
      </c>
      <c r="P16" s="4">
        <f t="shared" si="0"/>
        <v>43</v>
      </c>
      <c r="Q16" s="5">
        <f t="shared" si="8"/>
        <v>445</v>
      </c>
      <c r="R16" s="10">
        <f t="shared" si="4"/>
        <v>0.43499511241446726</v>
      </c>
      <c r="S16" s="4">
        <f t="shared" si="1"/>
        <v>44</v>
      </c>
      <c r="T16" s="5">
        <f t="shared" si="9"/>
        <v>316</v>
      </c>
      <c r="U16" s="10">
        <f t="shared" si="5"/>
        <v>0.30889540566959922</v>
      </c>
      <c r="V16" s="4">
        <f t="shared" si="2"/>
        <v>22</v>
      </c>
      <c r="W16" s="5">
        <f t="shared" si="10"/>
        <v>220</v>
      </c>
      <c r="X16" s="10">
        <f t="shared" si="6"/>
        <v>0.21505376344086022</v>
      </c>
      <c r="Y16" s="4">
        <f t="shared" si="3"/>
        <v>0</v>
      </c>
      <c r="Z16" s="5">
        <f t="shared" si="11"/>
        <v>42</v>
      </c>
      <c r="AA16" s="3" t="e">
        <f t="shared" si="7"/>
        <v>#N/A</v>
      </c>
    </row>
    <row r="17" spans="2:27" ht="18">
      <c r="B17" s="52">
        <v>20</v>
      </c>
      <c r="C17" s="52">
        <v>97</v>
      </c>
      <c r="D17" s="52">
        <v>5</v>
      </c>
      <c r="E17" s="52">
        <v>21</v>
      </c>
      <c r="F17" s="52">
        <v>20</v>
      </c>
      <c r="G17" s="52">
        <v>10</v>
      </c>
      <c r="H17" s="52">
        <v>0</v>
      </c>
      <c r="M17" s="21">
        <v>1</v>
      </c>
      <c r="N17" s="6">
        <v>0.45833333333333298</v>
      </c>
      <c r="O17" s="2">
        <v>8</v>
      </c>
      <c r="P17" s="4">
        <f t="shared" si="0"/>
        <v>25</v>
      </c>
      <c r="Q17" s="5">
        <f t="shared" si="8"/>
        <v>470</v>
      </c>
      <c r="R17" s="10">
        <f t="shared" si="4"/>
        <v>0.42152466367713004</v>
      </c>
      <c r="S17" s="4">
        <f t="shared" si="1"/>
        <v>42</v>
      </c>
      <c r="T17" s="5">
        <f t="shared" si="9"/>
        <v>358</v>
      </c>
      <c r="U17" s="10">
        <f t="shared" si="5"/>
        <v>0.32107623318385653</v>
      </c>
      <c r="V17" s="4">
        <f t="shared" si="2"/>
        <v>24</v>
      </c>
      <c r="W17" s="5">
        <f t="shared" si="10"/>
        <v>244</v>
      </c>
      <c r="X17" s="10">
        <f t="shared" si="6"/>
        <v>0.21883408071748878</v>
      </c>
      <c r="Y17" s="4">
        <f t="shared" si="3"/>
        <v>1</v>
      </c>
      <c r="Z17" s="5">
        <f t="shared" si="11"/>
        <v>43</v>
      </c>
      <c r="AA17" s="3">
        <f t="shared" si="7"/>
        <v>3.8565022421524667E-2</v>
      </c>
    </row>
    <row r="18" spans="2:27" ht="18">
      <c r="B18" s="52">
        <v>20</v>
      </c>
      <c r="C18" s="52">
        <v>97</v>
      </c>
      <c r="D18" s="52">
        <v>6</v>
      </c>
      <c r="E18" s="52">
        <v>20</v>
      </c>
      <c r="F18" s="52">
        <v>18</v>
      </c>
      <c r="G18" s="52">
        <v>10</v>
      </c>
      <c r="H18" s="52">
        <v>0</v>
      </c>
      <c r="M18" s="21">
        <v>1</v>
      </c>
      <c r="N18" s="6">
        <v>0.47916666666666702</v>
      </c>
      <c r="O18" s="2">
        <v>9</v>
      </c>
      <c r="P18" s="4">
        <f t="shared" si="0"/>
        <v>15</v>
      </c>
      <c r="Q18" s="5">
        <f t="shared" si="8"/>
        <v>485</v>
      </c>
      <c r="R18" s="10">
        <f t="shared" si="4"/>
        <v>0.41738382099827881</v>
      </c>
      <c r="S18" s="4">
        <f t="shared" si="1"/>
        <v>14</v>
      </c>
      <c r="T18" s="5">
        <f t="shared" si="9"/>
        <v>372</v>
      </c>
      <c r="U18" s="10">
        <f t="shared" si="5"/>
        <v>0.32013769363166955</v>
      </c>
      <c r="V18" s="4">
        <f t="shared" si="2"/>
        <v>18</v>
      </c>
      <c r="W18" s="5">
        <f t="shared" si="10"/>
        <v>262</v>
      </c>
      <c r="X18" s="10">
        <f t="shared" si="6"/>
        <v>0.22547332185886404</v>
      </c>
      <c r="Y18" s="4">
        <f t="shared" si="3"/>
        <v>0</v>
      </c>
      <c r="Z18" s="5">
        <f t="shared" si="11"/>
        <v>43</v>
      </c>
      <c r="AA18" s="3" t="e">
        <f t="shared" si="7"/>
        <v>#N/A</v>
      </c>
    </row>
    <row r="19" spans="2:27" ht="18">
      <c r="B19" s="52">
        <v>20</v>
      </c>
      <c r="C19" s="52">
        <v>96</v>
      </c>
      <c r="D19" s="52">
        <v>3</v>
      </c>
      <c r="E19" s="52">
        <v>0</v>
      </c>
      <c r="F19" s="52">
        <v>1</v>
      </c>
      <c r="G19" s="52">
        <v>2</v>
      </c>
      <c r="H19" s="52">
        <v>0</v>
      </c>
      <c r="M19" s="21">
        <v>1</v>
      </c>
      <c r="N19" s="6">
        <v>0.5</v>
      </c>
      <c r="O19" s="2">
        <v>10</v>
      </c>
      <c r="P19" s="4">
        <f t="shared" si="0"/>
        <v>10</v>
      </c>
      <c r="Q19" s="5">
        <f t="shared" si="8"/>
        <v>495</v>
      </c>
      <c r="R19" s="10">
        <f t="shared" si="4"/>
        <v>0.41353383458646614</v>
      </c>
      <c r="S19" s="4">
        <f t="shared" si="1"/>
        <v>5</v>
      </c>
      <c r="T19" s="5">
        <f t="shared" si="9"/>
        <v>377</v>
      </c>
      <c r="U19" s="10">
        <f t="shared" si="5"/>
        <v>0.31495405179615704</v>
      </c>
      <c r="V19" s="4">
        <f t="shared" si="2"/>
        <v>18</v>
      </c>
      <c r="W19" s="5">
        <f t="shared" si="10"/>
        <v>280</v>
      </c>
      <c r="X19" s="10">
        <f t="shared" si="6"/>
        <v>0.23391812865497075</v>
      </c>
      <c r="Y19" s="4">
        <f t="shared" si="3"/>
        <v>2</v>
      </c>
      <c r="Z19" s="5">
        <f t="shared" si="11"/>
        <v>45</v>
      </c>
      <c r="AA19" s="3">
        <f t="shared" si="7"/>
        <v>3.7593984962406013E-2</v>
      </c>
    </row>
    <row r="20" spans="2:27" ht="18">
      <c r="B20" s="52">
        <v>20</v>
      </c>
      <c r="C20" s="52">
        <v>85</v>
      </c>
      <c r="D20" s="52">
        <v>1</v>
      </c>
      <c r="E20" s="52">
        <v>12</v>
      </c>
      <c r="F20" s="52">
        <v>2</v>
      </c>
      <c r="G20" s="52">
        <v>17</v>
      </c>
      <c r="H20" s="52">
        <v>0</v>
      </c>
      <c r="M20" s="21">
        <v>1</v>
      </c>
      <c r="N20" s="6">
        <v>0.52083333333333304</v>
      </c>
      <c r="O20" s="2">
        <v>11</v>
      </c>
      <c r="P20" s="4">
        <f t="shared" si="0"/>
        <v>23</v>
      </c>
      <c r="Q20" s="5">
        <f t="shared" si="8"/>
        <v>518</v>
      </c>
      <c r="R20" s="10">
        <f t="shared" si="4"/>
        <v>0.41078509119746232</v>
      </c>
      <c r="S20" s="4">
        <f t="shared" si="1"/>
        <v>23</v>
      </c>
      <c r="T20" s="5">
        <f t="shared" si="9"/>
        <v>400</v>
      </c>
      <c r="U20" s="10">
        <f t="shared" si="5"/>
        <v>0.31720856463124503</v>
      </c>
      <c r="V20" s="4">
        <f t="shared" si="2"/>
        <v>18</v>
      </c>
      <c r="W20" s="5">
        <f t="shared" si="10"/>
        <v>298</v>
      </c>
      <c r="X20" s="10">
        <f t="shared" si="6"/>
        <v>0.23632038065027755</v>
      </c>
      <c r="Y20" s="4">
        <f t="shared" si="3"/>
        <v>0</v>
      </c>
      <c r="Z20" s="5">
        <f t="shared" si="11"/>
        <v>45</v>
      </c>
      <c r="AA20" s="3" t="e">
        <f t="shared" si="7"/>
        <v>#N/A</v>
      </c>
    </row>
    <row r="21" spans="2:27" ht="18">
      <c r="B21" s="52">
        <v>20</v>
      </c>
      <c r="C21" s="52">
        <v>95</v>
      </c>
      <c r="D21" s="52">
        <v>1</v>
      </c>
      <c r="E21" s="52">
        <v>13</v>
      </c>
      <c r="F21" s="52">
        <v>3</v>
      </c>
      <c r="G21" s="52">
        <v>2</v>
      </c>
      <c r="H21" s="52">
        <v>0</v>
      </c>
      <c r="M21" s="21">
        <v>1</v>
      </c>
      <c r="N21" s="6">
        <v>4.1666666666666664E-2</v>
      </c>
      <c r="O21" s="2">
        <v>12</v>
      </c>
      <c r="P21" s="4">
        <f t="shared" si="0"/>
        <v>24</v>
      </c>
      <c r="Q21" s="5">
        <f t="shared" si="8"/>
        <v>542</v>
      </c>
      <c r="R21" s="10">
        <f t="shared" si="4"/>
        <v>0.41029523088569264</v>
      </c>
      <c r="S21" s="4">
        <f t="shared" si="1"/>
        <v>18</v>
      </c>
      <c r="T21" s="5">
        <f t="shared" si="9"/>
        <v>418</v>
      </c>
      <c r="U21" s="10">
        <f t="shared" si="5"/>
        <v>0.31642694928084786</v>
      </c>
      <c r="V21" s="4">
        <f t="shared" si="2"/>
        <v>18</v>
      </c>
      <c r="W21" s="5">
        <f t="shared" si="10"/>
        <v>316</v>
      </c>
      <c r="X21" s="10">
        <f t="shared" si="6"/>
        <v>0.23921271763815291</v>
      </c>
      <c r="Y21" s="4">
        <f t="shared" si="3"/>
        <v>0</v>
      </c>
      <c r="Z21" s="5">
        <f t="shared" si="11"/>
        <v>45</v>
      </c>
      <c r="AA21" s="3" t="e">
        <f t="shared" si="7"/>
        <v>#N/A</v>
      </c>
    </row>
    <row r="22" spans="2:27" ht="18">
      <c r="B22" s="52">
        <v>20</v>
      </c>
      <c r="C22" s="52">
        <v>87</v>
      </c>
      <c r="D22" s="52">
        <v>3</v>
      </c>
      <c r="E22" s="52">
        <v>9</v>
      </c>
      <c r="F22" s="52">
        <v>11</v>
      </c>
      <c r="G22" s="52">
        <v>1</v>
      </c>
      <c r="H22" s="52">
        <v>1</v>
      </c>
      <c r="M22" s="21">
        <v>1</v>
      </c>
      <c r="N22" s="6">
        <v>6.25E-2</v>
      </c>
      <c r="O22" s="2">
        <v>13</v>
      </c>
      <c r="P22" s="4">
        <f t="shared" si="0"/>
        <v>0</v>
      </c>
      <c r="Q22" s="5">
        <f t="shared" si="8"/>
        <v>542</v>
      </c>
      <c r="R22" s="10" t="e">
        <f t="shared" si="4"/>
        <v>#N/A</v>
      </c>
      <c r="S22" s="4">
        <f t="shared" si="1"/>
        <v>0</v>
      </c>
      <c r="T22" s="5">
        <f t="shared" si="9"/>
        <v>418</v>
      </c>
      <c r="U22" s="10" t="e">
        <f t="shared" si="5"/>
        <v>#N/A</v>
      </c>
      <c r="V22" s="4">
        <f t="shared" si="2"/>
        <v>0</v>
      </c>
      <c r="W22" s="5">
        <f t="shared" si="10"/>
        <v>316</v>
      </c>
      <c r="X22" s="10" t="e">
        <f t="shared" si="6"/>
        <v>#N/A</v>
      </c>
      <c r="Y22" s="4">
        <f t="shared" si="3"/>
        <v>0</v>
      </c>
      <c r="Z22" s="5">
        <f t="shared" si="11"/>
        <v>45</v>
      </c>
      <c r="AA22" s="3" t="e">
        <f t="shared" si="7"/>
        <v>#N/A</v>
      </c>
    </row>
    <row r="23" spans="2:27" ht="18">
      <c r="B23" s="52">
        <v>20</v>
      </c>
      <c r="C23" s="52">
        <v>92</v>
      </c>
      <c r="D23" s="52">
        <v>1</v>
      </c>
      <c r="E23" s="52">
        <v>16</v>
      </c>
      <c r="F23" s="52">
        <v>6</v>
      </c>
      <c r="G23" s="52">
        <v>12</v>
      </c>
      <c r="H23" s="52">
        <v>3</v>
      </c>
      <c r="M23" s="21">
        <v>1</v>
      </c>
      <c r="N23" s="6">
        <v>8.3333333333333329E-2</v>
      </c>
      <c r="O23" s="2">
        <v>14</v>
      </c>
      <c r="P23" s="4">
        <f t="shared" si="0"/>
        <v>0</v>
      </c>
      <c r="Q23" s="5">
        <f t="shared" si="8"/>
        <v>542</v>
      </c>
      <c r="R23" s="10" t="e">
        <f t="shared" si="4"/>
        <v>#N/A</v>
      </c>
      <c r="S23" s="4">
        <f t="shared" si="1"/>
        <v>0</v>
      </c>
      <c r="T23" s="5">
        <f t="shared" si="9"/>
        <v>418</v>
      </c>
      <c r="U23" s="10" t="e">
        <f t="shared" si="5"/>
        <v>#N/A</v>
      </c>
      <c r="V23" s="4">
        <f t="shared" si="2"/>
        <v>0</v>
      </c>
      <c r="W23" s="5">
        <f t="shared" si="10"/>
        <v>316</v>
      </c>
      <c r="X23" s="10" t="e">
        <f t="shared" si="6"/>
        <v>#N/A</v>
      </c>
      <c r="Y23" s="4">
        <f t="shared" si="3"/>
        <v>0</v>
      </c>
      <c r="Z23" s="5">
        <f t="shared" si="11"/>
        <v>45</v>
      </c>
      <c r="AA23" s="3" t="e">
        <f t="shared" si="7"/>
        <v>#N/A</v>
      </c>
    </row>
    <row r="24" spans="2:27" ht="18">
      <c r="B24" s="52">
        <v>20</v>
      </c>
      <c r="C24" s="52">
        <v>87</v>
      </c>
      <c r="D24" s="52">
        <v>2</v>
      </c>
      <c r="E24" s="52">
        <v>7</v>
      </c>
      <c r="F24" s="52">
        <v>6</v>
      </c>
      <c r="G24" s="52">
        <v>2</v>
      </c>
      <c r="H24" s="52">
        <v>1</v>
      </c>
      <c r="M24" s="21">
        <v>1</v>
      </c>
      <c r="N24" s="6">
        <v>0.104166666666667</v>
      </c>
      <c r="O24" s="2">
        <v>15</v>
      </c>
      <c r="P24" s="4">
        <f t="shared" si="0"/>
        <v>0</v>
      </c>
      <c r="Q24" s="5">
        <f t="shared" si="8"/>
        <v>542</v>
      </c>
      <c r="R24" s="10" t="e">
        <f t="shared" si="4"/>
        <v>#N/A</v>
      </c>
      <c r="S24" s="4">
        <f t="shared" si="1"/>
        <v>0</v>
      </c>
      <c r="T24" s="5">
        <f t="shared" si="9"/>
        <v>418</v>
      </c>
      <c r="U24" s="10" t="e">
        <f t="shared" si="5"/>
        <v>#N/A</v>
      </c>
      <c r="V24" s="4">
        <f t="shared" si="2"/>
        <v>0</v>
      </c>
      <c r="W24" s="5">
        <f t="shared" si="10"/>
        <v>316</v>
      </c>
      <c r="X24" s="10" t="e">
        <f t="shared" si="6"/>
        <v>#N/A</v>
      </c>
      <c r="Y24" s="4">
        <f t="shared" si="3"/>
        <v>0</v>
      </c>
      <c r="Z24" s="5">
        <f t="shared" si="11"/>
        <v>45</v>
      </c>
      <c r="AA24" s="3" t="e">
        <f t="shared" si="7"/>
        <v>#N/A</v>
      </c>
    </row>
    <row r="25" spans="2:27" ht="18">
      <c r="B25" s="52">
        <v>20</v>
      </c>
      <c r="C25" s="52">
        <v>86</v>
      </c>
      <c r="D25" s="52">
        <v>2</v>
      </c>
      <c r="E25" s="52">
        <v>6</v>
      </c>
      <c r="F25" s="52">
        <v>9</v>
      </c>
      <c r="G25" s="52">
        <v>1</v>
      </c>
      <c r="H25" s="52">
        <v>0</v>
      </c>
      <c r="M25" s="21">
        <v>1</v>
      </c>
      <c r="N25" s="6">
        <v>0.125</v>
      </c>
      <c r="O25" s="2">
        <v>16</v>
      </c>
      <c r="P25" s="4">
        <f t="shared" si="0"/>
        <v>0</v>
      </c>
      <c r="Q25" s="5">
        <f t="shared" si="8"/>
        <v>542</v>
      </c>
      <c r="R25" s="10" t="e">
        <f t="shared" si="4"/>
        <v>#N/A</v>
      </c>
      <c r="S25" s="4">
        <f t="shared" si="1"/>
        <v>0</v>
      </c>
      <c r="T25" s="5">
        <f t="shared" si="9"/>
        <v>418</v>
      </c>
      <c r="U25" s="10" t="e">
        <f t="shared" si="5"/>
        <v>#N/A</v>
      </c>
      <c r="V25" s="4">
        <f t="shared" si="2"/>
        <v>0</v>
      </c>
      <c r="W25" s="5">
        <f t="shared" si="10"/>
        <v>316</v>
      </c>
      <c r="X25" s="10" t="e">
        <f t="shared" si="6"/>
        <v>#N/A</v>
      </c>
      <c r="Y25" s="4">
        <f t="shared" si="3"/>
        <v>0</v>
      </c>
      <c r="Z25" s="5">
        <f t="shared" si="11"/>
        <v>45</v>
      </c>
      <c r="AA25" s="3" t="e">
        <f t="shared" si="7"/>
        <v>#N/A</v>
      </c>
    </row>
    <row r="26" spans="2:27" ht="18">
      <c r="B26" s="52">
        <v>20</v>
      </c>
      <c r="C26" s="52">
        <v>96</v>
      </c>
      <c r="D26" s="52">
        <v>4</v>
      </c>
      <c r="E26" s="52">
        <v>0</v>
      </c>
      <c r="F26" s="52">
        <v>2</v>
      </c>
      <c r="G26" s="52">
        <v>1</v>
      </c>
      <c r="H26" s="52">
        <v>0</v>
      </c>
      <c r="M26" s="21">
        <v>1</v>
      </c>
      <c r="N26" s="6">
        <v>0.14583333333333301</v>
      </c>
      <c r="O26" s="2">
        <v>17</v>
      </c>
      <c r="P26" s="4">
        <f t="shared" si="0"/>
        <v>0</v>
      </c>
      <c r="Q26" s="5">
        <f t="shared" si="8"/>
        <v>542</v>
      </c>
      <c r="R26" s="10" t="e">
        <f t="shared" si="4"/>
        <v>#N/A</v>
      </c>
      <c r="S26" s="4">
        <f t="shared" si="1"/>
        <v>0</v>
      </c>
      <c r="T26" s="5">
        <f t="shared" si="9"/>
        <v>418</v>
      </c>
      <c r="U26" s="10" t="e">
        <f t="shared" si="5"/>
        <v>#N/A</v>
      </c>
      <c r="V26" s="4">
        <f t="shared" si="2"/>
        <v>0</v>
      </c>
      <c r="W26" s="5">
        <f t="shared" si="10"/>
        <v>316</v>
      </c>
      <c r="X26" s="10" t="e">
        <f t="shared" si="6"/>
        <v>#N/A</v>
      </c>
      <c r="Y26" s="4">
        <f t="shared" si="3"/>
        <v>0</v>
      </c>
      <c r="Z26" s="5">
        <f t="shared" si="11"/>
        <v>45</v>
      </c>
      <c r="AA26" s="3" t="e">
        <f t="shared" si="7"/>
        <v>#N/A</v>
      </c>
    </row>
    <row r="27" spans="2:27" ht="18">
      <c r="B27" s="52">
        <v>20</v>
      </c>
      <c r="C27" s="52">
        <v>96</v>
      </c>
      <c r="D27" s="52">
        <v>5</v>
      </c>
      <c r="E27" s="52">
        <v>0</v>
      </c>
      <c r="F27" s="52">
        <v>0</v>
      </c>
      <c r="G27" s="52">
        <v>2</v>
      </c>
      <c r="H27" s="52">
        <v>1</v>
      </c>
      <c r="M27" s="21">
        <v>1</v>
      </c>
      <c r="N27" s="6">
        <v>0.16666666666666599</v>
      </c>
      <c r="O27" s="2">
        <v>18</v>
      </c>
      <c r="P27" s="4">
        <f t="shared" si="0"/>
        <v>0</v>
      </c>
      <c r="Q27" s="5">
        <f t="shared" si="8"/>
        <v>542</v>
      </c>
      <c r="R27" s="10" t="e">
        <f t="shared" si="4"/>
        <v>#N/A</v>
      </c>
      <c r="S27" s="4">
        <f t="shared" si="1"/>
        <v>0</v>
      </c>
      <c r="T27" s="5">
        <f t="shared" si="9"/>
        <v>418</v>
      </c>
      <c r="U27" s="10" t="e">
        <f t="shared" si="5"/>
        <v>#N/A</v>
      </c>
      <c r="V27" s="4">
        <f t="shared" si="2"/>
        <v>0</v>
      </c>
      <c r="W27" s="5">
        <f t="shared" si="10"/>
        <v>316</v>
      </c>
      <c r="X27" s="10" t="e">
        <f t="shared" si="6"/>
        <v>#N/A</v>
      </c>
      <c r="Y27" s="4">
        <f t="shared" si="3"/>
        <v>0</v>
      </c>
      <c r="Z27" s="5">
        <f t="shared" si="11"/>
        <v>45</v>
      </c>
      <c r="AA27" s="3" t="e">
        <f t="shared" si="7"/>
        <v>#N/A</v>
      </c>
    </row>
    <row r="28" spans="2:27" ht="18">
      <c r="B28" s="52">
        <v>20</v>
      </c>
      <c r="C28" s="52">
        <v>97</v>
      </c>
      <c r="D28" s="52">
        <v>8</v>
      </c>
      <c r="E28" s="52">
        <v>1</v>
      </c>
      <c r="F28" s="52">
        <v>15</v>
      </c>
      <c r="G28" s="52">
        <v>8</v>
      </c>
      <c r="H28" s="52">
        <v>0</v>
      </c>
      <c r="M28" s="21">
        <v>1</v>
      </c>
      <c r="N28" s="6">
        <v>0.187499999999999</v>
      </c>
      <c r="O28" s="2">
        <v>19</v>
      </c>
      <c r="P28" s="4">
        <f t="shared" si="0"/>
        <v>0</v>
      </c>
      <c r="Q28" s="5">
        <f t="shared" si="8"/>
        <v>542</v>
      </c>
      <c r="R28" s="10" t="e">
        <f t="shared" si="4"/>
        <v>#N/A</v>
      </c>
      <c r="S28" s="4">
        <f t="shared" si="1"/>
        <v>0</v>
      </c>
      <c r="T28" s="5">
        <f t="shared" si="9"/>
        <v>418</v>
      </c>
      <c r="U28" s="10" t="e">
        <f t="shared" si="5"/>
        <v>#N/A</v>
      </c>
      <c r="V28" s="4">
        <f t="shared" si="2"/>
        <v>0</v>
      </c>
      <c r="W28" s="5">
        <f t="shared" si="10"/>
        <v>316</v>
      </c>
      <c r="X28" s="10" t="e">
        <f t="shared" si="6"/>
        <v>#N/A</v>
      </c>
      <c r="Y28" s="4">
        <f t="shared" si="3"/>
        <v>0</v>
      </c>
      <c r="Z28" s="5">
        <f t="shared" si="11"/>
        <v>45</v>
      </c>
      <c r="AA28" s="3" t="e">
        <f t="shared" si="7"/>
        <v>#N/A</v>
      </c>
    </row>
    <row r="29" spans="2:27" ht="18.75" thickBot="1">
      <c r="B29" s="52">
        <v>20</v>
      </c>
      <c r="C29" s="52">
        <v>97</v>
      </c>
      <c r="D29" s="52">
        <v>7</v>
      </c>
      <c r="E29" s="52">
        <v>20</v>
      </c>
      <c r="F29" s="52">
        <v>20</v>
      </c>
      <c r="G29" s="52">
        <v>10</v>
      </c>
      <c r="H29" s="52">
        <v>0</v>
      </c>
      <c r="M29" s="21">
        <v>1</v>
      </c>
      <c r="N29" s="6">
        <v>0.20833333333333201</v>
      </c>
      <c r="O29" s="2">
        <v>20</v>
      </c>
      <c r="P29" s="7">
        <f t="shared" si="0"/>
        <v>0</v>
      </c>
      <c r="Q29" s="8">
        <f t="shared" si="8"/>
        <v>542</v>
      </c>
      <c r="R29" s="11" t="e">
        <f t="shared" si="4"/>
        <v>#N/A</v>
      </c>
      <c r="S29" s="7">
        <f t="shared" si="1"/>
        <v>0</v>
      </c>
      <c r="T29" s="8">
        <f t="shared" si="9"/>
        <v>418</v>
      </c>
      <c r="U29" s="11" t="e">
        <f t="shared" si="5"/>
        <v>#N/A</v>
      </c>
      <c r="V29" s="7">
        <f t="shared" si="2"/>
        <v>0</v>
      </c>
      <c r="W29" s="8">
        <f t="shared" si="10"/>
        <v>316</v>
      </c>
      <c r="X29" s="11" t="e">
        <f t="shared" si="6"/>
        <v>#N/A</v>
      </c>
      <c r="Y29" s="7">
        <f t="shared" si="3"/>
        <v>0</v>
      </c>
      <c r="Z29" s="8">
        <f t="shared" si="11"/>
        <v>45</v>
      </c>
      <c r="AA29" s="9" t="e">
        <f t="shared" si="7"/>
        <v>#N/A</v>
      </c>
    </row>
    <row r="30" spans="2:27" ht="18">
      <c r="B30" s="52">
        <v>20</v>
      </c>
      <c r="C30" s="52">
        <v>97</v>
      </c>
      <c r="D30" s="52">
        <v>6</v>
      </c>
      <c r="E30" s="52">
        <v>20</v>
      </c>
      <c r="F30" s="52">
        <v>18</v>
      </c>
      <c r="G30" s="52">
        <v>10</v>
      </c>
      <c r="H30" s="52">
        <v>7</v>
      </c>
      <c r="M30" s="21">
        <v>1</v>
      </c>
    </row>
    <row r="31" spans="2:27" ht="18">
      <c r="B31" s="52">
        <v>20</v>
      </c>
      <c r="C31" s="52">
        <v>97</v>
      </c>
      <c r="D31" s="52">
        <v>5</v>
      </c>
      <c r="E31" s="52">
        <v>21</v>
      </c>
      <c r="F31" s="52">
        <v>20</v>
      </c>
      <c r="G31" s="52">
        <v>15</v>
      </c>
      <c r="H31" s="52">
        <v>4</v>
      </c>
      <c r="M31" s="21">
        <v>1</v>
      </c>
    </row>
    <row r="32" spans="2:27" ht="18">
      <c r="B32" s="52">
        <v>20</v>
      </c>
      <c r="C32" s="52">
        <v>92</v>
      </c>
      <c r="D32" s="52">
        <v>2</v>
      </c>
      <c r="E32" s="52">
        <v>18</v>
      </c>
      <c r="F32" s="52">
        <v>13</v>
      </c>
      <c r="G32" s="52">
        <v>13</v>
      </c>
      <c r="H32" s="52">
        <v>7</v>
      </c>
      <c r="M32" s="21">
        <v>1</v>
      </c>
      <c r="O32" s="21">
        <v>84</v>
      </c>
    </row>
    <row r="33" spans="2:15" ht="18">
      <c r="B33" s="52">
        <v>20</v>
      </c>
      <c r="C33" s="52">
        <v>92</v>
      </c>
      <c r="D33" s="52">
        <v>3</v>
      </c>
      <c r="E33" s="52">
        <v>6</v>
      </c>
      <c r="F33" s="52">
        <v>3</v>
      </c>
      <c r="G33" s="52">
        <v>5</v>
      </c>
      <c r="H33" s="52">
        <v>1</v>
      </c>
      <c r="M33" s="21">
        <v>1</v>
      </c>
      <c r="O33" s="21">
        <v>85</v>
      </c>
    </row>
    <row r="34" spans="2:15" ht="18">
      <c r="B34" s="52">
        <v>20</v>
      </c>
      <c r="C34" s="52">
        <v>85</v>
      </c>
      <c r="D34" s="52">
        <v>2</v>
      </c>
      <c r="E34" s="52">
        <v>6</v>
      </c>
      <c r="F34" s="52">
        <v>0</v>
      </c>
      <c r="G34" s="52">
        <v>2</v>
      </c>
      <c r="H34" s="52">
        <v>1</v>
      </c>
      <c r="M34" s="21">
        <v>1</v>
      </c>
      <c r="O34" s="21">
        <v>86</v>
      </c>
    </row>
    <row r="35" spans="2:15" ht="18">
      <c r="B35" s="52">
        <v>20</v>
      </c>
      <c r="C35" s="52">
        <v>97</v>
      </c>
      <c r="D35" s="52">
        <v>10</v>
      </c>
      <c r="E35" s="52">
        <v>10</v>
      </c>
      <c r="F35" s="52">
        <v>3</v>
      </c>
      <c r="G35" s="52">
        <v>15</v>
      </c>
      <c r="H35" s="52">
        <v>0</v>
      </c>
      <c r="M35" s="21">
        <v>1</v>
      </c>
      <c r="O35" s="21">
        <v>87</v>
      </c>
    </row>
    <row r="36" spans="2:15" ht="18">
      <c r="B36" s="52">
        <v>20</v>
      </c>
      <c r="C36" s="52">
        <v>97</v>
      </c>
      <c r="D36" s="52">
        <v>9</v>
      </c>
      <c r="E36" s="52">
        <v>15</v>
      </c>
      <c r="F36" s="52">
        <v>14</v>
      </c>
      <c r="G36" s="52">
        <v>18</v>
      </c>
      <c r="H36" s="52">
        <v>0</v>
      </c>
      <c r="M36" s="21">
        <v>1</v>
      </c>
      <c r="O36" s="21">
        <v>88</v>
      </c>
    </row>
    <row r="37" spans="2:15" ht="18">
      <c r="B37" s="52">
        <v>20</v>
      </c>
      <c r="C37" s="52">
        <v>97</v>
      </c>
      <c r="D37" s="52">
        <v>8</v>
      </c>
      <c r="E37" s="52">
        <v>10</v>
      </c>
      <c r="F37" s="52">
        <v>15</v>
      </c>
      <c r="G37" s="52">
        <v>8</v>
      </c>
      <c r="H37" s="52">
        <v>0</v>
      </c>
      <c r="M37" s="21">
        <v>1</v>
      </c>
      <c r="O37" s="21">
        <v>89</v>
      </c>
    </row>
    <row r="38" spans="2:15" ht="18">
      <c r="B38" s="52">
        <v>20</v>
      </c>
      <c r="C38" s="52">
        <v>97</v>
      </c>
      <c r="D38" s="52">
        <v>7</v>
      </c>
      <c r="E38" s="52">
        <v>20</v>
      </c>
      <c r="F38" s="52">
        <v>20</v>
      </c>
      <c r="G38" s="52">
        <v>10</v>
      </c>
      <c r="H38" s="52">
        <v>0</v>
      </c>
      <c r="M38" s="21">
        <v>1</v>
      </c>
      <c r="O38" s="21">
        <v>90</v>
      </c>
    </row>
    <row r="39" spans="2:15" ht="18">
      <c r="B39" s="52">
        <v>20</v>
      </c>
      <c r="C39" s="52">
        <v>97</v>
      </c>
      <c r="D39" s="52">
        <v>6</v>
      </c>
      <c r="E39" s="52">
        <v>20</v>
      </c>
      <c r="F39" s="52">
        <v>18</v>
      </c>
      <c r="G39" s="52">
        <v>10</v>
      </c>
      <c r="H39" s="52">
        <v>0</v>
      </c>
      <c r="M39" s="21">
        <v>1</v>
      </c>
      <c r="O39" s="21">
        <v>91</v>
      </c>
    </row>
    <row r="40" spans="2:15" ht="18">
      <c r="B40" s="52">
        <v>20</v>
      </c>
      <c r="C40" s="52">
        <v>97</v>
      </c>
      <c r="D40" s="52">
        <v>5</v>
      </c>
      <c r="E40" s="52">
        <v>21</v>
      </c>
      <c r="F40" s="52">
        <v>20</v>
      </c>
      <c r="G40" s="52">
        <v>15</v>
      </c>
      <c r="H40" s="52">
        <v>0</v>
      </c>
      <c r="M40" s="21">
        <v>1</v>
      </c>
      <c r="O40" s="21">
        <v>92</v>
      </c>
    </row>
    <row r="41" spans="2:15" ht="18">
      <c r="B41" s="52">
        <v>20</v>
      </c>
      <c r="C41" s="52">
        <v>96</v>
      </c>
      <c r="D41" s="52">
        <v>8</v>
      </c>
      <c r="E41" s="52">
        <v>0</v>
      </c>
      <c r="F41" s="52">
        <v>1</v>
      </c>
      <c r="G41" s="52">
        <v>2</v>
      </c>
      <c r="H41" s="52">
        <v>0</v>
      </c>
      <c r="M41" s="21">
        <v>1</v>
      </c>
      <c r="O41" s="21">
        <v>93</v>
      </c>
    </row>
    <row r="42" spans="2:15" ht="18">
      <c r="B42" s="52">
        <v>20</v>
      </c>
      <c r="C42" s="52">
        <v>95</v>
      </c>
      <c r="D42" s="52">
        <v>8</v>
      </c>
      <c r="E42" s="52">
        <v>14</v>
      </c>
      <c r="F42" s="52">
        <v>11</v>
      </c>
      <c r="G42" s="52">
        <v>6</v>
      </c>
      <c r="H42" s="52">
        <v>1</v>
      </c>
      <c r="M42" s="21">
        <v>1</v>
      </c>
      <c r="O42" s="21">
        <v>94</v>
      </c>
    </row>
    <row r="43" spans="2:15" ht="18">
      <c r="B43" s="52">
        <v>20</v>
      </c>
      <c r="C43" s="52">
        <v>97</v>
      </c>
      <c r="D43" s="52">
        <v>11</v>
      </c>
      <c r="E43" s="52">
        <v>23</v>
      </c>
      <c r="F43" s="52">
        <v>21</v>
      </c>
      <c r="G43" s="52">
        <v>18</v>
      </c>
      <c r="H43" s="52">
        <v>0</v>
      </c>
      <c r="M43" s="21">
        <v>1</v>
      </c>
      <c r="O43" s="21">
        <v>95</v>
      </c>
    </row>
    <row r="44" spans="2:15" ht="18">
      <c r="B44" s="52">
        <v>20</v>
      </c>
      <c r="C44" s="52">
        <v>97</v>
      </c>
      <c r="D44" s="52">
        <v>12</v>
      </c>
      <c r="E44" s="52">
        <v>24</v>
      </c>
      <c r="F44" s="52">
        <v>18</v>
      </c>
      <c r="G44" s="52">
        <v>18</v>
      </c>
      <c r="H44" s="52">
        <v>0</v>
      </c>
      <c r="M44" s="21">
        <v>1</v>
      </c>
      <c r="O44" s="21">
        <v>96</v>
      </c>
    </row>
    <row r="45" spans="2:15" ht="18">
      <c r="B45" s="52">
        <v>20</v>
      </c>
      <c r="C45" s="52">
        <v>96</v>
      </c>
      <c r="D45" s="52">
        <v>10</v>
      </c>
      <c r="E45" s="52">
        <v>0</v>
      </c>
      <c r="F45" s="52">
        <v>2</v>
      </c>
      <c r="G45" s="52">
        <v>3</v>
      </c>
      <c r="H45" s="52">
        <v>2</v>
      </c>
      <c r="M45" s="21">
        <v>1</v>
      </c>
      <c r="O45" s="21">
        <v>97</v>
      </c>
    </row>
    <row r="46" spans="2:15" ht="18">
      <c r="B46" s="52">
        <v>20</v>
      </c>
      <c r="C46" s="52">
        <v>87</v>
      </c>
      <c r="D46" s="52">
        <v>4</v>
      </c>
      <c r="E46" s="52">
        <v>7</v>
      </c>
      <c r="F46" s="52">
        <v>6</v>
      </c>
      <c r="G46" s="52">
        <v>1</v>
      </c>
      <c r="H46" s="52">
        <v>1</v>
      </c>
      <c r="M46" s="21">
        <v>1</v>
      </c>
      <c r="O46" s="21"/>
    </row>
    <row r="47" spans="2:15" ht="18">
      <c r="B47" s="52">
        <v>20</v>
      </c>
      <c r="C47" s="52">
        <v>87</v>
      </c>
      <c r="D47" s="52">
        <v>5</v>
      </c>
      <c r="E47" s="52">
        <v>7</v>
      </c>
      <c r="F47" s="52">
        <v>10</v>
      </c>
      <c r="G47" s="52">
        <v>0</v>
      </c>
      <c r="H47" s="52">
        <v>1</v>
      </c>
      <c r="M47" s="21">
        <v>1</v>
      </c>
      <c r="O47" s="21"/>
    </row>
    <row r="48" spans="2:15" ht="18">
      <c r="B48" s="52">
        <v>20</v>
      </c>
      <c r="C48" s="52">
        <v>87</v>
      </c>
      <c r="D48" s="52">
        <v>6</v>
      </c>
      <c r="E48" s="52">
        <v>6</v>
      </c>
      <c r="F48" s="52">
        <v>8</v>
      </c>
      <c r="G48" s="52">
        <v>0</v>
      </c>
      <c r="H48" s="52">
        <v>1</v>
      </c>
      <c r="M48" s="21">
        <v>1</v>
      </c>
      <c r="O48" s="21"/>
    </row>
    <row r="49" spans="2:15" ht="18">
      <c r="B49" s="52">
        <v>20</v>
      </c>
      <c r="C49" s="52">
        <v>87</v>
      </c>
      <c r="D49" s="52">
        <v>7</v>
      </c>
      <c r="E49" s="52">
        <v>3</v>
      </c>
      <c r="F49" s="52">
        <v>4</v>
      </c>
      <c r="G49" s="52">
        <v>2</v>
      </c>
      <c r="H49" s="52">
        <v>0</v>
      </c>
      <c r="M49" s="21">
        <v>1</v>
      </c>
      <c r="O49" s="21"/>
    </row>
    <row r="50" spans="2:15" ht="18">
      <c r="B50" s="52">
        <v>20</v>
      </c>
      <c r="C50" s="52">
        <v>92</v>
      </c>
      <c r="D50" s="52">
        <v>5</v>
      </c>
      <c r="E50" s="52">
        <v>0</v>
      </c>
      <c r="F50" s="52">
        <v>0</v>
      </c>
      <c r="G50" s="52">
        <v>7</v>
      </c>
      <c r="H50" s="52">
        <v>0</v>
      </c>
      <c r="M50" s="21">
        <v>1</v>
      </c>
      <c r="O50" s="21"/>
    </row>
    <row r="51" spans="2:15" ht="18">
      <c r="B51" s="52">
        <v>20</v>
      </c>
      <c r="C51" s="52">
        <v>92</v>
      </c>
      <c r="D51" s="52">
        <v>4</v>
      </c>
      <c r="E51" s="52">
        <v>3</v>
      </c>
      <c r="F51" s="52">
        <v>2</v>
      </c>
      <c r="G51" s="52">
        <v>2</v>
      </c>
      <c r="H51" s="52">
        <v>0</v>
      </c>
      <c r="M51" s="21">
        <v>1</v>
      </c>
      <c r="O51" s="21"/>
    </row>
    <row r="52" spans="2:15" ht="18">
      <c r="B52" s="52">
        <v>20</v>
      </c>
      <c r="C52" s="52">
        <v>85</v>
      </c>
      <c r="D52" s="52">
        <v>3</v>
      </c>
      <c r="E52" s="52">
        <v>7</v>
      </c>
      <c r="F52" s="52">
        <v>3</v>
      </c>
      <c r="G52" s="52">
        <v>7</v>
      </c>
      <c r="H52" s="52">
        <v>0</v>
      </c>
      <c r="M52" s="21">
        <v>1</v>
      </c>
      <c r="O52" s="21"/>
    </row>
    <row r="53" spans="2:15" ht="18">
      <c r="B53" s="52">
        <v>20</v>
      </c>
      <c r="C53" s="52">
        <v>86</v>
      </c>
      <c r="D53" s="52">
        <v>3</v>
      </c>
      <c r="E53" s="52">
        <v>10</v>
      </c>
      <c r="F53" s="52">
        <v>4</v>
      </c>
      <c r="G53" s="52">
        <v>1</v>
      </c>
      <c r="H53" s="52">
        <v>1</v>
      </c>
      <c r="M53" s="21">
        <v>1</v>
      </c>
      <c r="O53" s="21"/>
    </row>
    <row r="54" spans="2:15" ht="18">
      <c r="B54" s="52">
        <v>20</v>
      </c>
      <c r="C54" s="52">
        <v>86</v>
      </c>
      <c r="D54" s="52">
        <v>4</v>
      </c>
      <c r="E54" s="52">
        <v>11</v>
      </c>
      <c r="F54" s="52">
        <v>6</v>
      </c>
      <c r="G54" s="52">
        <v>2</v>
      </c>
      <c r="H54" s="52">
        <v>0</v>
      </c>
      <c r="M54" s="21">
        <v>1</v>
      </c>
      <c r="O54" s="21"/>
    </row>
    <row r="55" spans="2:15" ht="18">
      <c r="B55" s="52">
        <v>20</v>
      </c>
      <c r="C55" s="52">
        <v>86</v>
      </c>
      <c r="D55" s="52">
        <v>5</v>
      </c>
      <c r="E55" s="52">
        <v>6</v>
      </c>
      <c r="F55" s="52">
        <v>4</v>
      </c>
      <c r="G55" s="52">
        <v>4</v>
      </c>
      <c r="H55" s="52">
        <v>2</v>
      </c>
      <c r="M55" s="21">
        <v>1</v>
      </c>
      <c r="O55" s="21"/>
    </row>
    <row r="56" spans="2:15" ht="18">
      <c r="B56" s="52">
        <v>20</v>
      </c>
      <c r="C56" s="52">
        <v>96</v>
      </c>
      <c r="D56" s="52">
        <v>11</v>
      </c>
      <c r="E56" s="52">
        <v>0</v>
      </c>
      <c r="F56" s="52">
        <v>2</v>
      </c>
      <c r="G56" s="52">
        <v>0</v>
      </c>
      <c r="H56" s="52">
        <v>0</v>
      </c>
      <c r="M56" s="21">
        <v>1</v>
      </c>
      <c r="O56" s="21"/>
    </row>
    <row r="57" spans="2:15" ht="18">
      <c r="B57" s="52"/>
      <c r="C57" s="52"/>
      <c r="D57" s="52"/>
      <c r="E57" s="52"/>
      <c r="F57" s="52"/>
      <c r="G57" s="52"/>
      <c r="H57" s="52"/>
      <c r="M57" s="21">
        <v>1</v>
      </c>
      <c r="O57" s="21"/>
    </row>
    <row r="58" spans="2:15" ht="18">
      <c r="B58" s="52"/>
      <c r="C58" s="52"/>
      <c r="D58" s="52"/>
      <c r="E58" s="52"/>
      <c r="F58" s="52"/>
      <c r="G58" s="52"/>
      <c r="H58" s="52"/>
      <c r="M58" s="21">
        <v>1</v>
      </c>
      <c r="O58" s="21"/>
    </row>
    <row r="59" spans="2:15" ht="18">
      <c r="B59" s="52"/>
      <c r="C59" s="52"/>
      <c r="D59" s="52"/>
      <c r="E59" s="52"/>
      <c r="F59" s="52"/>
      <c r="G59" s="52"/>
      <c r="H59" s="52"/>
      <c r="M59" s="21">
        <v>1</v>
      </c>
      <c r="O59" s="21"/>
    </row>
    <row r="60" spans="2:15" ht="18">
      <c r="B60" s="52"/>
      <c r="C60" s="52"/>
      <c r="D60" s="52"/>
      <c r="E60" s="52"/>
      <c r="F60" s="52"/>
      <c r="G60" s="52"/>
      <c r="H60" s="52"/>
      <c r="M60" s="21">
        <v>1</v>
      </c>
      <c r="O60" s="21"/>
    </row>
    <row r="61" spans="2:15" ht="18">
      <c r="B61" s="52"/>
      <c r="C61" s="52"/>
      <c r="D61" s="52"/>
      <c r="E61" s="52"/>
      <c r="F61" s="52"/>
      <c r="G61" s="52"/>
      <c r="H61" s="52"/>
      <c r="M61" s="21">
        <v>1</v>
      </c>
      <c r="O61" s="21"/>
    </row>
    <row r="62" spans="2:15" ht="18">
      <c r="B62" s="52"/>
      <c r="C62" s="52"/>
      <c r="D62" s="52"/>
      <c r="E62" s="52"/>
      <c r="F62" s="52"/>
      <c r="G62" s="52"/>
      <c r="H62" s="52"/>
      <c r="M62" s="21">
        <v>1</v>
      </c>
      <c r="O62" s="21"/>
    </row>
    <row r="63" spans="2:15" ht="18">
      <c r="B63" s="52"/>
      <c r="C63" s="52"/>
      <c r="D63" s="52"/>
      <c r="E63" s="52"/>
      <c r="F63" s="52"/>
      <c r="G63" s="52"/>
      <c r="H63" s="52"/>
      <c r="M63" s="21">
        <v>1</v>
      </c>
      <c r="O63" s="21"/>
    </row>
    <row r="64" spans="2:15" ht="18">
      <c r="B64" s="52"/>
      <c r="C64" s="52"/>
      <c r="D64" s="52"/>
      <c r="E64" s="52"/>
      <c r="F64" s="52"/>
      <c r="G64" s="52"/>
      <c r="H64" s="52"/>
      <c r="M64" s="21">
        <v>1</v>
      </c>
      <c r="O64" s="21"/>
    </row>
    <row r="65" spans="2:15" ht="18">
      <c r="B65" s="52"/>
      <c r="C65" s="52"/>
      <c r="D65" s="52"/>
      <c r="E65" s="52"/>
      <c r="F65" s="52"/>
      <c r="G65" s="52"/>
      <c r="H65" s="52"/>
      <c r="M65" s="21">
        <v>1</v>
      </c>
      <c r="O65" s="21"/>
    </row>
    <row r="66" spans="2:15" ht="18">
      <c r="B66" s="52"/>
      <c r="C66" s="52"/>
      <c r="D66" s="52"/>
      <c r="E66" s="52"/>
      <c r="F66" s="52"/>
      <c r="G66" s="52"/>
      <c r="H66" s="52"/>
      <c r="M66" s="21">
        <v>1</v>
      </c>
      <c r="O66" s="21"/>
    </row>
    <row r="67" spans="2:15" ht="18">
      <c r="B67" s="52"/>
      <c r="C67" s="52"/>
      <c r="D67" s="52"/>
      <c r="E67" s="52"/>
      <c r="F67" s="52"/>
      <c r="G67" s="52"/>
      <c r="H67" s="52"/>
      <c r="M67" s="21">
        <v>1</v>
      </c>
      <c r="O67" s="21"/>
    </row>
    <row r="68" spans="2:15" ht="18">
      <c r="B68" s="52"/>
      <c r="C68" s="52"/>
      <c r="D68" s="52"/>
      <c r="E68" s="52"/>
      <c r="F68" s="52"/>
      <c r="G68" s="52"/>
      <c r="H68" s="52"/>
      <c r="M68" s="21">
        <v>1</v>
      </c>
      <c r="O68" s="21"/>
    </row>
    <row r="69" spans="2:15" ht="18">
      <c r="B69" s="52"/>
      <c r="C69" s="52"/>
      <c r="D69" s="52"/>
      <c r="E69" s="52"/>
      <c r="F69" s="52"/>
      <c r="G69" s="52"/>
      <c r="H69" s="52"/>
      <c r="M69" s="21">
        <v>1</v>
      </c>
      <c r="O69" s="21"/>
    </row>
    <row r="70" spans="2:15" ht="18">
      <c r="B70" s="52"/>
      <c r="C70" s="52"/>
      <c r="D70" s="52"/>
      <c r="E70" s="52"/>
      <c r="F70" s="52"/>
      <c r="G70" s="52"/>
      <c r="H70" s="52"/>
      <c r="M70" s="21">
        <v>1</v>
      </c>
      <c r="O70" s="21"/>
    </row>
    <row r="71" spans="2:15" ht="18">
      <c r="B71" s="52"/>
      <c r="C71" s="52"/>
      <c r="D71" s="52"/>
      <c r="E71" s="52"/>
      <c r="F71" s="52"/>
      <c r="G71" s="52"/>
      <c r="H71" s="52"/>
      <c r="M71" s="21">
        <v>1</v>
      </c>
      <c r="O71" s="21"/>
    </row>
    <row r="72" spans="2:15" ht="18">
      <c r="B72" s="52"/>
      <c r="C72" s="52"/>
      <c r="D72" s="52"/>
      <c r="E72" s="52"/>
      <c r="F72" s="52"/>
      <c r="G72" s="52"/>
      <c r="H72" s="52"/>
      <c r="M72" s="21">
        <v>1</v>
      </c>
      <c r="O72" s="21"/>
    </row>
    <row r="73" spans="2:15" ht="18">
      <c r="B73" s="52"/>
      <c r="C73" s="52"/>
      <c r="D73" s="52"/>
      <c r="E73" s="52"/>
      <c r="F73" s="52"/>
      <c r="G73" s="52"/>
      <c r="H73" s="52"/>
      <c r="M73" s="21">
        <v>1</v>
      </c>
      <c r="O73" s="21"/>
    </row>
    <row r="74" spans="2:15" ht="18">
      <c r="B74" s="52"/>
      <c r="C74" s="52"/>
      <c r="D74" s="52"/>
      <c r="E74" s="52"/>
      <c r="F74" s="52"/>
      <c r="G74" s="52"/>
      <c r="H74" s="52"/>
      <c r="M74" s="21">
        <v>1</v>
      </c>
      <c r="O74" s="21"/>
    </row>
    <row r="75" spans="2:15" ht="18">
      <c r="B75" s="52"/>
      <c r="C75" s="52"/>
      <c r="D75" s="52"/>
      <c r="E75" s="52"/>
      <c r="F75" s="52"/>
      <c r="G75" s="52"/>
      <c r="H75" s="52"/>
      <c r="M75" s="21">
        <v>1</v>
      </c>
      <c r="O75" s="21"/>
    </row>
    <row r="76" spans="2:15" ht="18">
      <c r="B76" s="52"/>
      <c r="C76" s="52"/>
      <c r="D76" s="52"/>
      <c r="E76" s="52"/>
      <c r="F76" s="52"/>
      <c r="G76" s="52"/>
      <c r="H76" s="52"/>
      <c r="M76" s="21">
        <v>1</v>
      </c>
      <c r="O76" s="21"/>
    </row>
    <row r="77" spans="2:15" ht="18">
      <c r="B77" s="52"/>
      <c r="C77" s="52"/>
      <c r="D77" s="52"/>
      <c r="E77" s="52"/>
      <c r="F77" s="52"/>
      <c r="G77" s="52"/>
      <c r="H77" s="52"/>
      <c r="M77" s="21">
        <v>1</v>
      </c>
      <c r="O77" s="21"/>
    </row>
    <row r="78" spans="2:15" ht="18">
      <c r="B78" s="52"/>
      <c r="C78" s="52"/>
      <c r="D78" s="52"/>
      <c r="E78" s="52"/>
      <c r="F78" s="52"/>
      <c r="G78" s="52"/>
      <c r="H78" s="52"/>
      <c r="M78" s="21">
        <v>1</v>
      </c>
      <c r="O78" s="21"/>
    </row>
    <row r="79" spans="2:15" ht="18">
      <c r="B79" s="52"/>
      <c r="C79" s="52"/>
      <c r="D79" s="52"/>
      <c r="E79" s="52"/>
      <c r="F79" s="52"/>
      <c r="G79" s="52"/>
      <c r="H79" s="52"/>
      <c r="M79" s="21">
        <v>1</v>
      </c>
      <c r="O79" s="21"/>
    </row>
    <row r="80" spans="2:15" ht="18">
      <c r="B80" s="52"/>
      <c r="C80" s="52"/>
      <c r="D80" s="52"/>
      <c r="E80" s="52"/>
      <c r="F80" s="52"/>
      <c r="G80" s="52"/>
      <c r="H80" s="52"/>
      <c r="M80" s="21">
        <v>1</v>
      </c>
      <c r="O80" s="21"/>
    </row>
    <row r="81" spans="2:15" ht="18">
      <c r="B81" s="52"/>
      <c r="C81" s="52"/>
      <c r="D81" s="52"/>
      <c r="E81" s="52"/>
      <c r="F81" s="52"/>
      <c r="G81" s="52"/>
      <c r="H81" s="52"/>
      <c r="M81" s="21">
        <v>1</v>
      </c>
      <c r="O81" s="21"/>
    </row>
    <row r="82" spans="2:15" ht="18">
      <c r="B82" s="52"/>
      <c r="C82" s="52"/>
      <c r="D82" s="52"/>
      <c r="E82" s="52"/>
      <c r="F82" s="52"/>
      <c r="G82" s="52"/>
      <c r="H82" s="52"/>
      <c r="M82" s="21">
        <v>1</v>
      </c>
      <c r="O82" s="21"/>
    </row>
    <row r="83" spans="2:15" ht="18">
      <c r="B83" s="52"/>
      <c r="C83" s="52"/>
      <c r="D83" s="52"/>
      <c r="E83" s="52"/>
      <c r="F83" s="52"/>
      <c r="G83" s="52"/>
      <c r="H83" s="52"/>
      <c r="M83" s="21">
        <v>1</v>
      </c>
      <c r="O83" s="21"/>
    </row>
    <row r="84" spans="2:15" ht="18">
      <c r="B84" s="52"/>
      <c r="C84" s="52"/>
      <c r="D84" s="52"/>
      <c r="E84" s="52"/>
      <c r="F84" s="52"/>
      <c r="G84" s="52"/>
      <c r="H84" s="52"/>
      <c r="M84" s="21">
        <v>1</v>
      </c>
      <c r="O84" s="21"/>
    </row>
    <row r="85" spans="2:15" ht="18">
      <c r="B85" s="52"/>
      <c r="C85" s="52"/>
      <c r="D85" s="52"/>
      <c r="E85" s="52"/>
      <c r="F85" s="52"/>
      <c r="G85" s="52"/>
      <c r="H85" s="52"/>
      <c r="M85" s="21">
        <v>1</v>
      </c>
      <c r="O85" s="21"/>
    </row>
    <row r="86" spans="2:15" ht="18">
      <c r="B86" s="52"/>
      <c r="C86" s="52"/>
      <c r="D86" s="52"/>
      <c r="E86" s="52"/>
      <c r="F86" s="52"/>
      <c r="G86" s="52"/>
      <c r="H86" s="52"/>
      <c r="M86" s="21">
        <v>1</v>
      </c>
      <c r="O86" s="21"/>
    </row>
    <row r="87" spans="2:15" ht="18">
      <c r="B87" s="52"/>
      <c r="C87" s="52"/>
      <c r="D87" s="52"/>
      <c r="E87" s="52"/>
      <c r="F87" s="52"/>
      <c r="G87" s="52"/>
      <c r="H87" s="52"/>
      <c r="M87" s="21">
        <v>1</v>
      </c>
      <c r="O87" s="21"/>
    </row>
    <row r="88" spans="2:15" ht="18">
      <c r="B88" s="52"/>
      <c r="C88" s="52"/>
      <c r="D88" s="52"/>
      <c r="E88" s="52"/>
      <c r="F88" s="52"/>
      <c r="G88" s="52"/>
      <c r="H88" s="52"/>
      <c r="M88" s="21">
        <v>1</v>
      </c>
      <c r="O88" s="21"/>
    </row>
    <row r="89" spans="2:15" ht="18">
      <c r="B89" s="52"/>
      <c r="C89" s="52"/>
      <c r="D89" s="52"/>
      <c r="E89" s="52"/>
      <c r="F89" s="52"/>
      <c r="G89" s="52"/>
      <c r="H89" s="52"/>
      <c r="M89" s="21">
        <v>1</v>
      </c>
      <c r="O89" s="21"/>
    </row>
    <row r="90" spans="2:15" ht="18">
      <c r="B90" s="52"/>
      <c r="C90" s="52"/>
      <c r="D90" s="52"/>
      <c r="E90" s="52"/>
      <c r="F90" s="52"/>
      <c r="G90" s="52"/>
      <c r="H90" s="52"/>
      <c r="M90" s="21">
        <v>1</v>
      </c>
      <c r="O90" s="21"/>
    </row>
    <row r="91" spans="2:15" ht="18">
      <c r="B91" s="52"/>
      <c r="C91" s="52"/>
      <c r="D91" s="52"/>
      <c r="E91" s="52"/>
      <c r="F91" s="52"/>
      <c r="G91" s="52"/>
      <c r="H91" s="52"/>
      <c r="M91" s="21">
        <v>1</v>
      </c>
    </row>
    <row r="92" spans="2:15" ht="18">
      <c r="B92" s="52"/>
      <c r="C92" s="52"/>
      <c r="D92" s="52"/>
      <c r="E92" s="52"/>
      <c r="F92" s="52"/>
      <c r="G92" s="52"/>
      <c r="H92" s="52"/>
      <c r="M92" s="21">
        <v>1</v>
      </c>
    </row>
    <row r="93" spans="2:15" ht="18">
      <c r="B93" s="52"/>
      <c r="C93" s="52"/>
      <c r="D93" s="52"/>
      <c r="E93" s="52"/>
      <c r="F93" s="52"/>
      <c r="G93" s="52"/>
      <c r="H93" s="52"/>
      <c r="M93" s="21">
        <v>1</v>
      </c>
    </row>
    <row r="94" spans="2:15" ht="18">
      <c r="B94" s="52"/>
      <c r="C94" s="52"/>
      <c r="D94" s="52"/>
      <c r="E94" s="52"/>
      <c r="F94" s="52"/>
      <c r="G94" s="52"/>
      <c r="H94" s="52"/>
      <c r="M94" s="21">
        <v>1</v>
      </c>
    </row>
    <row r="95" spans="2:15" ht="18">
      <c r="B95" s="52"/>
      <c r="C95" s="52"/>
      <c r="D95" s="52"/>
      <c r="E95" s="52"/>
      <c r="F95" s="52"/>
      <c r="G95" s="52"/>
      <c r="H95" s="52"/>
      <c r="M95" s="21">
        <v>1</v>
      </c>
    </row>
    <row r="96" spans="2:15" ht="18">
      <c r="B96" s="52"/>
      <c r="C96" s="52"/>
      <c r="D96" s="52"/>
      <c r="E96" s="52"/>
      <c r="F96" s="52"/>
      <c r="G96" s="52"/>
      <c r="H96" s="52"/>
      <c r="M96" s="21">
        <v>1</v>
      </c>
    </row>
    <row r="97" spans="2:13" ht="18">
      <c r="B97" s="52"/>
      <c r="C97" s="52"/>
      <c r="D97" s="52"/>
      <c r="E97" s="52"/>
      <c r="F97" s="52"/>
      <c r="G97" s="52"/>
      <c r="H97" s="52"/>
      <c r="M97" s="21">
        <v>1</v>
      </c>
    </row>
    <row r="98" spans="2:13" ht="18">
      <c r="B98" s="52"/>
      <c r="C98" s="52"/>
      <c r="D98" s="52"/>
      <c r="E98" s="52"/>
      <c r="F98" s="52"/>
      <c r="G98" s="52"/>
      <c r="H98" s="52"/>
      <c r="M98" s="21">
        <v>1</v>
      </c>
    </row>
    <row r="99" spans="2:13" ht="18">
      <c r="B99" s="52"/>
      <c r="C99" s="52"/>
      <c r="D99" s="52"/>
      <c r="E99" s="52"/>
      <c r="F99" s="52"/>
      <c r="G99" s="52"/>
      <c r="H99" s="52"/>
      <c r="M99" s="21">
        <v>1</v>
      </c>
    </row>
    <row r="100" spans="2:13" ht="18">
      <c r="B100" s="52"/>
      <c r="C100" s="52"/>
      <c r="D100" s="52"/>
      <c r="E100" s="52"/>
      <c r="F100" s="52"/>
      <c r="G100" s="52"/>
      <c r="H100" s="52"/>
      <c r="M100" s="21">
        <v>1</v>
      </c>
    </row>
    <row r="101" spans="2:13" ht="18">
      <c r="B101" s="52"/>
      <c r="C101" s="52"/>
      <c r="D101" s="52"/>
      <c r="E101" s="52"/>
      <c r="F101" s="52"/>
      <c r="G101" s="52"/>
      <c r="H101" s="52"/>
      <c r="M101" s="21">
        <v>1</v>
      </c>
    </row>
    <row r="102" spans="2:13" ht="18">
      <c r="B102" s="52"/>
      <c r="C102" s="52"/>
      <c r="D102" s="52"/>
      <c r="E102" s="52"/>
      <c r="F102" s="52"/>
      <c r="G102" s="52"/>
      <c r="H102" s="52"/>
      <c r="M102" s="21">
        <v>1</v>
      </c>
    </row>
    <row r="103" spans="2:13" ht="18">
      <c r="B103" s="52"/>
      <c r="C103" s="52"/>
      <c r="D103" s="52"/>
      <c r="E103" s="52"/>
      <c r="F103" s="52"/>
      <c r="G103" s="52"/>
      <c r="H103" s="52"/>
      <c r="M103" s="21">
        <v>1</v>
      </c>
    </row>
    <row r="104" spans="2:13" ht="18">
      <c r="B104" s="52"/>
      <c r="C104" s="52"/>
      <c r="D104" s="52"/>
      <c r="E104" s="52"/>
      <c r="F104" s="52"/>
      <c r="G104" s="52"/>
      <c r="H104" s="52"/>
      <c r="M104" s="21">
        <v>1</v>
      </c>
    </row>
    <row r="105" spans="2:13" ht="18">
      <c r="B105" s="52"/>
      <c r="C105" s="52"/>
      <c r="D105" s="52"/>
      <c r="E105" s="52"/>
      <c r="F105" s="52"/>
      <c r="G105" s="52"/>
      <c r="H105" s="52"/>
      <c r="M105" s="21">
        <v>1</v>
      </c>
    </row>
    <row r="106" spans="2:13" ht="18">
      <c r="B106" s="52"/>
      <c r="C106" s="52"/>
      <c r="D106" s="52"/>
      <c r="E106" s="52"/>
      <c r="F106" s="52"/>
      <c r="G106" s="52"/>
      <c r="H106" s="52"/>
      <c r="M106" s="21">
        <v>1</v>
      </c>
    </row>
    <row r="107" spans="2:13" ht="18">
      <c r="B107" s="52"/>
      <c r="C107" s="52"/>
      <c r="D107" s="52"/>
      <c r="E107" s="52"/>
      <c r="F107" s="52"/>
      <c r="G107" s="52"/>
      <c r="H107" s="52"/>
      <c r="M107" s="21">
        <v>1</v>
      </c>
    </row>
    <row r="108" spans="2:13" ht="18">
      <c r="B108" s="52"/>
      <c r="C108" s="52"/>
      <c r="D108" s="52"/>
      <c r="E108" s="52"/>
      <c r="F108" s="52"/>
      <c r="G108" s="52"/>
      <c r="H108" s="52"/>
      <c r="M108" s="21">
        <v>1</v>
      </c>
    </row>
    <row r="109" spans="2:13" ht="18">
      <c r="B109" s="52"/>
      <c r="C109" s="52"/>
      <c r="D109" s="52"/>
      <c r="E109" s="52"/>
      <c r="F109" s="52"/>
      <c r="G109" s="52"/>
      <c r="H109" s="52"/>
      <c r="M109" s="21">
        <v>1</v>
      </c>
    </row>
    <row r="110" spans="2:13" ht="18">
      <c r="B110" s="52"/>
      <c r="C110" s="52"/>
      <c r="D110" s="52"/>
      <c r="E110" s="52"/>
      <c r="F110" s="52"/>
      <c r="G110" s="52"/>
      <c r="H110" s="52"/>
      <c r="M110" s="21">
        <v>1</v>
      </c>
    </row>
    <row r="111" spans="2:13" ht="18">
      <c r="B111" s="52"/>
      <c r="C111" s="52"/>
      <c r="D111" s="52"/>
      <c r="E111" s="52"/>
      <c r="F111" s="52"/>
      <c r="G111" s="52"/>
      <c r="H111" s="52"/>
      <c r="M111" s="21">
        <v>1</v>
      </c>
    </row>
    <row r="112" spans="2:13" ht="18">
      <c r="B112" s="52"/>
      <c r="C112" s="52"/>
      <c r="D112" s="52"/>
      <c r="E112" s="52"/>
      <c r="F112" s="52"/>
      <c r="G112" s="52"/>
      <c r="H112" s="52"/>
      <c r="M112" s="21">
        <v>1</v>
      </c>
    </row>
    <row r="113" spans="2:13" ht="18">
      <c r="B113" s="52"/>
      <c r="C113" s="52"/>
      <c r="D113" s="52"/>
      <c r="E113" s="52"/>
      <c r="F113" s="52"/>
      <c r="G113" s="52"/>
      <c r="H113" s="52"/>
      <c r="M113" s="21">
        <v>1</v>
      </c>
    </row>
    <row r="114" spans="2:13" ht="18">
      <c r="B114" s="52"/>
      <c r="C114" s="52"/>
      <c r="D114" s="52"/>
      <c r="E114" s="52"/>
      <c r="F114" s="52"/>
      <c r="G114" s="52"/>
      <c r="H114" s="52"/>
      <c r="M114" s="21">
        <v>1</v>
      </c>
    </row>
    <row r="115" spans="2:13" ht="18">
      <c r="B115" s="52"/>
      <c r="C115" s="52"/>
      <c r="D115" s="52"/>
      <c r="E115" s="52"/>
      <c r="F115" s="52"/>
      <c r="G115" s="52"/>
      <c r="H115" s="52"/>
      <c r="M115" s="21">
        <v>1</v>
      </c>
    </row>
    <row r="116" spans="2:13" ht="18">
      <c r="B116" s="52"/>
      <c r="C116" s="52"/>
      <c r="D116" s="52"/>
      <c r="E116" s="52"/>
      <c r="F116" s="52"/>
      <c r="G116" s="52"/>
      <c r="H116" s="52"/>
      <c r="M116" s="21">
        <v>1</v>
      </c>
    </row>
    <row r="117" spans="2:13" ht="18">
      <c r="B117" s="52"/>
      <c r="C117" s="52"/>
      <c r="D117" s="52"/>
      <c r="E117" s="52"/>
      <c r="F117" s="52"/>
      <c r="G117" s="52"/>
      <c r="H117" s="52"/>
      <c r="M117" s="21">
        <v>1</v>
      </c>
    </row>
    <row r="118" spans="2:13" ht="18">
      <c r="B118" s="52"/>
      <c r="C118" s="52"/>
      <c r="D118" s="52"/>
      <c r="E118" s="52"/>
      <c r="F118" s="52"/>
      <c r="G118" s="52"/>
      <c r="H118" s="52"/>
      <c r="M118" s="21">
        <v>1</v>
      </c>
    </row>
    <row r="119" spans="2:13" ht="18">
      <c r="B119" s="52"/>
      <c r="C119" s="52"/>
      <c r="D119" s="52"/>
      <c r="E119" s="52"/>
      <c r="F119" s="52"/>
      <c r="G119" s="52"/>
      <c r="H119" s="52"/>
      <c r="M119" s="21">
        <v>1</v>
      </c>
    </row>
    <row r="120" spans="2:13" ht="18">
      <c r="B120" s="52"/>
      <c r="C120" s="52"/>
      <c r="D120" s="52"/>
      <c r="E120" s="52"/>
      <c r="F120" s="52"/>
      <c r="G120" s="52"/>
      <c r="H120" s="52"/>
      <c r="M120" s="21">
        <v>1</v>
      </c>
    </row>
    <row r="121" spans="2:13" ht="18">
      <c r="B121" s="52"/>
      <c r="C121" s="52"/>
      <c r="D121" s="52"/>
      <c r="E121" s="52"/>
      <c r="F121" s="52"/>
      <c r="G121" s="52"/>
      <c r="H121" s="52"/>
      <c r="M121" s="21">
        <v>1</v>
      </c>
    </row>
    <row r="122" spans="2:13" ht="18">
      <c r="B122" s="52"/>
      <c r="C122" s="52"/>
      <c r="D122" s="52"/>
      <c r="E122" s="52"/>
      <c r="F122" s="52"/>
      <c r="G122" s="52"/>
      <c r="H122" s="52"/>
      <c r="M122" s="21">
        <v>1</v>
      </c>
    </row>
    <row r="123" spans="2:13" ht="18">
      <c r="B123" s="52"/>
      <c r="C123" s="52"/>
      <c r="D123" s="52"/>
      <c r="E123" s="52"/>
      <c r="F123" s="52"/>
      <c r="G123" s="52"/>
      <c r="H123" s="52"/>
      <c r="M123" s="21">
        <v>1</v>
      </c>
    </row>
    <row r="124" spans="2:13" ht="18">
      <c r="B124" s="52"/>
      <c r="C124" s="52"/>
      <c r="D124" s="52"/>
      <c r="E124" s="52"/>
      <c r="F124" s="52"/>
      <c r="G124" s="52"/>
      <c r="H124" s="52"/>
      <c r="M124" s="21">
        <v>1</v>
      </c>
    </row>
    <row r="125" spans="2:13" ht="18">
      <c r="B125" s="52"/>
      <c r="C125" s="52"/>
      <c r="D125" s="52"/>
      <c r="E125" s="52"/>
      <c r="F125" s="52"/>
      <c r="G125" s="52"/>
      <c r="H125" s="52"/>
      <c r="M125" s="21">
        <v>1</v>
      </c>
    </row>
    <row r="126" spans="2:13" ht="18">
      <c r="B126" s="52"/>
      <c r="C126" s="52"/>
      <c r="D126" s="52"/>
      <c r="E126" s="52"/>
      <c r="F126" s="52"/>
      <c r="G126" s="52"/>
      <c r="H126" s="52"/>
      <c r="M126" s="21">
        <v>1</v>
      </c>
    </row>
    <row r="127" spans="2:13" ht="18">
      <c r="B127" s="52"/>
      <c r="C127" s="52"/>
      <c r="D127" s="52"/>
      <c r="E127" s="52"/>
      <c r="F127" s="52"/>
      <c r="G127" s="52"/>
      <c r="H127" s="52"/>
      <c r="M127" s="21">
        <v>1</v>
      </c>
    </row>
    <row r="128" spans="2:13" ht="18">
      <c r="B128" s="52"/>
      <c r="C128" s="52"/>
      <c r="D128" s="52"/>
      <c r="E128" s="52"/>
      <c r="F128" s="52"/>
      <c r="G128" s="52"/>
      <c r="H128" s="52"/>
      <c r="M128" s="21">
        <v>1</v>
      </c>
    </row>
    <row r="129" spans="2:13" ht="18">
      <c r="B129" s="52"/>
      <c r="C129" s="52"/>
      <c r="D129" s="52"/>
      <c r="E129" s="52"/>
      <c r="F129" s="52"/>
      <c r="G129" s="52"/>
      <c r="H129" s="52"/>
      <c r="M129" s="21">
        <v>1</v>
      </c>
    </row>
    <row r="130" spans="2:13" ht="18">
      <c r="B130" s="52"/>
      <c r="C130" s="52"/>
      <c r="D130" s="52"/>
      <c r="E130" s="52"/>
      <c r="F130" s="52"/>
      <c r="G130" s="52"/>
      <c r="H130" s="52"/>
      <c r="M130" s="21">
        <v>1</v>
      </c>
    </row>
    <row r="131" spans="2:13" ht="18">
      <c r="B131" s="52"/>
      <c r="C131" s="52"/>
      <c r="D131" s="52"/>
      <c r="E131" s="52"/>
      <c r="F131" s="52"/>
      <c r="G131" s="52"/>
      <c r="H131" s="52"/>
      <c r="M131" s="21">
        <v>1</v>
      </c>
    </row>
    <row r="132" spans="2:13" ht="18">
      <c r="B132" s="52"/>
      <c r="C132" s="52"/>
      <c r="D132" s="52"/>
      <c r="E132" s="52"/>
      <c r="F132" s="52"/>
      <c r="G132" s="52"/>
      <c r="H132" s="52"/>
      <c r="M132" s="21">
        <v>1</v>
      </c>
    </row>
    <row r="133" spans="2:13" ht="18">
      <c r="B133" s="52"/>
      <c r="C133" s="52"/>
      <c r="D133" s="52"/>
      <c r="E133" s="52"/>
      <c r="F133" s="52"/>
      <c r="G133" s="52"/>
      <c r="H133" s="52"/>
      <c r="M133" s="21">
        <v>1</v>
      </c>
    </row>
    <row r="134" spans="2:13" ht="18">
      <c r="B134" s="52"/>
      <c r="C134" s="52"/>
      <c r="D134" s="52"/>
      <c r="E134" s="52"/>
      <c r="F134" s="52"/>
      <c r="G134" s="52"/>
      <c r="H134" s="52"/>
      <c r="M134" s="21">
        <v>1</v>
      </c>
    </row>
    <row r="135" spans="2:13" ht="18">
      <c r="B135" s="52"/>
      <c r="C135" s="52"/>
      <c r="D135" s="52"/>
      <c r="E135" s="52"/>
      <c r="F135" s="52"/>
      <c r="G135" s="52"/>
      <c r="H135" s="52"/>
      <c r="M135" s="21">
        <v>1</v>
      </c>
    </row>
    <row r="136" spans="2:13" ht="18">
      <c r="B136" s="52"/>
      <c r="C136" s="52"/>
      <c r="D136" s="52"/>
      <c r="E136" s="52"/>
      <c r="F136" s="52"/>
      <c r="G136" s="52"/>
      <c r="H136" s="52"/>
      <c r="M136" s="21">
        <v>1</v>
      </c>
    </row>
    <row r="137" spans="2:13" ht="18">
      <c r="B137" s="52"/>
      <c r="C137" s="52"/>
      <c r="D137" s="52"/>
      <c r="E137" s="52"/>
      <c r="F137" s="52"/>
      <c r="G137" s="52"/>
      <c r="H137" s="52"/>
      <c r="M137" s="21">
        <v>1</v>
      </c>
    </row>
    <row r="138" spans="2:13" ht="18">
      <c r="B138" s="52"/>
      <c r="C138" s="52"/>
      <c r="D138" s="52"/>
      <c r="E138" s="52"/>
      <c r="F138" s="52"/>
      <c r="G138" s="52"/>
      <c r="H138" s="52"/>
      <c r="M138" s="21">
        <v>1</v>
      </c>
    </row>
    <row r="139" spans="2:13" ht="18">
      <c r="B139" s="52"/>
      <c r="C139" s="52"/>
      <c r="D139" s="52"/>
      <c r="E139" s="52"/>
      <c r="F139" s="52"/>
      <c r="G139" s="52"/>
      <c r="H139" s="52"/>
      <c r="M139" s="21">
        <v>1</v>
      </c>
    </row>
    <row r="140" spans="2:13" ht="18">
      <c r="B140" s="52"/>
      <c r="C140" s="52"/>
      <c r="D140" s="52"/>
      <c r="E140" s="52"/>
      <c r="F140" s="52"/>
      <c r="G140" s="52"/>
      <c r="H140" s="52"/>
      <c r="M140" s="21">
        <v>1</v>
      </c>
    </row>
    <row r="141" spans="2:13" ht="18">
      <c r="B141" s="52"/>
      <c r="C141" s="52"/>
      <c r="D141" s="52"/>
      <c r="E141" s="52"/>
      <c r="F141" s="52"/>
      <c r="G141" s="52"/>
      <c r="H141" s="52"/>
      <c r="M141" s="21">
        <v>1</v>
      </c>
    </row>
    <row r="142" spans="2:13" ht="18">
      <c r="B142" s="52"/>
      <c r="C142" s="52"/>
      <c r="D142" s="52"/>
      <c r="E142" s="52"/>
      <c r="F142" s="52"/>
      <c r="G142" s="52"/>
      <c r="H142" s="52"/>
      <c r="M142" s="21">
        <v>1</v>
      </c>
    </row>
    <row r="143" spans="2:13" ht="18">
      <c r="B143" s="52"/>
      <c r="C143" s="52"/>
      <c r="D143" s="52"/>
      <c r="E143" s="52"/>
      <c r="F143" s="52"/>
      <c r="G143" s="52"/>
      <c r="H143" s="52"/>
      <c r="M143" s="21">
        <v>1</v>
      </c>
    </row>
    <row r="144" spans="2:13" ht="18">
      <c r="B144" s="52"/>
      <c r="C144" s="52"/>
      <c r="D144" s="52"/>
      <c r="E144" s="52"/>
      <c r="F144" s="52"/>
      <c r="G144" s="52"/>
      <c r="H144" s="52"/>
      <c r="M144" s="21">
        <v>1</v>
      </c>
    </row>
    <row r="145" spans="2:13" ht="18">
      <c r="B145" s="52"/>
      <c r="C145" s="52"/>
      <c r="D145" s="52"/>
      <c r="E145" s="52"/>
      <c r="F145" s="52"/>
      <c r="G145" s="52"/>
      <c r="H145" s="52"/>
      <c r="M145" s="21">
        <v>1</v>
      </c>
    </row>
    <row r="146" spans="2:13" ht="18">
      <c r="B146" s="52"/>
      <c r="C146" s="52"/>
      <c r="D146" s="52"/>
      <c r="E146" s="52"/>
      <c r="F146" s="52"/>
      <c r="G146" s="52"/>
      <c r="H146" s="52"/>
      <c r="M146" s="21">
        <v>1</v>
      </c>
    </row>
    <row r="147" spans="2:13" ht="18">
      <c r="B147" s="52"/>
      <c r="C147" s="52"/>
      <c r="D147" s="52"/>
      <c r="E147" s="52"/>
      <c r="F147" s="52"/>
      <c r="G147" s="52"/>
      <c r="H147" s="52"/>
      <c r="M147" s="21">
        <v>1</v>
      </c>
    </row>
    <row r="148" spans="2:13" ht="18">
      <c r="B148" s="52"/>
      <c r="C148" s="52"/>
      <c r="D148" s="52"/>
      <c r="E148" s="52"/>
      <c r="F148" s="52"/>
      <c r="G148" s="52"/>
      <c r="H148" s="52"/>
      <c r="M148" s="21">
        <v>1</v>
      </c>
    </row>
    <row r="149" spans="2:13" ht="18">
      <c r="B149" s="52"/>
      <c r="C149" s="52"/>
      <c r="D149" s="52"/>
      <c r="E149" s="52"/>
      <c r="F149" s="52"/>
      <c r="G149" s="52"/>
      <c r="H149" s="52"/>
      <c r="M149" s="21">
        <v>1</v>
      </c>
    </row>
    <row r="150" spans="2:13" ht="18">
      <c r="B150" s="52"/>
      <c r="C150" s="52"/>
      <c r="D150" s="52"/>
      <c r="E150" s="52"/>
      <c r="F150" s="52"/>
      <c r="G150" s="52"/>
      <c r="H150" s="52"/>
      <c r="M150" s="21">
        <v>1</v>
      </c>
    </row>
    <row r="151" spans="2:13" ht="18">
      <c r="B151" s="52"/>
      <c r="C151" s="52"/>
      <c r="D151" s="52"/>
      <c r="E151" s="52"/>
      <c r="F151" s="52"/>
      <c r="G151" s="52"/>
      <c r="H151" s="52"/>
      <c r="M151" s="21">
        <v>1</v>
      </c>
    </row>
    <row r="152" spans="2:13" ht="18">
      <c r="B152" s="52"/>
      <c r="C152" s="52"/>
      <c r="D152" s="52"/>
      <c r="E152" s="52"/>
      <c r="F152" s="52"/>
      <c r="G152" s="52"/>
      <c r="H152" s="52"/>
      <c r="M152" s="21">
        <v>1</v>
      </c>
    </row>
    <row r="153" spans="2:13" ht="18">
      <c r="B153" s="52"/>
      <c r="C153" s="52"/>
      <c r="D153" s="52"/>
      <c r="E153" s="52"/>
      <c r="F153" s="52"/>
      <c r="G153" s="52"/>
      <c r="H153" s="52"/>
      <c r="M153" s="21">
        <v>1</v>
      </c>
    </row>
    <row r="154" spans="2:13" ht="18">
      <c r="B154" s="52"/>
      <c r="C154" s="52"/>
      <c r="D154" s="52"/>
      <c r="E154" s="52"/>
      <c r="F154" s="52"/>
      <c r="G154" s="52"/>
      <c r="H154" s="52"/>
      <c r="M154" s="21">
        <v>1</v>
      </c>
    </row>
    <row r="155" spans="2:13" ht="18">
      <c r="B155" s="52"/>
      <c r="C155" s="52"/>
      <c r="D155" s="52"/>
      <c r="E155" s="52"/>
      <c r="F155" s="52"/>
      <c r="G155" s="52"/>
      <c r="H155" s="52"/>
      <c r="M155" s="21">
        <v>1</v>
      </c>
    </row>
    <row r="156" spans="2:13" ht="18">
      <c r="B156" s="52"/>
      <c r="C156" s="52"/>
      <c r="D156" s="52"/>
      <c r="E156" s="52"/>
      <c r="F156" s="52"/>
      <c r="G156" s="52"/>
      <c r="H156" s="52"/>
      <c r="M156" s="21">
        <v>1</v>
      </c>
    </row>
    <row r="157" spans="2:13" ht="18">
      <c r="B157" s="52"/>
      <c r="C157" s="52"/>
      <c r="D157" s="52"/>
      <c r="E157" s="52"/>
      <c r="F157" s="52"/>
      <c r="G157" s="52"/>
      <c r="H157" s="52"/>
      <c r="M157" s="21">
        <v>1</v>
      </c>
    </row>
    <row r="158" spans="2:13" ht="18">
      <c r="B158" s="52"/>
      <c r="C158" s="52"/>
      <c r="D158" s="52"/>
      <c r="E158" s="52"/>
      <c r="F158" s="52"/>
      <c r="G158" s="52"/>
      <c r="H158" s="52"/>
      <c r="M158" s="21">
        <v>1</v>
      </c>
    </row>
    <row r="159" spans="2:13" ht="18">
      <c r="B159" s="52"/>
      <c r="C159" s="52"/>
      <c r="D159" s="52"/>
      <c r="E159" s="52"/>
      <c r="F159" s="52"/>
      <c r="G159" s="52"/>
      <c r="H159" s="52"/>
      <c r="M159" s="21">
        <v>1</v>
      </c>
    </row>
    <row r="160" spans="2:13" ht="18">
      <c r="B160" s="52"/>
      <c r="C160" s="52"/>
      <c r="D160" s="52"/>
      <c r="E160" s="52"/>
      <c r="F160" s="52"/>
      <c r="G160" s="52"/>
      <c r="H160" s="52"/>
      <c r="M160" s="21">
        <v>1</v>
      </c>
    </row>
    <row r="161" spans="2:13" ht="18">
      <c r="B161" s="52"/>
      <c r="C161" s="52"/>
      <c r="D161" s="52"/>
      <c r="E161" s="52"/>
      <c r="F161" s="52"/>
      <c r="G161" s="52"/>
      <c r="H161" s="52"/>
      <c r="M161" s="21">
        <v>1</v>
      </c>
    </row>
    <row r="162" spans="2:13" ht="18">
      <c r="B162" s="52"/>
      <c r="C162" s="52"/>
      <c r="D162" s="52"/>
      <c r="E162" s="52"/>
      <c r="F162" s="52"/>
      <c r="G162" s="52"/>
      <c r="H162" s="52"/>
      <c r="M162" s="21">
        <v>1</v>
      </c>
    </row>
    <row r="163" spans="2:13" ht="18">
      <c r="B163" s="52"/>
      <c r="C163" s="52"/>
      <c r="D163" s="52"/>
      <c r="E163" s="52"/>
      <c r="F163" s="52"/>
      <c r="G163" s="52"/>
      <c r="H163" s="52"/>
      <c r="M163" s="21">
        <v>1</v>
      </c>
    </row>
    <row r="164" spans="2:13" ht="18">
      <c r="B164" s="52"/>
      <c r="C164" s="52"/>
      <c r="D164" s="52"/>
      <c r="E164" s="52"/>
      <c r="F164" s="52"/>
      <c r="G164" s="52"/>
      <c r="H164" s="52"/>
      <c r="M164" s="21">
        <v>1</v>
      </c>
    </row>
    <row r="165" spans="2:13" ht="18">
      <c r="B165" s="52"/>
      <c r="C165" s="52"/>
      <c r="D165" s="52"/>
      <c r="E165" s="52"/>
      <c r="F165" s="52"/>
      <c r="G165" s="52"/>
      <c r="H165" s="52"/>
      <c r="M165" s="21">
        <v>1</v>
      </c>
    </row>
    <row r="166" spans="2:13" ht="18">
      <c r="B166" s="52"/>
      <c r="C166" s="52"/>
      <c r="D166" s="52"/>
      <c r="E166" s="52"/>
      <c r="F166" s="52"/>
      <c r="G166" s="52"/>
      <c r="H166" s="52"/>
      <c r="M166" s="21">
        <v>1</v>
      </c>
    </row>
    <row r="167" spans="2:13" ht="18">
      <c r="B167" s="52"/>
      <c r="C167" s="52"/>
      <c r="D167" s="52"/>
      <c r="E167" s="52"/>
      <c r="F167" s="52"/>
      <c r="G167" s="52"/>
      <c r="H167" s="52"/>
      <c r="M167" s="21">
        <v>1</v>
      </c>
    </row>
    <row r="168" spans="2:13" ht="18">
      <c r="B168" s="52"/>
      <c r="C168" s="52"/>
      <c r="D168" s="52"/>
      <c r="E168" s="52"/>
      <c r="F168" s="52"/>
      <c r="G168" s="52"/>
      <c r="H168" s="52"/>
      <c r="M168" s="21">
        <v>1</v>
      </c>
    </row>
    <row r="169" spans="2:13" ht="18">
      <c r="B169" s="52"/>
      <c r="C169" s="52"/>
      <c r="D169" s="52"/>
      <c r="E169" s="52"/>
      <c r="F169" s="52"/>
      <c r="G169" s="52"/>
      <c r="H169" s="52"/>
      <c r="M169" s="21">
        <v>1</v>
      </c>
    </row>
    <row r="170" spans="2:13" ht="18">
      <c r="B170" s="52"/>
      <c r="C170" s="52"/>
      <c r="D170" s="52"/>
      <c r="E170" s="52"/>
      <c r="F170" s="52"/>
      <c r="G170" s="52"/>
      <c r="H170" s="52"/>
      <c r="M170" s="21">
        <v>1</v>
      </c>
    </row>
    <row r="171" spans="2:13" ht="18">
      <c r="B171" s="52"/>
      <c r="C171" s="52"/>
      <c r="D171" s="52"/>
      <c r="E171" s="52"/>
      <c r="F171" s="52"/>
      <c r="G171" s="52"/>
      <c r="H171" s="52"/>
      <c r="M171" s="21">
        <v>1</v>
      </c>
    </row>
    <row r="172" spans="2:13" ht="18">
      <c r="B172" s="52"/>
      <c r="C172" s="52"/>
      <c r="D172" s="52"/>
      <c r="E172" s="52"/>
      <c r="F172" s="52"/>
      <c r="G172" s="52"/>
      <c r="H172" s="52"/>
      <c r="M172" s="21">
        <v>1</v>
      </c>
    </row>
    <row r="173" spans="2:13" ht="18">
      <c r="B173" s="52"/>
      <c r="C173" s="52"/>
      <c r="D173" s="52"/>
      <c r="E173" s="52"/>
      <c r="F173" s="52"/>
      <c r="G173" s="52"/>
      <c r="H173" s="52"/>
      <c r="M173" s="21">
        <v>1</v>
      </c>
    </row>
    <row r="174" spans="2:13" ht="18">
      <c r="B174" s="52"/>
      <c r="C174" s="52"/>
      <c r="D174" s="52"/>
      <c r="E174" s="52"/>
      <c r="F174" s="52"/>
      <c r="G174" s="52"/>
      <c r="H174" s="52"/>
      <c r="M174" s="21">
        <v>1</v>
      </c>
    </row>
    <row r="175" spans="2:13" ht="18">
      <c r="B175" s="52"/>
      <c r="C175" s="52"/>
      <c r="D175" s="52"/>
      <c r="E175" s="52"/>
      <c r="F175" s="52"/>
      <c r="G175" s="52"/>
      <c r="H175" s="52"/>
      <c r="M175" s="21">
        <v>1</v>
      </c>
    </row>
    <row r="176" spans="2:13" ht="18">
      <c r="B176" s="52"/>
      <c r="C176" s="52"/>
      <c r="D176" s="52"/>
      <c r="E176" s="52"/>
      <c r="F176" s="52"/>
      <c r="G176" s="52"/>
      <c r="H176" s="52"/>
      <c r="M176" s="21">
        <v>1</v>
      </c>
    </row>
    <row r="177" spans="2:13" ht="18">
      <c r="B177" s="52"/>
      <c r="C177" s="52"/>
      <c r="D177" s="52"/>
      <c r="E177" s="52"/>
      <c r="F177" s="52"/>
      <c r="G177" s="52"/>
      <c r="H177" s="52"/>
      <c r="M177" s="21">
        <v>1</v>
      </c>
    </row>
    <row r="178" spans="2:13" ht="18">
      <c r="B178" s="52"/>
      <c r="C178" s="52"/>
      <c r="D178" s="52"/>
      <c r="E178" s="52"/>
      <c r="F178" s="52"/>
      <c r="G178" s="52"/>
      <c r="H178" s="52"/>
      <c r="M178" s="21">
        <v>1</v>
      </c>
    </row>
    <row r="179" spans="2:13" ht="18">
      <c r="B179" s="52"/>
      <c r="C179" s="52"/>
      <c r="D179" s="52"/>
      <c r="E179" s="52"/>
      <c r="F179" s="52"/>
      <c r="G179" s="52"/>
      <c r="H179" s="52"/>
      <c r="M179" s="21">
        <v>1</v>
      </c>
    </row>
    <row r="180" spans="2:13" ht="18">
      <c r="B180" s="52"/>
      <c r="C180" s="52"/>
      <c r="D180" s="52"/>
      <c r="E180" s="52"/>
      <c r="F180" s="52"/>
      <c r="G180" s="52"/>
      <c r="H180" s="52"/>
      <c r="M180" s="21">
        <v>1</v>
      </c>
    </row>
    <row r="181" spans="2:13" ht="18">
      <c r="B181" s="52"/>
      <c r="C181" s="52"/>
      <c r="D181" s="52"/>
      <c r="E181" s="52"/>
      <c r="F181" s="52"/>
      <c r="G181" s="52"/>
      <c r="H181" s="52"/>
      <c r="M181" s="21">
        <v>1</v>
      </c>
    </row>
    <row r="182" spans="2:13" ht="18">
      <c r="B182" s="52"/>
      <c r="C182" s="52"/>
      <c r="D182" s="52"/>
      <c r="E182" s="52"/>
      <c r="F182" s="52"/>
      <c r="G182" s="52"/>
      <c r="H182" s="52"/>
      <c r="M182" s="21">
        <v>1</v>
      </c>
    </row>
    <row r="183" spans="2:13" ht="18">
      <c r="B183" s="52"/>
      <c r="C183" s="52"/>
      <c r="D183" s="52"/>
      <c r="E183" s="52"/>
      <c r="F183" s="52"/>
      <c r="G183" s="52"/>
      <c r="H183" s="52"/>
      <c r="M183" s="21">
        <v>1</v>
      </c>
    </row>
    <row r="184" spans="2:13" ht="18">
      <c r="B184" s="52"/>
      <c r="C184" s="52"/>
      <c r="D184" s="52"/>
      <c r="E184" s="52"/>
      <c r="F184" s="52"/>
      <c r="G184" s="52"/>
      <c r="H184" s="52"/>
      <c r="M184" s="21">
        <v>1</v>
      </c>
    </row>
    <row r="185" spans="2:13" ht="18">
      <c r="B185" s="52"/>
      <c r="C185" s="52"/>
      <c r="D185" s="52"/>
      <c r="E185" s="52"/>
      <c r="F185" s="52"/>
      <c r="G185" s="52"/>
      <c r="H185" s="52"/>
      <c r="M185" s="21">
        <v>1</v>
      </c>
    </row>
    <row r="186" spans="2:13" ht="18">
      <c r="B186" s="52"/>
      <c r="C186" s="52"/>
      <c r="D186" s="52"/>
      <c r="E186" s="52"/>
      <c r="F186" s="52"/>
      <c r="G186" s="52"/>
      <c r="H186" s="52"/>
      <c r="M186" s="21">
        <v>1</v>
      </c>
    </row>
    <row r="187" spans="2:13" ht="18">
      <c r="B187" s="52"/>
      <c r="C187" s="52"/>
      <c r="D187" s="52"/>
      <c r="E187" s="52"/>
      <c r="F187" s="52"/>
      <c r="G187" s="52"/>
      <c r="H187" s="52"/>
      <c r="M187" s="21">
        <v>1</v>
      </c>
    </row>
    <row r="188" spans="2:13" ht="18">
      <c r="B188" s="52"/>
      <c r="C188" s="52"/>
      <c r="D188" s="52"/>
      <c r="E188" s="52"/>
      <c r="F188" s="52"/>
      <c r="G188" s="52"/>
      <c r="H188" s="52"/>
      <c r="M188" s="21">
        <v>1</v>
      </c>
    </row>
    <row r="189" spans="2:13" ht="18">
      <c r="B189" s="52"/>
      <c r="C189" s="52"/>
      <c r="D189" s="52"/>
      <c r="E189" s="52"/>
      <c r="F189" s="52"/>
      <c r="G189" s="52"/>
      <c r="H189" s="52"/>
      <c r="M189" s="21">
        <v>1</v>
      </c>
    </row>
    <row r="190" spans="2:13" ht="18">
      <c r="B190" s="52"/>
      <c r="C190" s="52"/>
      <c r="D190" s="52"/>
      <c r="E190" s="52"/>
      <c r="F190" s="52"/>
      <c r="G190" s="52"/>
      <c r="H190" s="52"/>
      <c r="M190" s="21">
        <v>1</v>
      </c>
    </row>
    <row r="191" spans="2:13" ht="18">
      <c r="B191" s="52"/>
      <c r="C191" s="52"/>
      <c r="D191" s="52"/>
      <c r="E191" s="52"/>
      <c r="F191" s="52"/>
      <c r="G191" s="52"/>
      <c r="H191" s="52"/>
      <c r="M191" s="21">
        <v>1</v>
      </c>
    </row>
    <row r="192" spans="2:13" ht="18">
      <c r="B192" s="52"/>
      <c r="C192" s="52"/>
      <c r="D192" s="52"/>
      <c r="E192" s="52"/>
      <c r="F192" s="52"/>
      <c r="G192" s="52"/>
      <c r="H192" s="52"/>
      <c r="M192" s="21">
        <v>1</v>
      </c>
    </row>
    <row r="193" spans="2:13" ht="18">
      <c r="B193" s="52"/>
      <c r="C193" s="52"/>
      <c r="D193" s="52"/>
      <c r="E193" s="52"/>
      <c r="F193" s="52"/>
      <c r="G193" s="52"/>
      <c r="H193" s="52"/>
      <c r="M193" s="21">
        <v>1</v>
      </c>
    </row>
    <row r="194" spans="2:13" ht="18">
      <c r="B194" s="52"/>
      <c r="C194" s="52"/>
      <c r="D194" s="52"/>
      <c r="E194" s="52"/>
      <c r="F194" s="52"/>
      <c r="G194" s="52"/>
      <c r="H194" s="52"/>
      <c r="M194" s="21">
        <v>1</v>
      </c>
    </row>
    <row r="195" spans="2:13" ht="18">
      <c r="B195" s="52"/>
      <c r="C195" s="52"/>
      <c r="D195" s="52"/>
      <c r="E195" s="52"/>
      <c r="F195" s="52"/>
      <c r="G195" s="52"/>
      <c r="H195" s="52"/>
      <c r="M195" s="21">
        <v>1</v>
      </c>
    </row>
    <row r="196" spans="2:13" ht="18">
      <c r="B196" s="52"/>
      <c r="C196" s="52"/>
      <c r="D196" s="52"/>
      <c r="E196" s="52"/>
      <c r="F196" s="52"/>
      <c r="G196" s="52"/>
      <c r="H196" s="52"/>
      <c r="M196" s="21">
        <v>1</v>
      </c>
    </row>
    <row r="197" spans="2:13" ht="18">
      <c r="B197" s="52"/>
      <c r="C197" s="52"/>
      <c r="D197" s="52"/>
      <c r="E197" s="52"/>
      <c r="F197" s="52"/>
      <c r="G197" s="52"/>
      <c r="H197" s="52"/>
      <c r="M197" s="21">
        <v>1</v>
      </c>
    </row>
    <row r="198" spans="2:13" ht="18">
      <c r="B198" s="52"/>
      <c r="C198" s="52"/>
      <c r="D198" s="52"/>
      <c r="E198" s="52"/>
      <c r="F198" s="52"/>
      <c r="G198" s="52"/>
      <c r="H198" s="52"/>
      <c r="M198" s="21">
        <v>1</v>
      </c>
    </row>
    <row r="199" spans="2:13" ht="18">
      <c r="B199" s="52"/>
      <c r="C199" s="52"/>
      <c r="D199" s="52"/>
      <c r="E199" s="52"/>
      <c r="F199" s="52"/>
      <c r="G199" s="52"/>
      <c r="H199" s="52"/>
      <c r="M199" s="21">
        <v>1</v>
      </c>
    </row>
    <row r="200" spans="2:13" ht="18">
      <c r="B200" s="52"/>
      <c r="C200" s="52"/>
      <c r="D200" s="52"/>
      <c r="E200" s="52"/>
      <c r="F200" s="52"/>
      <c r="G200" s="52"/>
      <c r="H200" s="52"/>
      <c r="M200" s="21">
        <v>1</v>
      </c>
    </row>
    <row r="201" spans="2:13" ht="18">
      <c r="B201" s="52"/>
      <c r="C201" s="52"/>
      <c r="D201" s="52"/>
      <c r="E201" s="52"/>
      <c r="F201" s="52"/>
      <c r="G201" s="52"/>
      <c r="H201" s="52"/>
      <c r="M201" s="21">
        <v>1</v>
      </c>
    </row>
    <row r="202" spans="2:13" ht="18">
      <c r="B202" s="52"/>
      <c r="C202" s="52"/>
      <c r="D202" s="52"/>
      <c r="E202" s="52"/>
      <c r="F202" s="52"/>
      <c r="G202" s="52"/>
      <c r="H202" s="52"/>
      <c r="M202" s="21">
        <v>1</v>
      </c>
    </row>
    <row r="203" spans="2:13" ht="18">
      <c r="B203" s="52"/>
      <c r="C203" s="52"/>
      <c r="D203" s="52"/>
      <c r="E203" s="52"/>
      <c r="F203" s="52"/>
      <c r="G203" s="52"/>
      <c r="H203" s="52"/>
      <c r="M203" s="21">
        <v>1</v>
      </c>
    </row>
    <row r="204" spans="2:13" ht="18">
      <c r="B204" s="52"/>
      <c r="C204" s="52"/>
      <c r="D204" s="52"/>
      <c r="E204" s="52"/>
      <c r="F204" s="52"/>
      <c r="G204" s="52"/>
      <c r="H204" s="52"/>
      <c r="M204" s="21">
        <v>1</v>
      </c>
    </row>
    <row r="205" spans="2:13" ht="18">
      <c r="B205" s="52"/>
      <c r="C205" s="52"/>
      <c r="D205" s="52"/>
      <c r="E205" s="52"/>
      <c r="F205" s="52"/>
      <c r="G205" s="52"/>
      <c r="H205" s="52"/>
      <c r="M205" s="21">
        <v>1</v>
      </c>
    </row>
    <row r="206" spans="2:13" ht="18">
      <c r="B206" s="52"/>
      <c r="C206" s="52"/>
      <c r="D206" s="52"/>
      <c r="E206" s="52"/>
      <c r="F206" s="52"/>
      <c r="G206" s="52"/>
      <c r="H206" s="52"/>
      <c r="M206" s="21">
        <v>1</v>
      </c>
    </row>
    <row r="207" spans="2:13" ht="18">
      <c r="B207" s="52"/>
      <c r="C207" s="52"/>
      <c r="D207" s="52"/>
      <c r="E207" s="52"/>
      <c r="F207" s="52"/>
      <c r="G207" s="52"/>
      <c r="H207" s="52"/>
      <c r="M207" s="21">
        <v>1</v>
      </c>
    </row>
    <row r="208" spans="2:13" ht="18">
      <c r="B208" s="52"/>
      <c r="C208" s="52"/>
      <c r="D208" s="52"/>
      <c r="E208" s="52"/>
      <c r="F208" s="52"/>
      <c r="G208" s="52"/>
      <c r="H208" s="52"/>
      <c r="M208" s="21">
        <v>1</v>
      </c>
    </row>
    <row r="209" spans="2:13" ht="18">
      <c r="B209" s="52"/>
      <c r="C209" s="52"/>
      <c r="D209" s="52"/>
      <c r="E209" s="52"/>
      <c r="F209" s="52"/>
      <c r="G209" s="52"/>
      <c r="H209" s="52"/>
      <c r="M209" s="21">
        <v>1</v>
      </c>
    </row>
    <row r="210" spans="2:13" ht="18">
      <c r="B210" s="52"/>
      <c r="C210" s="52"/>
      <c r="D210" s="52"/>
      <c r="E210" s="52"/>
      <c r="F210" s="52"/>
      <c r="G210" s="52"/>
      <c r="H210" s="52"/>
      <c r="M210" s="21">
        <v>1</v>
      </c>
    </row>
    <row r="211" spans="2:13" ht="18">
      <c r="B211" s="52"/>
      <c r="C211" s="52"/>
      <c r="D211" s="52"/>
      <c r="E211" s="52"/>
      <c r="F211" s="52"/>
      <c r="G211" s="52"/>
      <c r="H211" s="52"/>
      <c r="M211" s="21">
        <v>1</v>
      </c>
    </row>
    <row r="212" spans="2:13" ht="18">
      <c r="B212" s="52"/>
      <c r="C212" s="52"/>
      <c r="D212" s="52"/>
      <c r="E212" s="52"/>
      <c r="F212" s="52"/>
      <c r="G212" s="52"/>
      <c r="H212" s="52"/>
      <c r="M212" s="21">
        <v>1</v>
      </c>
    </row>
    <row r="213" spans="2:13" ht="18">
      <c r="B213" s="52"/>
      <c r="C213" s="52"/>
      <c r="D213" s="52"/>
      <c r="E213" s="52"/>
      <c r="F213" s="52"/>
      <c r="G213" s="52"/>
      <c r="H213" s="52"/>
      <c r="M213" s="21">
        <v>1</v>
      </c>
    </row>
    <row r="214" spans="2:13" ht="18">
      <c r="B214" s="52"/>
      <c r="C214" s="52"/>
      <c r="D214" s="52"/>
      <c r="E214" s="52"/>
      <c r="F214" s="52"/>
      <c r="G214" s="52"/>
      <c r="H214" s="52"/>
      <c r="M214" s="21">
        <v>1</v>
      </c>
    </row>
    <row r="215" spans="2:13" ht="18">
      <c r="B215" s="52"/>
      <c r="C215" s="52"/>
      <c r="D215" s="52"/>
      <c r="E215" s="52"/>
      <c r="F215" s="52"/>
      <c r="G215" s="52"/>
      <c r="H215" s="52"/>
      <c r="M215" s="21">
        <v>1</v>
      </c>
    </row>
    <row r="216" spans="2:13" ht="18">
      <c r="B216" s="52"/>
      <c r="C216" s="52"/>
      <c r="D216" s="52"/>
      <c r="E216" s="52"/>
      <c r="F216" s="52"/>
      <c r="G216" s="52"/>
      <c r="H216" s="52"/>
      <c r="M216" s="21">
        <v>1</v>
      </c>
    </row>
    <row r="217" spans="2:13" ht="18">
      <c r="B217" s="52"/>
      <c r="C217" s="52"/>
      <c r="D217" s="52"/>
      <c r="E217" s="52"/>
      <c r="F217" s="52"/>
      <c r="G217" s="52"/>
      <c r="H217" s="52"/>
      <c r="M217" s="21">
        <v>1</v>
      </c>
    </row>
    <row r="218" spans="2:13" ht="18">
      <c r="B218" s="52"/>
      <c r="C218" s="52"/>
      <c r="D218" s="52"/>
      <c r="E218" s="52"/>
      <c r="F218" s="52"/>
      <c r="G218" s="52"/>
      <c r="H218" s="52"/>
      <c r="M218" s="21">
        <v>1</v>
      </c>
    </row>
    <row r="219" spans="2:13" ht="18">
      <c r="B219" s="52"/>
      <c r="C219" s="52"/>
      <c r="D219" s="52"/>
      <c r="E219" s="52"/>
      <c r="F219" s="52"/>
      <c r="G219" s="52"/>
      <c r="H219" s="52"/>
      <c r="M219" s="21">
        <v>1</v>
      </c>
    </row>
    <row r="220" spans="2:13" ht="18">
      <c r="B220" s="52"/>
      <c r="C220" s="52"/>
      <c r="D220" s="52"/>
      <c r="E220" s="52"/>
      <c r="F220" s="52"/>
      <c r="G220" s="52"/>
      <c r="H220" s="52"/>
      <c r="M220" s="21">
        <v>1</v>
      </c>
    </row>
    <row r="221" spans="2:13" ht="18">
      <c r="B221" s="52"/>
      <c r="C221" s="52"/>
      <c r="D221" s="52"/>
      <c r="E221" s="52"/>
      <c r="F221" s="52"/>
      <c r="G221" s="52"/>
      <c r="H221" s="52"/>
      <c r="M221" s="21">
        <v>1</v>
      </c>
    </row>
    <row r="222" spans="2:13" ht="18">
      <c r="B222" s="52"/>
      <c r="C222" s="52"/>
      <c r="D222" s="52"/>
      <c r="E222" s="52"/>
      <c r="F222" s="52"/>
      <c r="G222" s="52"/>
      <c r="H222" s="52"/>
      <c r="M222" s="21">
        <v>1</v>
      </c>
    </row>
    <row r="223" spans="2:13" ht="18">
      <c r="B223" s="52"/>
      <c r="C223" s="52"/>
      <c r="D223" s="52"/>
      <c r="E223" s="52"/>
      <c r="F223" s="52"/>
      <c r="G223" s="52"/>
      <c r="H223" s="52"/>
      <c r="M223" s="21">
        <v>1</v>
      </c>
    </row>
    <row r="224" spans="2:13" ht="18">
      <c r="B224" s="52"/>
      <c r="C224" s="52"/>
      <c r="D224" s="52"/>
      <c r="E224" s="52"/>
      <c r="F224" s="52"/>
      <c r="G224" s="52"/>
      <c r="H224" s="52"/>
      <c r="M224" s="21">
        <v>1</v>
      </c>
    </row>
    <row r="225" spans="2:13" ht="18">
      <c r="B225" s="52"/>
      <c r="C225" s="52"/>
      <c r="D225" s="52"/>
      <c r="E225" s="52"/>
      <c r="F225" s="52"/>
      <c r="G225" s="52"/>
      <c r="H225" s="52"/>
      <c r="M225" s="21">
        <v>1</v>
      </c>
    </row>
    <row r="226" spans="2:13" ht="18">
      <c r="B226" s="52"/>
      <c r="C226" s="52"/>
      <c r="D226" s="52"/>
      <c r="E226" s="52"/>
      <c r="F226" s="52"/>
      <c r="G226" s="52"/>
      <c r="H226" s="52"/>
      <c r="M226" s="21">
        <v>1</v>
      </c>
    </row>
    <row r="227" spans="2:13" ht="18">
      <c r="B227" s="52"/>
      <c r="C227" s="52"/>
      <c r="D227" s="52"/>
      <c r="E227" s="52"/>
      <c r="F227" s="52"/>
      <c r="G227" s="52"/>
      <c r="H227" s="52"/>
      <c r="M227" s="21">
        <v>1</v>
      </c>
    </row>
    <row r="228" spans="2:13" ht="18">
      <c r="B228" s="52"/>
      <c r="C228" s="52"/>
      <c r="D228" s="52"/>
      <c r="E228" s="52"/>
      <c r="F228" s="52"/>
      <c r="G228" s="52"/>
      <c r="H228" s="52"/>
      <c r="M228" s="21">
        <v>1</v>
      </c>
    </row>
    <row r="229" spans="2:13" ht="18">
      <c r="B229" s="52"/>
      <c r="C229" s="52"/>
      <c r="D229" s="52"/>
      <c r="E229" s="52"/>
      <c r="F229" s="52"/>
      <c r="G229" s="52"/>
      <c r="H229" s="52"/>
      <c r="M229" s="21">
        <v>1</v>
      </c>
    </row>
    <row r="230" spans="2:13" ht="18">
      <c r="B230" s="52"/>
      <c r="C230" s="52"/>
      <c r="D230" s="52"/>
      <c r="E230" s="52"/>
      <c r="F230" s="52"/>
      <c r="G230" s="52"/>
      <c r="H230" s="52"/>
      <c r="M230" s="21">
        <v>1</v>
      </c>
    </row>
    <row r="231" spans="2:13" ht="18">
      <c r="B231" s="52"/>
      <c r="C231" s="52"/>
      <c r="D231" s="52"/>
      <c r="E231" s="52"/>
      <c r="F231" s="52"/>
      <c r="G231" s="52"/>
      <c r="H231" s="52"/>
      <c r="M231" s="21">
        <v>1</v>
      </c>
    </row>
    <row r="232" spans="2:13" ht="18">
      <c r="B232" s="52"/>
      <c r="C232" s="52"/>
      <c r="D232" s="52"/>
      <c r="E232" s="52"/>
      <c r="F232" s="52"/>
      <c r="G232" s="52"/>
      <c r="H232" s="52"/>
      <c r="M232" s="21">
        <v>1</v>
      </c>
    </row>
    <row r="233" spans="2:13" ht="18">
      <c r="B233" s="52"/>
      <c r="C233" s="52"/>
      <c r="D233" s="52"/>
      <c r="E233" s="52"/>
      <c r="F233" s="52"/>
      <c r="G233" s="52"/>
      <c r="H233" s="52"/>
      <c r="M233" s="21">
        <v>1</v>
      </c>
    </row>
    <row r="234" spans="2:13" ht="18">
      <c r="B234" s="52"/>
      <c r="C234" s="52"/>
      <c r="D234" s="52"/>
      <c r="E234" s="52"/>
      <c r="F234" s="52"/>
      <c r="G234" s="52"/>
      <c r="H234" s="52"/>
      <c r="M234" s="21">
        <v>1</v>
      </c>
    </row>
    <row r="235" spans="2:13" ht="18">
      <c r="B235" s="52"/>
      <c r="C235" s="52"/>
      <c r="D235" s="52"/>
      <c r="E235" s="52"/>
      <c r="F235" s="52"/>
      <c r="G235" s="52"/>
      <c r="H235" s="52"/>
      <c r="M235" s="21">
        <v>1</v>
      </c>
    </row>
    <row r="236" spans="2:13" ht="18">
      <c r="B236" s="52"/>
      <c r="C236" s="52"/>
      <c r="D236" s="52"/>
      <c r="E236" s="52"/>
      <c r="F236" s="52"/>
      <c r="G236" s="52"/>
      <c r="H236" s="52"/>
      <c r="M236" s="21">
        <v>1</v>
      </c>
    </row>
    <row r="237" spans="2:13" ht="18">
      <c r="B237" s="52"/>
      <c r="C237" s="52"/>
      <c r="D237" s="52"/>
      <c r="E237" s="52"/>
      <c r="F237" s="52"/>
      <c r="G237" s="52"/>
      <c r="H237" s="52"/>
      <c r="M237" s="21">
        <v>1</v>
      </c>
    </row>
    <row r="238" spans="2:13" ht="18">
      <c r="B238" s="52"/>
      <c r="C238" s="52"/>
      <c r="D238" s="52"/>
      <c r="E238" s="52"/>
      <c r="F238" s="52"/>
      <c r="G238" s="52"/>
      <c r="H238" s="52"/>
      <c r="M238" s="21">
        <v>1</v>
      </c>
    </row>
    <row r="239" spans="2:13" ht="18">
      <c r="B239" s="52"/>
      <c r="C239" s="52"/>
      <c r="D239" s="52"/>
      <c r="E239" s="52"/>
      <c r="F239" s="52"/>
      <c r="G239" s="52"/>
      <c r="H239" s="52"/>
      <c r="M239" s="21">
        <v>1</v>
      </c>
    </row>
    <row r="240" spans="2:13" ht="18">
      <c r="B240" s="52"/>
      <c r="C240" s="52"/>
      <c r="D240" s="52"/>
      <c r="E240" s="52"/>
      <c r="F240" s="52"/>
      <c r="G240" s="52"/>
      <c r="H240" s="52"/>
      <c r="M240" s="21">
        <v>1</v>
      </c>
    </row>
    <row r="241" spans="2:13" ht="18">
      <c r="B241" s="52"/>
      <c r="C241" s="52"/>
      <c r="D241" s="52"/>
      <c r="E241" s="52"/>
      <c r="F241" s="52"/>
      <c r="G241" s="52"/>
      <c r="H241" s="52"/>
      <c r="M241" s="21">
        <v>1</v>
      </c>
    </row>
    <row r="242" spans="2:13" ht="18">
      <c r="B242" s="52"/>
      <c r="C242" s="52"/>
      <c r="D242" s="52"/>
      <c r="E242" s="52"/>
      <c r="F242" s="52"/>
      <c r="G242" s="52"/>
      <c r="H242" s="52"/>
      <c r="M242" s="21">
        <v>1</v>
      </c>
    </row>
    <row r="243" spans="2:13" ht="18">
      <c r="B243" s="52"/>
      <c r="C243" s="52"/>
      <c r="D243" s="52"/>
      <c r="E243" s="52"/>
      <c r="F243" s="52"/>
      <c r="G243" s="52"/>
      <c r="H243" s="52"/>
      <c r="M243" s="21">
        <v>1</v>
      </c>
    </row>
    <row r="244" spans="2:13" ht="18">
      <c r="B244" s="52"/>
      <c r="C244" s="52"/>
      <c r="D244" s="52"/>
      <c r="E244" s="52"/>
      <c r="F244" s="52"/>
      <c r="G244" s="52"/>
      <c r="H244" s="52"/>
      <c r="M244" s="21">
        <v>1</v>
      </c>
    </row>
    <row r="245" spans="2:13" ht="18">
      <c r="B245" s="52"/>
      <c r="C245" s="52"/>
      <c r="D245" s="52"/>
      <c r="E245" s="52"/>
      <c r="F245" s="52"/>
      <c r="G245" s="52"/>
      <c r="H245" s="52"/>
      <c r="M245" s="21">
        <v>1</v>
      </c>
    </row>
    <row r="246" spans="2:13" ht="18">
      <c r="B246" s="52"/>
      <c r="C246" s="52"/>
      <c r="D246" s="52"/>
      <c r="E246" s="52"/>
      <c r="F246" s="52"/>
      <c r="G246" s="52"/>
      <c r="H246" s="52"/>
      <c r="M246" s="21">
        <v>1</v>
      </c>
    </row>
    <row r="247" spans="2:13" ht="18">
      <c r="B247" s="52"/>
      <c r="C247" s="52"/>
      <c r="D247" s="52"/>
      <c r="E247" s="52"/>
      <c r="F247" s="52"/>
      <c r="G247" s="52"/>
      <c r="H247" s="52"/>
      <c r="M247" s="21">
        <v>1</v>
      </c>
    </row>
    <row r="248" spans="2:13" ht="18">
      <c r="B248" s="52"/>
      <c r="C248" s="52"/>
      <c r="D248" s="52"/>
      <c r="E248" s="52"/>
      <c r="F248" s="52"/>
      <c r="G248" s="52"/>
      <c r="H248" s="52"/>
      <c r="M248" s="21">
        <v>1</v>
      </c>
    </row>
    <row r="249" spans="2:13" ht="18">
      <c r="B249" s="52"/>
      <c r="C249" s="52"/>
      <c r="D249" s="52"/>
      <c r="E249" s="52"/>
      <c r="F249" s="52"/>
      <c r="G249" s="52"/>
      <c r="H249" s="52"/>
      <c r="M249" s="21">
        <v>1</v>
      </c>
    </row>
    <row r="250" spans="2:13" ht="18">
      <c r="B250" s="52"/>
      <c r="C250" s="52"/>
      <c r="D250" s="52"/>
      <c r="E250" s="52"/>
      <c r="F250" s="52"/>
      <c r="G250" s="52"/>
      <c r="H250" s="52"/>
      <c r="M250" s="21">
        <v>1</v>
      </c>
    </row>
    <row r="251" spans="2:13" ht="18">
      <c r="B251" s="52"/>
      <c r="C251" s="52"/>
      <c r="D251" s="52"/>
      <c r="E251" s="52"/>
      <c r="F251" s="52"/>
      <c r="G251" s="52"/>
      <c r="H251" s="52"/>
      <c r="M251" s="21">
        <v>1</v>
      </c>
    </row>
    <row r="252" spans="2:13" ht="18">
      <c r="B252" s="52"/>
      <c r="C252" s="52"/>
      <c r="D252" s="52"/>
      <c r="E252" s="52"/>
      <c r="F252" s="52"/>
      <c r="G252" s="52"/>
      <c r="H252" s="52"/>
      <c r="M252" s="21">
        <v>1</v>
      </c>
    </row>
    <row r="253" spans="2:13" ht="18">
      <c r="B253" s="52"/>
      <c r="C253" s="52"/>
      <c r="D253" s="52"/>
      <c r="E253" s="52"/>
      <c r="F253" s="52"/>
      <c r="G253" s="52"/>
      <c r="H253" s="52"/>
      <c r="M253" s="21">
        <v>1</v>
      </c>
    </row>
    <row r="254" spans="2:13" ht="18">
      <c r="B254" s="52"/>
      <c r="C254" s="52"/>
      <c r="D254" s="52"/>
      <c r="E254" s="52"/>
      <c r="F254" s="52"/>
      <c r="G254" s="52"/>
      <c r="H254" s="52"/>
      <c r="M254" s="21">
        <v>1</v>
      </c>
    </row>
    <row r="255" spans="2:13" ht="18">
      <c r="B255" s="52"/>
      <c r="C255" s="52"/>
      <c r="D255" s="52"/>
      <c r="E255" s="52"/>
      <c r="F255" s="52"/>
      <c r="G255" s="52"/>
      <c r="H255" s="52"/>
      <c r="M255" s="21">
        <v>1</v>
      </c>
    </row>
    <row r="256" spans="2:13" ht="18">
      <c r="B256" s="52"/>
      <c r="C256" s="52"/>
      <c r="D256" s="52"/>
      <c r="E256" s="52"/>
      <c r="F256" s="52"/>
      <c r="G256" s="52"/>
      <c r="H256" s="52"/>
      <c r="M256" s="21">
        <v>1</v>
      </c>
    </row>
    <row r="257" spans="2:13" ht="18">
      <c r="B257" s="52"/>
      <c r="C257" s="52"/>
      <c r="D257" s="52"/>
      <c r="E257" s="52"/>
      <c r="F257" s="52"/>
      <c r="G257" s="52"/>
      <c r="H257" s="52"/>
      <c r="M257" s="21">
        <v>1</v>
      </c>
    </row>
    <row r="258" spans="2:13" ht="18">
      <c r="B258" s="52"/>
      <c r="C258" s="52"/>
      <c r="D258" s="52"/>
      <c r="E258" s="52"/>
      <c r="F258" s="52"/>
      <c r="G258" s="52"/>
      <c r="H258" s="52"/>
      <c r="M258" s="21">
        <v>1</v>
      </c>
    </row>
    <row r="259" spans="2:13" ht="18">
      <c r="B259" s="52"/>
      <c r="C259" s="52"/>
      <c r="D259" s="52"/>
      <c r="E259" s="52"/>
      <c r="F259" s="52"/>
      <c r="G259" s="52"/>
      <c r="H259" s="52"/>
      <c r="M259" s="21">
        <v>1</v>
      </c>
    </row>
    <row r="260" spans="2:13" ht="18">
      <c r="B260" s="52"/>
      <c r="C260" s="52"/>
      <c r="D260" s="52"/>
      <c r="E260" s="52"/>
      <c r="F260" s="52"/>
      <c r="G260" s="52"/>
      <c r="H260" s="52"/>
      <c r="M260" s="21">
        <v>1</v>
      </c>
    </row>
    <row r="261" spans="2:13" ht="18">
      <c r="B261" s="52"/>
      <c r="C261" s="52"/>
      <c r="D261" s="52"/>
      <c r="E261" s="52"/>
      <c r="F261" s="52"/>
      <c r="G261" s="52"/>
      <c r="H261" s="52"/>
      <c r="M261" s="21">
        <v>1</v>
      </c>
    </row>
    <row r="262" spans="2:13" ht="18">
      <c r="B262" s="52"/>
      <c r="C262" s="52"/>
      <c r="D262" s="52"/>
      <c r="E262" s="52"/>
      <c r="F262" s="52"/>
      <c r="G262" s="52"/>
      <c r="H262" s="52"/>
      <c r="M262" s="21">
        <v>1</v>
      </c>
    </row>
    <row r="263" spans="2:13" ht="18">
      <c r="B263" s="52"/>
      <c r="C263" s="52"/>
      <c r="D263" s="52"/>
      <c r="E263" s="52"/>
      <c r="F263" s="52"/>
      <c r="G263" s="52"/>
      <c r="H263" s="52"/>
      <c r="M263" s="21">
        <v>1</v>
      </c>
    </row>
    <row r="264" spans="2:13" ht="18">
      <c r="B264" s="52"/>
      <c r="C264" s="52"/>
      <c r="D264" s="52"/>
      <c r="E264" s="52"/>
      <c r="F264" s="52"/>
      <c r="G264" s="52"/>
      <c r="H264" s="52"/>
      <c r="M264" s="21">
        <v>1</v>
      </c>
    </row>
    <row r="265" spans="2:13" ht="18">
      <c r="B265" s="52"/>
      <c r="C265" s="52"/>
      <c r="D265" s="52"/>
      <c r="E265" s="52"/>
      <c r="F265" s="52"/>
      <c r="G265" s="52"/>
      <c r="H265" s="52"/>
      <c r="M265" s="21">
        <v>1</v>
      </c>
    </row>
    <row r="266" spans="2:13" ht="18">
      <c r="B266" s="52"/>
      <c r="C266" s="52"/>
      <c r="D266" s="52"/>
      <c r="E266" s="52"/>
      <c r="F266" s="52"/>
      <c r="G266" s="52"/>
      <c r="H266" s="52"/>
      <c r="M266" s="21">
        <v>1</v>
      </c>
    </row>
    <row r="267" spans="2:13" ht="18">
      <c r="B267" s="52"/>
      <c r="C267" s="52"/>
      <c r="D267" s="52"/>
      <c r="E267" s="52"/>
      <c r="F267" s="52"/>
      <c r="G267" s="52"/>
      <c r="H267" s="52"/>
      <c r="M267" s="21">
        <v>1</v>
      </c>
    </row>
    <row r="268" spans="2:13" ht="18">
      <c r="B268" s="52"/>
      <c r="C268" s="52"/>
      <c r="D268" s="52"/>
      <c r="E268" s="52"/>
      <c r="F268" s="52"/>
      <c r="G268" s="52"/>
      <c r="H268" s="52"/>
      <c r="M268" s="21">
        <v>1</v>
      </c>
    </row>
    <row r="269" spans="2:13" ht="18">
      <c r="B269" s="52"/>
      <c r="C269" s="52"/>
      <c r="D269" s="52"/>
      <c r="E269" s="52"/>
      <c r="F269" s="52"/>
      <c r="G269" s="52"/>
      <c r="H269" s="52"/>
      <c r="M269" s="21">
        <v>1</v>
      </c>
    </row>
    <row r="270" spans="2:13" ht="18">
      <c r="B270" s="52"/>
      <c r="C270" s="52"/>
      <c r="D270" s="52"/>
      <c r="E270" s="52"/>
      <c r="F270" s="52"/>
      <c r="G270" s="52"/>
      <c r="H270" s="52"/>
      <c r="M270" s="21">
        <v>1</v>
      </c>
    </row>
    <row r="271" spans="2:13" ht="18">
      <c r="B271" s="52"/>
      <c r="C271" s="52"/>
      <c r="D271" s="52"/>
      <c r="E271" s="52"/>
      <c r="F271" s="52"/>
      <c r="G271" s="52"/>
      <c r="H271" s="52"/>
      <c r="M271" s="21">
        <v>1</v>
      </c>
    </row>
    <row r="272" spans="2:13" ht="18">
      <c r="B272" s="52"/>
      <c r="C272" s="52"/>
      <c r="D272" s="52"/>
      <c r="E272" s="52"/>
      <c r="F272" s="52"/>
      <c r="G272" s="52"/>
      <c r="H272" s="52"/>
      <c r="M272" s="21">
        <v>1</v>
      </c>
    </row>
    <row r="273" spans="2:13" ht="18">
      <c r="B273" s="52"/>
      <c r="C273" s="52"/>
      <c r="D273" s="52"/>
      <c r="E273" s="52"/>
      <c r="F273" s="52"/>
      <c r="G273" s="52"/>
      <c r="H273" s="52"/>
      <c r="M273" s="21">
        <v>1</v>
      </c>
    </row>
    <row r="274" spans="2:13" ht="18">
      <c r="B274" s="52"/>
      <c r="C274" s="52"/>
      <c r="D274" s="52"/>
      <c r="E274" s="52"/>
      <c r="F274" s="52"/>
      <c r="G274" s="52"/>
      <c r="H274" s="52"/>
      <c r="M274" s="21">
        <v>1</v>
      </c>
    </row>
    <row r="275" spans="2:13" ht="18">
      <c r="B275" s="52"/>
      <c r="C275" s="52"/>
      <c r="D275" s="52"/>
      <c r="E275" s="52"/>
      <c r="F275" s="52"/>
      <c r="G275" s="52"/>
      <c r="H275" s="52"/>
      <c r="M275" s="21">
        <v>1</v>
      </c>
    </row>
    <row r="276" spans="2:13" ht="18">
      <c r="B276" s="52"/>
      <c r="C276" s="52"/>
      <c r="D276" s="52"/>
      <c r="E276" s="52"/>
      <c r="F276" s="52"/>
      <c r="G276" s="52"/>
      <c r="H276" s="52"/>
      <c r="M276" s="21">
        <v>1</v>
      </c>
    </row>
    <row r="277" spans="2:13" ht="18">
      <c r="B277" s="52"/>
      <c r="C277" s="52"/>
      <c r="D277" s="52"/>
      <c r="E277" s="52"/>
      <c r="F277" s="52"/>
      <c r="G277" s="52"/>
      <c r="H277" s="52"/>
      <c r="M277" s="21">
        <v>1</v>
      </c>
    </row>
    <row r="278" spans="2:13" ht="18">
      <c r="B278" s="52"/>
      <c r="C278" s="52"/>
      <c r="D278" s="52"/>
      <c r="E278" s="52"/>
      <c r="F278" s="52"/>
      <c r="G278" s="52"/>
      <c r="H278" s="52"/>
      <c r="M278" s="21">
        <v>1</v>
      </c>
    </row>
    <row r="279" spans="2:13" ht="18">
      <c r="B279" s="52"/>
      <c r="C279" s="52"/>
      <c r="D279" s="52"/>
      <c r="E279" s="52"/>
      <c r="F279" s="52"/>
      <c r="G279" s="52"/>
      <c r="H279" s="52"/>
      <c r="M279" s="21">
        <v>1</v>
      </c>
    </row>
    <row r="280" spans="2:13" ht="18">
      <c r="B280" s="52"/>
      <c r="C280" s="52"/>
      <c r="D280" s="52"/>
      <c r="E280" s="52"/>
      <c r="F280" s="52"/>
      <c r="G280" s="52"/>
      <c r="H280" s="52"/>
      <c r="M280" s="21">
        <v>1</v>
      </c>
    </row>
    <row r="281" spans="2:13" ht="18">
      <c r="B281" s="52"/>
      <c r="C281" s="52"/>
      <c r="D281" s="52"/>
      <c r="E281" s="52"/>
      <c r="F281" s="52"/>
      <c r="G281" s="52"/>
      <c r="H281" s="52"/>
      <c r="M281" s="21">
        <v>1</v>
      </c>
    </row>
    <row r="282" spans="2:13" ht="18">
      <c r="B282" s="52"/>
      <c r="C282" s="52"/>
      <c r="D282" s="52"/>
      <c r="E282" s="52"/>
      <c r="F282" s="52"/>
      <c r="G282" s="52"/>
      <c r="H282" s="52"/>
      <c r="M282" s="21">
        <v>1</v>
      </c>
    </row>
    <row r="283" spans="2:13" ht="18">
      <c r="B283" s="52"/>
      <c r="C283" s="52"/>
      <c r="D283" s="52"/>
      <c r="E283" s="52"/>
      <c r="F283" s="52"/>
      <c r="G283" s="52"/>
      <c r="H283" s="52"/>
      <c r="M283" s="21">
        <v>1</v>
      </c>
    </row>
    <row r="284" spans="2:13" ht="18">
      <c r="B284" s="52"/>
      <c r="C284" s="52"/>
      <c r="D284" s="52"/>
      <c r="E284" s="52"/>
      <c r="F284" s="52"/>
      <c r="G284" s="52"/>
      <c r="H284" s="52"/>
      <c r="M284" s="21">
        <v>1</v>
      </c>
    </row>
    <row r="285" spans="2:13" ht="18">
      <c r="B285" s="52"/>
      <c r="C285" s="52"/>
      <c r="D285" s="52"/>
      <c r="E285" s="52"/>
      <c r="F285" s="52"/>
      <c r="G285" s="52"/>
      <c r="H285" s="52"/>
      <c r="M285" s="21">
        <v>1</v>
      </c>
    </row>
    <row r="286" spans="2:13" ht="18">
      <c r="B286" s="52"/>
      <c r="C286" s="52"/>
      <c r="D286" s="52"/>
      <c r="E286" s="52"/>
      <c r="F286" s="52"/>
      <c r="G286" s="52"/>
      <c r="H286" s="52"/>
      <c r="M286" s="21">
        <v>1</v>
      </c>
    </row>
    <row r="287" spans="2:13" ht="18">
      <c r="B287" s="52"/>
      <c r="C287" s="52"/>
      <c r="D287" s="52"/>
      <c r="E287" s="52"/>
      <c r="F287" s="52"/>
      <c r="G287" s="52"/>
      <c r="H287" s="52"/>
      <c r="M287" s="21">
        <v>1</v>
      </c>
    </row>
    <row r="288" spans="2:13" ht="18">
      <c r="B288" s="52"/>
      <c r="C288" s="52"/>
      <c r="D288" s="52"/>
      <c r="E288" s="52"/>
      <c r="F288" s="52"/>
      <c r="G288" s="52"/>
      <c r="H288" s="52"/>
      <c r="M288" s="21">
        <v>1</v>
      </c>
    </row>
    <row r="289" spans="2:13" ht="27.75" thickBot="1">
      <c r="B289" s="27" t="s">
        <v>3</v>
      </c>
      <c r="C289" s="27" t="s">
        <v>3</v>
      </c>
      <c r="D289" s="27" t="s">
        <v>3</v>
      </c>
      <c r="E289" s="28" t="s">
        <v>3</v>
      </c>
      <c r="F289" s="28" t="s">
        <v>3</v>
      </c>
      <c r="G289" s="28" t="s">
        <v>3</v>
      </c>
      <c r="H289" s="28" t="s">
        <v>3</v>
      </c>
      <c r="M289" s="21" t="s">
        <v>3</v>
      </c>
    </row>
    <row r="290" spans="2:13" ht="13.5" thickTop="1"/>
  </sheetData>
  <sheetProtection sheet="1" objects="1" scenarios="1" selectLockedCells="1"/>
  <customSheetViews>
    <customSheetView guid="{E103CAA9-E8FB-4228-A076-3C3E3EEEC109}" showGridLines="0" showRowCol="0">
      <pane ySplit="7" topLeftCell="A9" activePane="bottomLeft" state="frozen"/>
      <selection pane="bottomLeft" activeCell="I3" sqref="I3"/>
      <pageMargins left="0.7" right="0.7" top="0.75" bottom="0.75" header="0.3" footer="0.3"/>
    </customSheetView>
    <customSheetView guid="{37EA6283-F051-4D0B-81C6-34EEB84CCDF0}" showGridLines="0" showRowCol="0">
      <pane ySplit="8" topLeftCell="A9" activePane="bottomLeft" state="frozen"/>
      <selection pane="bottomLeft" activeCell="I4" sqref="I4"/>
      <pageMargins left="0.7" right="0.7" top="0.75" bottom="0.75" header="0.3" footer="0.3"/>
    </customSheetView>
    <customSheetView guid="{A6A06E36-D96E-4193-B19F-8D7934C6230C}" showGridLines="0" showRowCol="0">
      <pane ySplit="8" topLeftCell="A9" activePane="bottomLeft" state="frozen"/>
      <selection pane="bottomLeft" activeCell="I3" sqref="I3"/>
      <pageMargins left="0.7" right="0.7" top="0.75" bottom="0.75" header="0.3" footer="0.3"/>
    </customSheetView>
  </customSheetViews>
  <mergeCells count="5">
    <mergeCell ref="N9:O9"/>
    <mergeCell ref="P8:R8"/>
    <mergeCell ref="S8:U8"/>
    <mergeCell ref="V8:X8"/>
    <mergeCell ref="Y8:AA8"/>
  </mergeCells>
  <dataValidations count="4">
    <dataValidation type="list" allowBlank="1" showDropDown="1" showInputMessage="1" showErrorMessage="1" sqref="D9:D288">
      <formula1>$O$10:$O$29</formula1>
    </dataValidation>
    <dataValidation type="list" allowBlank="1" showDropDown="1" showInputMessage="1" showErrorMessage="1" sqref="C9:C288">
      <formula1>$O$32:$O$45</formula1>
    </dataValidation>
    <dataValidation type="list" allowBlank="1" showDropDown="1" showInputMessage="1" showErrorMessage="1" sqref="B9:B288">
      <formula1>$C$6</formula1>
    </dataValidation>
    <dataValidation allowBlank="1" showInputMessage="1" showErrorMessage="1" errorTitle="Dato no valido" error="El valor esta fuera de rango [0,30] o No es un numero" sqref="E9:H288"/>
  </dataValidations>
  <hyperlinks>
    <hyperlink ref="I2" location="PPrincipal!A1" display="* Pagina Principal"/>
    <hyperlink ref="I3" location="Falcón!A1" display="Falcón"/>
    <hyperlink ref="I4" location="Lara!A1" display="Lara"/>
    <hyperlink ref="I5" location="Portuguesa!A1" display="Portuguesa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44"/>
  <sheetViews>
    <sheetView showGridLines="0" showRowColHeaders="0" workbookViewId="0">
      <selection activeCell="J4" sqref="J4"/>
    </sheetView>
  </sheetViews>
  <sheetFormatPr baseColWidth="10" defaultColWidth="15.7109375" defaultRowHeight="22.5" customHeight="1"/>
  <cols>
    <col min="1" max="16384" width="15.7109375" style="53"/>
  </cols>
  <sheetData>
    <row r="1" spans="1:11" ht="15" customHeight="1">
      <c r="J1" s="78"/>
    </row>
    <row r="2" spans="1:11" ht="15" customHeight="1">
      <c r="J2" s="80" t="s">
        <v>8</v>
      </c>
      <c r="K2" s="104"/>
    </row>
    <row r="3" spans="1:11" ht="15" customHeight="1">
      <c r="J3" s="80" t="s">
        <v>31</v>
      </c>
      <c r="K3" s="104"/>
    </row>
    <row r="4" spans="1:11" ht="15" customHeight="1">
      <c r="J4" s="80" t="s">
        <v>34</v>
      </c>
      <c r="K4" s="104"/>
    </row>
    <row r="5" spans="1:11" ht="15" customHeight="1">
      <c r="G5" s="56"/>
      <c r="J5" s="80" t="s">
        <v>78</v>
      </c>
      <c r="K5" s="104"/>
    </row>
    <row r="6" spans="1:11" ht="15" customHeight="1">
      <c r="A6" s="168" t="s">
        <v>40</v>
      </c>
      <c r="B6" s="168"/>
      <c r="C6" s="168"/>
      <c r="D6" s="168"/>
      <c r="E6" s="168"/>
      <c r="F6" s="168"/>
      <c r="J6" s="80"/>
    </row>
    <row r="25" spans="2:7" ht="22.5" customHeight="1">
      <c r="B25" s="168"/>
      <c r="C25" s="168"/>
      <c r="D25" s="168"/>
      <c r="E25" s="168"/>
      <c r="F25" s="168"/>
      <c r="G25" s="168"/>
    </row>
    <row r="44" spans="7:7" ht="22.5" customHeight="1">
      <c r="G44" s="56"/>
    </row>
  </sheetData>
  <customSheetViews>
    <customSheetView guid="{E103CAA9-E8FB-4228-A076-3C3E3EEEC109}" showGridLines="0" showRowCol="0">
      <selection activeCell="J4" sqref="J4"/>
      <pageMargins left="0.7" right="0.7" top="0.75" bottom="0.75" header="0.3" footer="0.3"/>
    </customSheetView>
    <customSheetView guid="{37EA6283-F051-4D0B-81C6-34EEB84CCDF0}" showGridLines="0" showRowCol="0">
      <selection activeCell="J4" sqref="J4"/>
      <pageMargins left="0.7" right="0.7" top="0.75" bottom="0.75" header="0.3" footer="0.3"/>
    </customSheetView>
    <customSheetView guid="{A6A06E36-D96E-4193-B19F-8D7934C6230C}" showGridLines="0" showRowCol="0">
      <selection activeCell="J4" sqref="J4"/>
      <pageMargins left="0.7" right="0.7" top="0.75" bottom="0.75" header="0.3" footer="0.3"/>
    </customSheetView>
  </customSheetViews>
  <mergeCells count="2">
    <mergeCell ref="A6:F6"/>
    <mergeCell ref="B25:G25"/>
  </mergeCells>
  <hyperlinks>
    <hyperlink ref="J2" location="PPrincipal!A1" display="* Pagina Principal"/>
    <hyperlink ref="J3" location="GFalcón!A1" display="Falcón"/>
    <hyperlink ref="J4" location="GLara!A1" display="Lara"/>
    <hyperlink ref="J5" location="GPortuguesa!A1" display="Portuguesa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J30"/>
  <sheetViews>
    <sheetView showGridLines="0" showRowColHeaders="0" workbookViewId="0">
      <selection activeCell="Y5" sqref="Y5"/>
    </sheetView>
  </sheetViews>
  <sheetFormatPr baseColWidth="10" defaultRowHeight="15" customHeight="1"/>
  <cols>
    <col min="1" max="1" width="0.85546875" style="67" customWidth="1"/>
    <col min="2" max="2" width="7.7109375" style="67" customWidth="1"/>
    <col min="3" max="13" width="5.5703125" style="67" customWidth="1"/>
    <col min="14" max="14" width="5.5703125" style="68" customWidth="1"/>
    <col min="15" max="22" width="5.5703125" style="67" customWidth="1"/>
    <col min="23" max="23" width="1" style="67" customWidth="1"/>
    <col min="24" max="24" width="13.7109375" style="67" customWidth="1"/>
    <col min="25" max="25" width="11.28515625" style="67" customWidth="1"/>
    <col min="26" max="26" width="13.140625" style="67" customWidth="1"/>
    <col min="27" max="27" width="11" style="67" customWidth="1"/>
    <col min="28" max="28" width="6.5703125" style="67" customWidth="1"/>
    <col min="29" max="44" width="5" style="67" customWidth="1"/>
    <col min="45" max="45" width="3.140625" style="67" customWidth="1"/>
    <col min="46" max="48" width="11.28515625" style="67" customWidth="1"/>
    <col min="49" max="16384" width="11.42578125" style="67"/>
  </cols>
  <sheetData>
    <row r="1" spans="1:36" ht="31.5" customHeight="1">
      <c r="B1" s="169" t="s">
        <v>41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</row>
    <row r="2" spans="1:36" ht="15" customHeight="1">
      <c r="X2" s="85"/>
      <c r="Y2" s="80" t="s">
        <v>8</v>
      </c>
      <c r="Z2" s="85"/>
      <c r="AA2" s="86"/>
      <c r="AB2" s="88"/>
    </row>
    <row r="3" spans="1:36" ht="15" customHeight="1">
      <c r="X3" s="85"/>
      <c r="Y3" s="80" t="s">
        <v>31</v>
      </c>
      <c r="AA3" s="86"/>
      <c r="AB3" s="88"/>
    </row>
    <row r="4" spans="1:36" ht="15" customHeight="1">
      <c r="X4" s="85"/>
      <c r="Y4" s="80" t="s">
        <v>34</v>
      </c>
      <c r="Z4" s="85"/>
      <c r="AA4" s="86"/>
      <c r="AB4" s="88"/>
    </row>
    <row r="5" spans="1:36" ht="15" customHeight="1">
      <c r="X5" s="85"/>
      <c r="Y5" s="80" t="s">
        <v>78</v>
      </c>
      <c r="Z5" s="85"/>
      <c r="AA5" s="86"/>
      <c r="AB5" s="88"/>
    </row>
    <row r="6" spans="1:36" s="1" customFormat="1" ht="15" customHeight="1" thickBot="1">
      <c r="A6" s="57"/>
      <c r="B6" s="64"/>
      <c r="C6" s="64"/>
      <c r="E6" s="64"/>
      <c r="F6" s="64"/>
      <c r="G6" s="64"/>
      <c r="H6" s="64"/>
      <c r="I6" s="64"/>
      <c r="J6" s="64"/>
      <c r="K6" s="64"/>
      <c r="L6" s="67"/>
      <c r="M6" s="67"/>
      <c r="N6" s="68"/>
      <c r="O6" s="67"/>
      <c r="P6" s="67"/>
      <c r="Q6" s="67"/>
      <c r="R6" s="67"/>
      <c r="S6" s="67"/>
      <c r="T6" s="67"/>
      <c r="U6" s="67"/>
      <c r="V6" s="67"/>
      <c r="W6" s="67"/>
      <c r="X6" s="67"/>
      <c r="Y6" s="80"/>
      <c r="Z6" s="67"/>
      <c r="AA6" s="67"/>
      <c r="AB6" s="67"/>
      <c r="AC6" s="67"/>
      <c r="AD6" s="67"/>
      <c r="AE6" s="67"/>
    </row>
    <row r="7" spans="1:36" s="65" customFormat="1" ht="15" customHeight="1">
      <c r="A7" s="58"/>
      <c r="B7" s="111" t="s">
        <v>0</v>
      </c>
      <c r="C7" s="81">
        <v>0.3125</v>
      </c>
      <c r="D7" s="82">
        <v>0.33333333333333298</v>
      </c>
      <c r="E7" s="82">
        <v>0.35416666666666702</v>
      </c>
      <c r="F7" s="82">
        <v>0.375</v>
      </c>
      <c r="G7" s="82">
        <v>0.39583333333333298</v>
      </c>
      <c r="H7" s="82">
        <v>0.41666666666666702</v>
      </c>
      <c r="I7" s="82">
        <v>0.4375</v>
      </c>
      <c r="J7" s="82">
        <v>0.45833333333333298</v>
      </c>
      <c r="K7" s="82">
        <v>0.47916666666666702</v>
      </c>
      <c r="L7" s="82">
        <v>0.5</v>
      </c>
      <c r="M7" s="82">
        <v>0.52083333333333304</v>
      </c>
      <c r="N7" s="82">
        <v>4.1666666666666664E-2</v>
      </c>
      <c r="O7" s="82">
        <v>6.25E-2</v>
      </c>
      <c r="P7" s="82">
        <v>8.3333333333333329E-2</v>
      </c>
      <c r="Q7" s="82">
        <v>0.104166666666667</v>
      </c>
      <c r="R7" s="82">
        <v>0.125</v>
      </c>
      <c r="S7" s="82">
        <v>0.14583333333333301</v>
      </c>
      <c r="T7" s="82">
        <v>0.16666666666666599</v>
      </c>
      <c r="U7" s="82">
        <v>0.187499999999999</v>
      </c>
      <c r="V7" s="83">
        <v>0.20833333333333201</v>
      </c>
      <c r="W7" s="67"/>
      <c r="X7" s="170" t="s">
        <v>7</v>
      </c>
      <c r="Y7" s="170" t="s">
        <v>69</v>
      </c>
      <c r="Z7" s="170" t="s">
        <v>70</v>
      </c>
      <c r="AA7" s="170" t="s">
        <v>71</v>
      </c>
      <c r="AB7" s="172" t="s">
        <v>4</v>
      </c>
    </row>
    <row r="8" spans="1:36" ht="15" customHeight="1" thickBot="1">
      <c r="B8" s="152" t="s">
        <v>2</v>
      </c>
      <c r="C8" s="140">
        <v>1</v>
      </c>
      <c r="D8" s="141">
        <v>2</v>
      </c>
      <c r="E8" s="141">
        <v>3</v>
      </c>
      <c r="F8" s="141">
        <v>4</v>
      </c>
      <c r="G8" s="141">
        <v>5</v>
      </c>
      <c r="H8" s="141">
        <v>6</v>
      </c>
      <c r="I8" s="141">
        <v>7</v>
      </c>
      <c r="J8" s="141">
        <v>8</v>
      </c>
      <c r="K8" s="141">
        <v>9</v>
      </c>
      <c r="L8" s="141">
        <v>10</v>
      </c>
      <c r="M8" s="141">
        <v>11</v>
      </c>
      <c r="N8" s="141">
        <v>12</v>
      </c>
      <c r="O8" s="141">
        <v>13</v>
      </c>
      <c r="P8" s="141">
        <v>14</v>
      </c>
      <c r="Q8" s="141">
        <v>15</v>
      </c>
      <c r="R8" s="141">
        <v>16</v>
      </c>
      <c r="S8" s="141">
        <v>17</v>
      </c>
      <c r="T8" s="141">
        <v>18</v>
      </c>
      <c r="U8" s="141">
        <v>19</v>
      </c>
      <c r="V8" s="142">
        <v>20</v>
      </c>
      <c r="X8" s="171"/>
      <c r="Y8" s="171" t="s">
        <v>14</v>
      </c>
      <c r="Z8" s="171" t="s">
        <v>15</v>
      </c>
      <c r="AA8" s="171" t="s">
        <v>16</v>
      </c>
      <c r="AB8" s="173" t="s">
        <v>4</v>
      </c>
      <c r="AE8" s="68"/>
      <c r="AF8" s="68"/>
      <c r="AG8" s="68"/>
      <c r="AH8" s="68"/>
      <c r="AI8" s="68"/>
      <c r="AJ8" s="68"/>
    </row>
    <row r="9" spans="1:36" ht="15" customHeight="1">
      <c r="B9" s="143">
        <v>84</v>
      </c>
      <c r="C9" s="144">
        <f t="shared" ref="C9:L18" si="0">SUMIFS(SumaYA,CentroYA,$B9,TurnoYA,C$8)</f>
        <v>0</v>
      </c>
      <c r="D9" s="144">
        <f t="shared" si="0"/>
        <v>0</v>
      </c>
      <c r="E9" s="144">
        <f t="shared" si="0"/>
        <v>0</v>
      </c>
      <c r="F9" s="144">
        <f t="shared" si="0"/>
        <v>0</v>
      </c>
      <c r="G9" s="144">
        <f t="shared" si="0"/>
        <v>0</v>
      </c>
      <c r="H9" s="144">
        <f t="shared" si="0"/>
        <v>0</v>
      </c>
      <c r="I9" s="144">
        <f t="shared" si="0"/>
        <v>0</v>
      </c>
      <c r="J9" s="144">
        <f t="shared" si="0"/>
        <v>0</v>
      </c>
      <c r="K9" s="144">
        <f t="shared" si="0"/>
        <v>0</v>
      </c>
      <c r="L9" s="144">
        <f t="shared" si="0"/>
        <v>0</v>
      </c>
      <c r="M9" s="144">
        <f t="shared" ref="M9:V18" si="1">SUMIFS(SumaYA,CentroYA,$B9,TurnoYA,M$8)</f>
        <v>0</v>
      </c>
      <c r="N9" s="144">
        <f t="shared" si="1"/>
        <v>0</v>
      </c>
      <c r="O9" s="144">
        <f t="shared" si="1"/>
        <v>0</v>
      </c>
      <c r="P9" s="144">
        <f t="shared" si="1"/>
        <v>0</v>
      </c>
      <c r="Q9" s="144">
        <f t="shared" si="1"/>
        <v>0</v>
      </c>
      <c r="R9" s="144">
        <f t="shared" si="1"/>
        <v>0</v>
      </c>
      <c r="S9" s="144">
        <f t="shared" si="1"/>
        <v>0</v>
      </c>
      <c r="T9" s="144">
        <f t="shared" si="1"/>
        <v>0</v>
      </c>
      <c r="U9" s="144">
        <f t="shared" si="1"/>
        <v>0</v>
      </c>
      <c r="V9" s="145">
        <f t="shared" si="1"/>
        <v>0</v>
      </c>
      <c r="X9" s="130" t="s">
        <v>73</v>
      </c>
      <c r="Y9" s="113">
        <f t="shared" ref="Y9:Y22" si="2">SUMIF(CentroYA,$B9,Julio_Leon)</f>
        <v>0</v>
      </c>
      <c r="Z9" s="113">
        <f t="shared" ref="Z9:Z22" si="3">SUMIF(CentroYA,$B9,Edward_Capdevielle)</f>
        <v>0</v>
      </c>
      <c r="AA9" s="113">
        <f t="shared" ref="AA9:AA22" si="4">SUMIF(CentroYA,$B9,Filippo_Lapi)</f>
        <v>0</v>
      </c>
      <c r="AB9" s="132">
        <f t="shared" ref="AB9:AB22" si="5">SUMIF(CentroYA,$B9,OtroYA)</f>
        <v>0</v>
      </c>
    </row>
    <row r="10" spans="1:36" ht="15" customHeight="1">
      <c r="B10" s="146">
        <v>85</v>
      </c>
      <c r="C10" s="71">
        <f t="shared" si="0"/>
        <v>1</v>
      </c>
      <c r="D10" s="71">
        <f t="shared" si="0"/>
        <v>1</v>
      </c>
      <c r="E10" s="71">
        <f t="shared" si="0"/>
        <v>1</v>
      </c>
      <c r="F10" s="71">
        <f t="shared" si="0"/>
        <v>0</v>
      </c>
      <c r="G10" s="71">
        <f t="shared" si="0"/>
        <v>0</v>
      </c>
      <c r="H10" s="71">
        <f t="shared" si="0"/>
        <v>0</v>
      </c>
      <c r="I10" s="71">
        <f t="shared" si="0"/>
        <v>0</v>
      </c>
      <c r="J10" s="71">
        <f t="shared" si="0"/>
        <v>0</v>
      </c>
      <c r="K10" s="71">
        <f t="shared" si="0"/>
        <v>0</v>
      </c>
      <c r="L10" s="71">
        <f t="shared" si="0"/>
        <v>0</v>
      </c>
      <c r="M10" s="71">
        <f t="shared" si="1"/>
        <v>0</v>
      </c>
      <c r="N10" s="71">
        <f t="shared" si="1"/>
        <v>0</v>
      </c>
      <c r="O10" s="71">
        <f t="shared" si="1"/>
        <v>0</v>
      </c>
      <c r="P10" s="71">
        <f t="shared" si="1"/>
        <v>0</v>
      </c>
      <c r="Q10" s="71">
        <f t="shared" si="1"/>
        <v>0</v>
      </c>
      <c r="R10" s="71">
        <f t="shared" si="1"/>
        <v>0</v>
      </c>
      <c r="S10" s="71">
        <f t="shared" si="1"/>
        <v>0</v>
      </c>
      <c r="T10" s="71">
        <f t="shared" si="1"/>
        <v>0</v>
      </c>
      <c r="U10" s="71">
        <f t="shared" si="1"/>
        <v>0</v>
      </c>
      <c r="V10" s="136">
        <f t="shared" si="1"/>
        <v>0</v>
      </c>
      <c r="X10" s="130" t="s">
        <v>73</v>
      </c>
      <c r="Y10" s="113">
        <f t="shared" si="2"/>
        <v>25</v>
      </c>
      <c r="Z10" s="113">
        <f t="shared" si="3"/>
        <v>5</v>
      </c>
      <c r="AA10" s="113">
        <f t="shared" si="4"/>
        <v>26</v>
      </c>
      <c r="AB10" s="132">
        <f t="shared" si="5"/>
        <v>1</v>
      </c>
    </row>
    <row r="11" spans="1:36" ht="15" customHeight="1">
      <c r="B11" s="146">
        <v>86</v>
      </c>
      <c r="C11" s="71">
        <f t="shared" si="0"/>
        <v>1</v>
      </c>
      <c r="D11" s="71">
        <f t="shared" si="0"/>
        <v>1</v>
      </c>
      <c r="E11" s="71">
        <f t="shared" si="0"/>
        <v>1</v>
      </c>
      <c r="F11" s="71">
        <f t="shared" si="0"/>
        <v>1</v>
      </c>
      <c r="G11" s="71">
        <f t="shared" si="0"/>
        <v>1</v>
      </c>
      <c r="H11" s="71">
        <f t="shared" si="0"/>
        <v>0</v>
      </c>
      <c r="I11" s="71">
        <f t="shared" si="0"/>
        <v>0</v>
      </c>
      <c r="J11" s="71">
        <f t="shared" si="0"/>
        <v>0</v>
      </c>
      <c r="K11" s="71">
        <f t="shared" si="0"/>
        <v>0</v>
      </c>
      <c r="L11" s="71">
        <f t="shared" si="0"/>
        <v>0</v>
      </c>
      <c r="M11" s="71">
        <f t="shared" si="1"/>
        <v>0</v>
      </c>
      <c r="N11" s="71">
        <f t="shared" si="1"/>
        <v>0</v>
      </c>
      <c r="O11" s="71">
        <f t="shared" si="1"/>
        <v>0</v>
      </c>
      <c r="P11" s="71">
        <f t="shared" si="1"/>
        <v>0</v>
      </c>
      <c r="Q11" s="71">
        <f t="shared" si="1"/>
        <v>0</v>
      </c>
      <c r="R11" s="71">
        <f t="shared" si="1"/>
        <v>0</v>
      </c>
      <c r="S11" s="71">
        <f t="shared" si="1"/>
        <v>0</v>
      </c>
      <c r="T11" s="71">
        <f t="shared" si="1"/>
        <v>0</v>
      </c>
      <c r="U11" s="71">
        <f t="shared" si="1"/>
        <v>0</v>
      </c>
      <c r="V11" s="136">
        <f t="shared" si="1"/>
        <v>0</v>
      </c>
      <c r="X11" s="130" t="s">
        <v>74</v>
      </c>
      <c r="Y11" s="113">
        <f t="shared" si="2"/>
        <v>45</v>
      </c>
      <c r="Z11" s="113">
        <f t="shared" si="3"/>
        <v>29</v>
      </c>
      <c r="AA11" s="113">
        <f t="shared" si="4"/>
        <v>10</v>
      </c>
      <c r="AB11" s="132">
        <f t="shared" si="5"/>
        <v>3</v>
      </c>
    </row>
    <row r="12" spans="1:36" ht="15" customHeight="1">
      <c r="B12" s="146">
        <v>87</v>
      </c>
      <c r="C12" s="71">
        <f t="shared" si="0"/>
        <v>1</v>
      </c>
      <c r="D12" s="71">
        <f t="shared" si="0"/>
        <v>1</v>
      </c>
      <c r="E12" s="71">
        <f t="shared" si="0"/>
        <v>1</v>
      </c>
      <c r="F12" s="71">
        <f t="shared" si="0"/>
        <v>1</v>
      </c>
      <c r="G12" s="71">
        <f t="shared" si="0"/>
        <v>1</v>
      </c>
      <c r="H12" s="71">
        <f t="shared" si="0"/>
        <v>1</v>
      </c>
      <c r="I12" s="71">
        <f t="shared" si="0"/>
        <v>1</v>
      </c>
      <c r="J12" s="71">
        <f t="shared" si="0"/>
        <v>0</v>
      </c>
      <c r="K12" s="71">
        <f t="shared" si="0"/>
        <v>0</v>
      </c>
      <c r="L12" s="71">
        <f t="shared" si="0"/>
        <v>0</v>
      </c>
      <c r="M12" s="71">
        <f t="shared" si="1"/>
        <v>0</v>
      </c>
      <c r="N12" s="71">
        <f t="shared" si="1"/>
        <v>0</v>
      </c>
      <c r="O12" s="71">
        <f t="shared" si="1"/>
        <v>0</v>
      </c>
      <c r="P12" s="71">
        <f t="shared" si="1"/>
        <v>0</v>
      </c>
      <c r="Q12" s="71">
        <f t="shared" si="1"/>
        <v>0</v>
      </c>
      <c r="R12" s="71">
        <f t="shared" si="1"/>
        <v>0</v>
      </c>
      <c r="S12" s="71">
        <f t="shared" si="1"/>
        <v>0</v>
      </c>
      <c r="T12" s="71">
        <f t="shared" si="1"/>
        <v>0</v>
      </c>
      <c r="U12" s="71">
        <f t="shared" si="1"/>
        <v>0</v>
      </c>
      <c r="V12" s="136">
        <f t="shared" si="1"/>
        <v>0</v>
      </c>
      <c r="X12" s="130" t="s">
        <v>74</v>
      </c>
      <c r="Y12" s="113">
        <f t="shared" si="2"/>
        <v>54</v>
      </c>
      <c r="Z12" s="113">
        <f t="shared" si="3"/>
        <v>51</v>
      </c>
      <c r="AA12" s="113">
        <f t="shared" si="4"/>
        <v>9</v>
      </c>
      <c r="AB12" s="132">
        <f t="shared" si="5"/>
        <v>5</v>
      </c>
    </row>
    <row r="13" spans="1:36" ht="15" customHeight="1">
      <c r="B13" s="146">
        <v>88</v>
      </c>
      <c r="C13" s="71">
        <f t="shared" si="0"/>
        <v>0</v>
      </c>
      <c r="D13" s="71">
        <f t="shared" si="0"/>
        <v>0</v>
      </c>
      <c r="E13" s="71">
        <f t="shared" si="0"/>
        <v>0</v>
      </c>
      <c r="F13" s="71">
        <f t="shared" si="0"/>
        <v>0</v>
      </c>
      <c r="G13" s="71">
        <f t="shared" si="0"/>
        <v>0</v>
      </c>
      <c r="H13" s="71">
        <f t="shared" si="0"/>
        <v>0</v>
      </c>
      <c r="I13" s="71">
        <f t="shared" si="0"/>
        <v>0</v>
      </c>
      <c r="J13" s="71">
        <f t="shared" si="0"/>
        <v>0</v>
      </c>
      <c r="K13" s="71">
        <f t="shared" si="0"/>
        <v>0</v>
      </c>
      <c r="L13" s="71">
        <f t="shared" si="0"/>
        <v>0</v>
      </c>
      <c r="M13" s="71">
        <f t="shared" si="1"/>
        <v>0</v>
      </c>
      <c r="N13" s="71">
        <f t="shared" si="1"/>
        <v>0</v>
      </c>
      <c r="O13" s="71">
        <f t="shared" si="1"/>
        <v>0</v>
      </c>
      <c r="P13" s="71">
        <f t="shared" si="1"/>
        <v>0</v>
      </c>
      <c r="Q13" s="71">
        <f t="shared" si="1"/>
        <v>0</v>
      </c>
      <c r="R13" s="71">
        <f t="shared" si="1"/>
        <v>0</v>
      </c>
      <c r="S13" s="71">
        <f t="shared" si="1"/>
        <v>0</v>
      </c>
      <c r="T13" s="71">
        <f t="shared" si="1"/>
        <v>0</v>
      </c>
      <c r="U13" s="71">
        <f t="shared" si="1"/>
        <v>0</v>
      </c>
      <c r="V13" s="136">
        <f t="shared" si="1"/>
        <v>0</v>
      </c>
      <c r="X13" s="130" t="s">
        <v>11</v>
      </c>
      <c r="Y13" s="113">
        <f t="shared" si="2"/>
        <v>0</v>
      </c>
      <c r="Z13" s="113">
        <f t="shared" si="3"/>
        <v>0</v>
      </c>
      <c r="AA13" s="113">
        <f t="shared" si="4"/>
        <v>0</v>
      </c>
      <c r="AB13" s="132">
        <f t="shared" si="5"/>
        <v>0</v>
      </c>
    </row>
    <row r="14" spans="1:36" ht="15" customHeight="1">
      <c r="B14" s="146">
        <v>89</v>
      </c>
      <c r="C14" s="71">
        <f t="shared" si="0"/>
        <v>0</v>
      </c>
      <c r="D14" s="71">
        <f t="shared" si="0"/>
        <v>0</v>
      </c>
      <c r="E14" s="71">
        <f t="shared" si="0"/>
        <v>0</v>
      </c>
      <c r="F14" s="71">
        <f t="shared" si="0"/>
        <v>0</v>
      </c>
      <c r="G14" s="71">
        <f t="shared" si="0"/>
        <v>0</v>
      </c>
      <c r="H14" s="71">
        <f t="shared" si="0"/>
        <v>0</v>
      </c>
      <c r="I14" s="71">
        <f t="shared" si="0"/>
        <v>0</v>
      </c>
      <c r="J14" s="71">
        <f t="shared" si="0"/>
        <v>0</v>
      </c>
      <c r="K14" s="71">
        <f t="shared" si="0"/>
        <v>0</v>
      </c>
      <c r="L14" s="71">
        <f t="shared" si="0"/>
        <v>0</v>
      </c>
      <c r="M14" s="71">
        <f t="shared" si="1"/>
        <v>0</v>
      </c>
      <c r="N14" s="71">
        <f t="shared" si="1"/>
        <v>0</v>
      </c>
      <c r="O14" s="71">
        <f t="shared" si="1"/>
        <v>0</v>
      </c>
      <c r="P14" s="71">
        <f t="shared" si="1"/>
        <v>0</v>
      </c>
      <c r="Q14" s="71">
        <f t="shared" si="1"/>
        <v>0</v>
      </c>
      <c r="R14" s="71">
        <f t="shared" si="1"/>
        <v>0</v>
      </c>
      <c r="S14" s="71">
        <f t="shared" si="1"/>
        <v>0</v>
      </c>
      <c r="T14" s="71">
        <f t="shared" si="1"/>
        <v>0</v>
      </c>
      <c r="U14" s="71">
        <f t="shared" si="1"/>
        <v>0</v>
      </c>
      <c r="V14" s="136">
        <f t="shared" si="1"/>
        <v>0</v>
      </c>
      <c r="X14" s="130" t="s">
        <v>11</v>
      </c>
      <c r="Y14" s="113">
        <f t="shared" si="2"/>
        <v>0</v>
      </c>
      <c r="Z14" s="113">
        <f t="shared" si="3"/>
        <v>0</v>
      </c>
      <c r="AA14" s="113">
        <f t="shared" si="4"/>
        <v>0</v>
      </c>
      <c r="AB14" s="132">
        <f t="shared" si="5"/>
        <v>0</v>
      </c>
    </row>
    <row r="15" spans="1:36" ht="15" customHeight="1">
      <c r="B15" s="146">
        <v>90</v>
      </c>
      <c r="C15" s="71">
        <f t="shared" si="0"/>
        <v>0</v>
      </c>
      <c r="D15" s="71">
        <f t="shared" si="0"/>
        <v>0</v>
      </c>
      <c r="E15" s="71">
        <f t="shared" si="0"/>
        <v>0</v>
      </c>
      <c r="F15" s="71">
        <f t="shared" si="0"/>
        <v>0</v>
      </c>
      <c r="G15" s="71">
        <f t="shared" si="0"/>
        <v>0</v>
      </c>
      <c r="H15" s="71">
        <f t="shared" si="0"/>
        <v>0</v>
      </c>
      <c r="I15" s="71">
        <f t="shared" si="0"/>
        <v>0</v>
      </c>
      <c r="J15" s="71">
        <f t="shared" si="0"/>
        <v>0</v>
      </c>
      <c r="K15" s="71">
        <f t="shared" si="0"/>
        <v>0</v>
      </c>
      <c r="L15" s="71">
        <f t="shared" si="0"/>
        <v>0</v>
      </c>
      <c r="M15" s="71">
        <f t="shared" si="1"/>
        <v>0</v>
      </c>
      <c r="N15" s="71">
        <f t="shared" si="1"/>
        <v>0</v>
      </c>
      <c r="O15" s="71">
        <f t="shared" si="1"/>
        <v>0</v>
      </c>
      <c r="P15" s="71">
        <f t="shared" si="1"/>
        <v>0</v>
      </c>
      <c r="Q15" s="71">
        <f t="shared" si="1"/>
        <v>0</v>
      </c>
      <c r="R15" s="71">
        <f t="shared" si="1"/>
        <v>0</v>
      </c>
      <c r="S15" s="71">
        <f t="shared" si="1"/>
        <v>0</v>
      </c>
      <c r="T15" s="71">
        <f t="shared" si="1"/>
        <v>0</v>
      </c>
      <c r="U15" s="71">
        <f t="shared" si="1"/>
        <v>0</v>
      </c>
      <c r="V15" s="136">
        <f t="shared" si="1"/>
        <v>0</v>
      </c>
      <c r="X15" s="130" t="s">
        <v>75</v>
      </c>
      <c r="Y15" s="113">
        <f t="shared" si="2"/>
        <v>0</v>
      </c>
      <c r="Z15" s="113">
        <f t="shared" si="3"/>
        <v>0</v>
      </c>
      <c r="AA15" s="113">
        <f t="shared" si="4"/>
        <v>0</v>
      </c>
      <c r="AB15" s="132">
        <f t="shared" si="5"/>
        <v>0</v>
      </c>
    </row>
    <row r="16" spans="1:36" ht="15" customHeight="1">
      <c r="B16" s="146">
        <v>91</v>
      </c>
      <c r="C16" s="71">
        <f t="shared" si="0"/>
        <v>0</v>
      </c>
      <c r="D16" s="71">
        <f t="shared" si="0"/>
        <v>0</v>
      </c>
      <c r="E16" s="71">
        <f t="shared" si="0"/>
        <v>0</v>
      </c>
      <c r="F16" s="71">
        <f t="shared" si="0"/>
        <v>0</v>
      </c>
      <c r="G16" s="71">
        <f t="shared" si="0"/>
        <v>0</v>
      </c>
      <c r="H16" s="71">
        <f t="shared" si="0"/>
        <v>0</v>
      </c>
      <c r="I16" s="71">
        <f t="shared" si="0"/>
        <v>0</v>
      </c>
      <c r="J16" s="71">
        <f t="shared" si="0"/>
        <v>0</v>
      </c>
      <c r="K16" s="71">
        <f t="shared" si="0"/>
        <v>0</v>
      </c>
      <c r="L16" s="71">
        <f t="shared" si="0"/>
        <v>0</v>
      </c>
      <c r="M16" s="71">
        <f t="shared" si="1"/>
        <v>0</v>
      </c>
      <c r="N16" s="71">
        <f t="shared" si="1"/>
        <v>0</v>
      </c>
      <c r="O16" s="71">
        <f t="shared" si="1"/>
        <v>0</v>
      </c>
      <c r="P16" s="71">
        <f t="shared" si="1"/>
        <v>0</v>
      </c>
      <c r="Q16" s="71">
        <f t="shared" si="1"/>
        <v>0</v>
      </c>
      <c r="R16" s="71">
        <f t="shared" si="1"/>
        <v>0</v>
      </c>
      <c r="S16" s="71">
        <f t="shared" si="1"/>
        <v>0</v>
      </c>
      <c r="T16" s="71">
        <f t="shared" si="1"/>
        <v>0</v>
      </c>
      <c r="U16" s="71">
        <f t="shared" si="1"/>
        <v>0</v>
      </c>
      <c r="V16" s="136">
        <f t="shared" si="1"/>
        <v>0</v>
      </c>
      <c r="X16" s="130" t="s">
        <v>75</v>
      </c>
      <c r="Y16" s="113">
        <f t="shared" si="2"/>
        <v>0</v>
      </c>
      <c r="Z16" s="113">
        <f t="shared" si="3"/>
        <v>0</v>
      </c>
      <c r="AA16" s="113">
        <f t="shared" si="4"/>
        <v>0</v>
      </c>
      <c r="AB16" s="132">
        <f t="shared" si="5"/>
        <v>0</v>
      </c>
    </row>
    <row r="17" spans="2:28" ht="15" customHeight="1">
      <c r="B17" s="146">
        <v>92</v>
      </c>
      <c r="C17" s="71">
        <f t="shared" si="0"/>
        <v>1</v>
      </c>
      <c r="D17" s="71">
        <f t="shared" si="0"/>
        <v>1</v>
      </c>
      <c r="E17" s="71">
        <f t="shared" si="0"/>
        <v>1</v>
      </c>
      <c r="F17" s="71">
        <f t="shared" si="0"/>
        <v>1</v>
      </c>
      <c r="G17" s="71">
        <f t="shared" si="0"/>
        <v>1</v>
      </c>
      <c r="H17" s="71">
        <f t="shared" si="0"/>
        <v>0</v>
      </c>
      <c r="I17" s="71">
        <f t="shared" si="0"/>
        <v>0</v>
      </c>
      <c r="J17" s="71">
        <f t="shared" si="0"/>
        <v>0</v>
      </c>
      <c r="K17" s="71">
        <f t="shared" si="0"/>
        <v>0</v>
      </c>
      <c r="L17" s="71">
        <f t="shared" si="0"/>
        <v>0</v>
      </c>
      <c r="M17" s="71">
        <f t="shared" si="1"/>
        <v>0</v>
      </c>
      <c r="N17" s="71">
        <f t="shared" si="1"/>
        <v>0</v>
      </c>
      <c r="O17" s="71">
        <f t="shared" si="1"/>
        <v>0</v>
      </c>
      <c r="P17" s="71">
        <f t="shared" si="1"/>
        <v>0</v>
      </c>
      <c r="Q17" s="71">
        <f t="shared" si="1"/>
        <v>0</v>
      </c>
      <c r="R17" s="71">
        <f t="shared" si="1"/>
        <v>0</v>
      </c>
      <c r="S17" s="71">
        <f t="shared" si="1"/>
        <v>0</v>
      </c>
      <c r="T17" s="71">
        <f t="shared" si="1"/>
        <v>0</v>
      </c>
      <c r="U17" s="71">
        <f t="shared" si="1"/>
        <v>0</v>
      </c>
      <c r="V17" s="136">
        <f t="shared" si="1"/>
        <v>0</v>
      </c>
      <c r="X17" s="130" t="s">
        <v>76</v>
      </c>
      <c r="Y17" s="113">
        <f t="shared" si="2"/>
        <v>43</v>
      </c>
      <c r="Z17" s="113">
        <f t="shared" si="3"/>
        <v>24</v>
      </c>
      <c r="AA17" s="113">
        <f t="shared" si="4"/>
        <v>39</v>
      </c>
      <c r="AB17" s="132">
        <f t="shared" si="5"/>
        <v>11</v>
      </c>
    </row>
    <row r="18" spans="2:28" ht="15" customHeight="1">
      <c r="B18" s="146">
        <v>93</v>
      </c>
      <c r="C18" s="71">
        <f t="shared" si="0"/>
        <v>0</v>
      </c>
      <c r="D18" s="71">
        <f t="shared" si="0"/>
        <v>0</v>
      </c>
      <c r="E18" s="71">
        <f t="shared" si="0"/>
        <v>0</v>
      </c>
      <c r="F18" s="71">
        <f t="shared" si="0"/>
        <v>0</v>
      </c>
      <c r="G18" s="71">
        <f t="shared" si="0"/>
        <v>0</v>
      </c>
      <c r="H18" s="71">
        <f t="shared" si="0"/>
        <v>0</v>
      </c>
      <c r="I18" s="71">
        <f t="shared" si="0"/>
        <v>0</v>
      </c>
      <c r="J18" s="71">
        <f t="shared" si="0"/>
        <v>0</v>
      </c>
      <c r="K18" s="71">
        <f t="shared" si="0"/>
        <v>0</v>
      </c>
      <c r="L18" s="71">
        <f t="shared" si="0"/>
        <v>0</v>
      </c>
      <c r="M18" s="71">
        <f t="shared" si="1"/>
        <v>0</v>
      </c>
      <c r="N18" s="71">
        <f t="shared" si="1"/>
        <v>0</v>
      </c>
      <c r="O18" s="71">
        <f t="shared" si="1"/>
        <v>0</v>
      </c>
      <c r="P18" s="71">
        <f t="shared" si="1"/>
        <v>0</v>
      </c>
      <c r="Q18" s="71">
        <f t="shared" si="1"/>
        <v>0</v>
      </c>
      <c r="R18" s="71">
        <f t="shared" si="1"/>
        <v>0</v>
      </c>
      <c r="S18" s="71">
        <f t="shared" si="1"/>
        <v>0</v>
      </c>
      <c r="T18" s="71">
        <f t="shared" si="1"/>
        <v>0</v>
      </c>
      <c r="U18" s="71">
        <f t="shared" si="1"/>
        <v>0</v>
      </c>
      <c r="V18" s="136">
        <f t="shared" si="1"/>
        <v>0</v>
      </c>
      <c r="X18" s="130" t="s">
        <v>76</v>
      </c>
      <c r="Y18" s="113">
        <f t="shared" si="2"/>
        <v>0</v>
      </c>
      <c r="Z18" s="113">
        <f t="shared" si="3"/>
        <v>0</v>
      </c>
      <c r="AA18" s="113">
        <f t="shared" si="4"/>
        <v>0</v>
      </c>
      <c r="AB18" s="132">
        <f t="shared" si="5"/>
        <v>0</v>
      </c>
    </row>
    <row r="19" spans="2:28" ht="15" customHeight="1">
      <c r="B19" s="146">
        <v>94</v>
      </c>
      <c r="C19" s="71">
        <f t="shared" ref="C19:L22" si="6">SUMIFS(SumaYA,CentroYA,$B19,TurnoYA,C$8)</f>
        <v>0</v>
      </c>
      <c r="D19" s="71">
        <f t="shared" si="6"/>
        <v>0</v>
      </c>
      <c r="E19" s="71">
        <f t="shared" si="6"/>
        <v>0</v>
      </c>
      <c r="F19" s="71">
        <f t="shared" si="6"/>
        <v>0</v>
      </c>
      <c r="G19" s="71">
        <f t="shared" si="6"/>
        <v>0</v>
      </c>
      <c r="H19" s="71">
        <f t="shared" si="6"/>
        <v>0</v>
      </c>
      <c r="I19" s="71">
        <f t="shared" si="6"/>
        <v>0</v>
      </c>
      <c r="J19" s="71">
        <f t="shared" si="6"/>
        <v>0</v>
      </c>
      <c r="K19" s="71">
        <f t="shared" si="6"/>
        <v>0</v>
      </c>
      <c r="L19" s="71">
        <f t="shared" si="6"/>
        <v>0</v>
      </c>
      <c r="M19" s="71">
        <f t="shared" ref="M19:V22" si="7">SUMIFS(SumaYA,CentroYA,$B19,TurnoYA,M$8)</f>
        <v>0</v>
      </c>
      <c r="N19" s="71">
        <f t="shared" si="7"/>
        <v>0</v>
      </c>
      <c r="O19" s="71">
        <f t="shared" si="7"/>
        <v>0</v>
      </c>
      <c r="P19" s="71">
        <f t="shared" si="7"/>
        <v>0</v>
      </c>
      <c r="Q19" s="71">
        <f t="shared" si="7"/>
        <v>0</v>
      </c>
      <c r="R19" s="71">
        <f t="shared" si="7"/>
        <v>0</v>
      </c>
      <c r="S19" s="71">
        <f t="shared" si="7"/>
        <v>0</v>
      </c>
      <c r="T19" s="71">
        <f t="shared" si="7"/>
        <v>0</v>
      </c>
      <c r="U19" s="71">
        <f t="shared" si="7"/>
        <v>0</v>
      </c>
      <c r="V19" s="136">
        <f t="shared" si="7"/>
        <v>0</v>
      </c>
      <c r="X19" s="130" t="s">
        <v>76</v>
      </c>
      <c r="Y19" s="113">
        <f t="shared" si="2"/>
        <v>0</v>
      </c>
      <c r="Z19" s="113">
        <f t="shared" si="3"/>
        <v>0</v>
      </c>
      <c r="AA19" s="113">
        <f t="shared" si="4"/>
        <v>0</v>
      </c>
      <c r="AB19" s="132">
        <f t="shared" si="5"/>
        <v>0</v>
      </c>
    </row>
    <row r="20" spans="2:28" ht="15" customHeight="1">
      <c r="B20" s="146">
        <v>95</v>
      </c>
      <c r="C20" s="71">
        <f t="shared" si="6"/>
        <v>1</v>
      </c>
      <c r="D20" s="71">
        <f t="shared" si="6"/>
        <v>0</v>
      </c>
      <c r="E20" s="71">
        <f t="shared" si="6"/>
        <v>0</v>
      </c>
      <c r="F20" s="71">
        <f t="shared" si="6"/>
        <v>0</v>
      </c>
      <c r="G20" s="71">
        <f t="shared" si="6"/>
        <v>0</v>
      </c>
      <c r="H20" s="71">
        <f t="shared" si="6"/>
        <v>0</v>
      </c>
      <c r="I20" s="71">
        <f t="shared" si="6"/>
        <v>0</v>
      </c>
      <c r="J20" s="71">
        <f t="shared" si="6"/>
        <v>1</v>
      </c>
      <c r="K20" s="71">
        <f t="shared" si="6"/>
        <v>0</v>
      </c>
      <c r="L20" s="71">
        <f t="shared" si="6"/>
        <v>0</v>
      </c>
      <c r="M20" s="71">
        <f t="shared" si="7"/>
        <v>0</v>
      </c>
      <c r="N20" s="71">
        <f t="shared" si="7"/>
        <v>0</v>
      </c>
      <c r="O20" s="71">
        <f t="shared" si="7"/>
        <v>0</v>
      </c>
      <c r="P20" s="71">
        <f t="shared" si="7"/>
        <v>0</v>
      </c>
      <c r="Q20" s="71">
        <f t="shared" si="7"/>
        <v>0</v>
      </c>
      <c r="R20" s="71">
        <f t="shared" si="7"/>
        <v>0</v>
      </c>
      <c r="S20" s="71">
        <f t="shared" si="7"/>
        <v>0</v>
      </c>
      <c r="T20" s="71">
        <f t="shared" si="7"/>
        <v>0</v>
      </c>
      <c r="U20" s="71">
        <f t="shared" si="7"/>
        <v>0</v>
      </c>
      <c r="V20" s="136">
        <f t="shared" si="7"/>
        <v>0</v>
      </c>
      <c r="X20" s="130" t="s">
        <v>77</v>
      </c>
      <c r="Y20" s="113">
        <f t="shared" si="2"/>
        <v>27</v>
      </c>
      <c r="Z20" s="113">
        <f t="shared" si="3"/>
        <v>14</v>
      </c>
      <c r="AA20" s="113">
        <f t="shared" si="4"/>
        <v>8</v>
      </c>
      <c r="AB20" s="132">
        <f t="shared" si="5"/>
        <v>1</v>
      </c>
    </row>
    <row r="21" spans="2:28" ht="15" customHeight="1">
      <c r="B21" s="146">
        <v>96</v>
      </c>
      <c r="C21" s="71">
        <f t="shared" si="6"/>
        <v>1</v>
      </c>
      <c r="D21" s="71">
        <f t="shared" si="6"/>
        <v>1</v>
      </c>
      <c r="E21" s="71">
        <f t="shared" si="6"/>
        <v>1</v>
      </c>
      <c r="F21" s="71">
        <f t="shared" si="6"/>
        <v>1</v>
      </c>
      <c r="G21" s="71">
        <f t="shared" si="6"/>
        <v>1</v>
      </c>
      <c r="H21" s="71">
        <f t="shared" si="6"/>
        <v>0</v>
      </c>
      <c r="I21" s="71">
        <f t="shared" si="6"/>
        <v>0</v>
      </c>
      <c r="J21" s="71">
        <f t="shared" si="6"/>
        <v>1</v>
      </c>
      <c r="K21" s="71">
        <f t="shared" si="6"/>
        <v>0</v>
      </c>
      <c r="L21" s="71">
        <f t="shared" si="6"/>
        <v>1</v>
      </c>
      <c r="M21" s="71">
        <f t="shared" si="7"/>
        <v>1</v>
      </c>
      <c r="N21" s="71">
        <f t="shared" si="7"/>
        <v>0</v>
      </c>
      <c r="O21" s="71">
        <f t="shared" si="7"/>
        <v>0</v>
      </c>
      <c r="P21" s="71">
        <f t="shared" si="7"/>
        <v>0</v>
      </c>
      <c r="Q21" s="71">
        <f t="shared" si="7"/>
        <v>0</v>
      </c>
      <c r="R21" s="71">
        <f t="shared" si="7"/>
        <v>0</v>
      </c>
      <c r="S21" s="71">
        <f t="shared" si="7"/>
        <v>0</v>
      </c>
      <c r="T21" s="71">
        <f t="shared" si="7"/>
        <v>0</v>
      </c>
      <c r="U21" s="71">
        <f t="shared" si="7"/>
        <v>0</v>
      </c>
      <c r="V21" s="136">
        <f t="shared" si="7"/>
        <v>0</v>
      </c>
      <c r="X21" s="130" t="s">
        <v>77</v>
      </c>
      <c r="Y21" s="113">
        <f t="shared" si="2"/>
        <v>16</v>
      </c>
      <c r="Z21" s="113">
        <f t="shared" si="3"/>
        <v>14</v>
      </c>
      <c r="AA21" s="113">
        <f t="shared" si="4"/>
        <v>13</v>
      </c>
      <c r="AB21" s="132">
        <f t="shared" si="5"/>
        <v>4</v>
      </c>
    </row>
    <row r="22" spans="2:28" ht="15" customHeight="1" thickBot="1">
      <c r="B22" s="147">
        <v>97</v>
      </c>
      <c r="C22" s="137">
        <f t="shared" si="6"/>
        <v>1</v>
      </c>
      <c r="D22" s="137">
        <f t="shared" si="6"/>
        <v>1</v>
      </c>
      <c r="E22" s="137">
        <f t="shared" si="6"/>
        <v>1</v>
      </c>
      <c r="F22" s="137">
        <f t="shared" si="6"/>
        <v>1</v>
      </c>
      <c r="G22" s="137">
        <f t="shared" si="6"/>
        <v>3</v>
      </c>
      <c r="H22" s="137">
        <f t="shared" si="6"/>
        <v>3</v>
      </c>
      <c r="I22" s="137">
        <f t="shared" si="6"/>
        <v>2</v>
      </c>
      <c r="J22" s="137">
        <f t="shared" si="6"/>
        <v>2</v>
      </c>
      <c r="K22" s="137">
        <f t="shared" si="6"/>
        <v>1</v>
      </c>
      <c r="L22" s="137">
        <f t="shared" si="6"/>
        <v>1</v>
      </c>
      <c r="M22" s="137">
        <f t="shared" si="7"/>
        <v>1</v>
      </c>
      <c r="N22" s="137">
        <f t="shared" si="7"/>
        <v>1</v>
      </c>
      <c r="O22" s="137">
        <f t="shared" si="7"/>
        <v>0</v>
      </c>
      <c r="P22" s="137">
        <f t="shared" si="7"/>
        <v>0</v>
      </c>
      <c r="Q22" s="137">
        <f t="shared" si="7"/>
        <v>0</v>
      </c>
      <c r="R22" s="137">
        <f t="shared" si="7"/>
        <v>0</v>
      </c>
      <c r="S22" s="137">
        <f t="shared" si="7"/>
        <v>0</v>
      </c>
      <c r="T22" s="137">
        <f t="shared" si="7"/>
        <v>0</v>
      </c>
      <c r="U22" s="137">
        <f t="shared" si="7"/>
        <v>0</v>
      </c>
      <c r="V22" s="138">
        <f t="shared" si="7"/>
        <v>0</v>
      </c>
      <c r="X22" s="130" t="s">
        <v>77</v>
      </c>
      <c r="Y22" s="113">
        <f t="shared" si="2"/>
        <v>332</v>
      </c>
      <c r="Z22" s="113">
        <f t="shared" si="3"/>
        <v>281</v>
      </c>
      <c r="AA22" s="113">
        <f t="shared" si="4"/>
        <v>211</v>
      </c>
      <c r="AB22" s="132">
        <f t="shared" si="5"/>
        <v>20</v>
      </c>
    </row>
    <row r="24" spans="2:28" ht="15" customHeight="1" thickBot="1"/>
    <row r="25" spans="2:28" ht="15" customHeight="1">
      <c r="X25" s="133" t="s">
        <v>73</v>
      </c>
      <c r="Y25" s="105">
        <f t="shared" ref="Y25:AB30" si="8">SUMIF(MunicipioYA,$X25,Y$9:Y$22)</f>
        <v>25</v>
      </c>
      <c r="Z25" s="105">
        <f t="shared" si="8"/>
        <v>5</v>
      </c>
      <c r="AA25" s="105">
        <f t="shared" si="8"/>
        <v>26</v>
      </c>
      <c r="AB25" s="106">
        <f t="shared" si="8"/>
        <v>1</v>
      </c>
    </row>
    <row r="26" spans="2:28" ht="15" customHeight="1">
      <c r="X26" s="130" t="s">
        <v>74</v>
      </c>
      <c r="Y26" s="69">
        <f t="shared" si="8"/>
        <v>99</v>
      </c>
      <c r="Z26" s="69">
        <f t="shared" si="8"/>
        <v>80</v>
      </c>
      <c r="AA26" s="69">
        <f t="shared" si="8"/>
        <v>19</v>
      </c>
      <c r="AB26" s="84">
        <f t="shared" si="8"/>
        <v>8</v>
      </c>
    </row>
    <row r="27" spans="2:28" ht="15" customHeight="1">
      <c r="X27" s="130" t="s">
        <v>11</v>
      </c>
      <c r="Y27" s="69">
        <f t="shared" si="8"/>
        <v>0</v>
      </c>
      <c r="Z27" s="69">
        <f t="shared" si="8"/>
        <v>0</v>
      </c>
      <c r="AA27" s="69">
        <f t="shared" si="8"/>
        <v>0</v>
      </c>
      <c r="AB27" s="84">
        <f t="shared" si="8"/>
        <v>0</v>
      </c>
    </row>
    <row r="28" spans="2:28" ht="15" customHeight="1">
      <c r="X28" s="130" t="s">
        <v>75</v>
      </c>
      <c r="Y28" s="69">
        <f t="shared" si="8"/>
        <v>0</v>
      </c>
      <c r="Z28" s="69">
        <f t="shared" si="8"/>
        <v>0</v>
      </c>
      <c r="AA28" s="69">
        <f t="shared" si="8"/>
        <v>0</v>
      </c>
      <c r="AB28" s="84">
        <f t="shared" si="8"/>
        <v>0</v>
      </c>
    </row>
    <row r="29" spans="2:28" ht="15" customHeight="1">
      <c r="X29" s="130" t="s">
        <v>76</v>
      </c>
      <c r="Y29" s="69">
        <f t="shared" si="8"/>
        <v>43</v>
      </c>
      <c r="Z29" s="69">
        <f t="shared" si="8"/>
        <v>24</v>
      </c>
      <c r="AA29" s="69">
        <f t="shared" si="8"/>
        <v>39</v>
      </c>
      <c r="AB29" s="84">
        <f t="shared" si="8"/>
        <v>11</v>
      </c>
    </row>
    <row r="30" spans="2:28" ht="15" customHeight="1" thickBot="1">
      <c r="X30" s="131" t="s">
        <v>77</v>
      </c>
      <c r="Y30" s="90">
        <f t="shared" si="8"/>
        <v>375</v>
      </c>
      <c r="Z30" s="90">
        <f t="shared" si="8"/>
        <v>309</v>
      </c>
      <c r="AA30" s="90">
        <f t="shared" si="8"/>
        <v>232</v>
      </c>
      <c r="AB30" s="91">
        <f t="shared" si="8"/>
        <v>25</v>
      </c>
    </row>
  </sheetData>
  <customSheetViews>
    <customSheetView guid="{E103CAA9-E8FB-4228-A076-3C3E3EEEC109}" showGridLines="0" showRowCol="0">
      <selection activeCell="Y3" sqref="Y3"/>
      <pageMargins left="0.7" right="0.7" top="0.75" bottom="0.75" header="0.3" footer="0.3"/>
    </customSheetView>
    <customSheetView guid="{37EA6283-F051-4D0B-81C6-34EEB84CCDF0}" showGridLines="0" showRowCol="0">
      <selection activeCell="Y5" sqref="Y5"/>
      <pageMargins left="0.7" right="0.7" top="0.75" bottom="0.75" header="0.3" footer="0.3"/>
    </customSheetView>
    <customSheetView guid="{A6A06E36-D96E-4193-B19F-8D7934C6230C}" showGridLines="0" showRowCol="0">
      <selection activeCell="Y5" sqref="Y5"/>
      <pageMargins left="0.7" right="0.7" top="0.75" bottom="0.75" header="0.3" footer="0.3"/>
    </customSheetView>
  </customSheetViews>
  <mergeCells count="6">
    <mergeCell ref="AA7:AA8"/>
    <mergeCell ref="AB7:AB8"/>
    <mergeCell ref="B1:V1"/>
    <mergeCell ref="X7:X8"/>
    <mergeCell ref="Y7:Y8"/>
    <mergeCell ref="Z7:Z8"/>
  </mergeCells>
  <conditionalFormatting sqref="C8:V8 B6:C6 E6:K6">
    <cfRule type="cellIs" dxfId="5" priority="4" stopIfTrue="1" operator="equal">
      <formula>"F"</formula>
    </cfRule>
    <cfRule type="cellIs" dxfId="4" priority="5" stopIfTrue="1" operator="equal">
      <formula>"C"</formula>
    </cfRule>
    <cfRule type="cellIs" dxfId="3" priority="6" stopIfTrue="1" operator="equal">
      <formula>"C"</formula>
    </cfRule>
  </conditionalFormatting>
  <conditionalFormatting sqref="C9:V22">
    <cfRule type="cellIs" dxfId="2" priority="1" stopIfTrue="1" operator="equal">
      <formula>0</formula>
    </cfRule>
    <cfRule type="cellIs" dxfId="1" priority="2" stopIfTrue="1" operator="equal">
      <formula>1</formula>
    </cfRule>
    <cfRule type="cellIs" dxfId="0" priority="3" stopIfTrue="1" operator="greaterThan">
      <formula>1</formula>
    </cfRule>
  </conditionalFormatting>
  <hyperlinks>
    <hyperlink ref="Y2" location="PPrincipal!A1" display="* Pagina Principal"/>
    <hyperlink ref="Y3" location="CFalcón!A1" display="Falcón"/>
    <hyperlink ref="Y4" location="CLara!A1" display="Lara"/>
    <hyperlink ref="Y5" location="CPortuguesa!A1" display="Portuguesa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30</vt:i4>
      </vt:variant>
    </vt:vector>
  </HeadingPairs>
  <TitlesOfParts>
    <vt:vector size="43" baseType="lpstr">
      <vt:lpstr>PPrincipal</vt:lpstr>
      <vt:lpstr>Falcón</vt:lpstr>
      <vt:lpstr>GFalcón</vt:lpstr>
      <vt:lpstr>CFalcón</vt:lpstr>
      <vt:lpstr>Lara</vt:lpstr>
      <vt:lpstr>GLara</vt:lpstr>
      <vt:lpstr>CLara</vt:lpstr>
      <vt:lpstr>Portuguesa</vt:lpstr>
      <vt:lpstr>GPortuguesa</vt:lpstr>
      <vt:lpstr>CPortuguesa</vt:lpstr>
      <vt:lpstr>Yaracuy</vt:lpstr>
      <vt:lpstr>GYaracuy</vt:lpstr>
      <vt:lpstr>CYaracuy</vt:lpstr>
      <vt:lpstr>Bella_Petrizzo</vt:lpstr>
      <vt:lpstr>CentroFA</vt:lpstr>
      <vt:lpstr>CentroLA</vt:lpstr>
      <vt:lpstr>CentroPO</vt:lpstr>
      <vt:lpstr>CentroYA</vt:lpstr>
      <vt:lpstr>Edward_Capdevielle</vt:lpstr>
      <vt:lpstr>Filippo_Lapi</vt:lpstr>
      <vt:lpstr>Gregorio_Graterol</vt:lpstr>
      <vt:lpstr>Henri_Falcon</vt:lpstr>
      <vt:lpstr>Jobito_Villegas</vt:lpstr>
      <vt:lpstr>Julio_Leon</vt:lpstr>
      <vt:lpstr>MunicipioLA</vt:lpstr>
      <vt:lpstr>MunicipiosFA</vt:lpstr>
      <vt:lpstr>MunicipiosPO</vt:lpstr>
      <vt:lpstr>MunicipioYA</vt:lpstr>
      <vt:lpstr>OtroFA</vt:lpstr>
      <vt:lpstr>OtroLA</vt:lpstr>
      <vt:lpstr>OtroPO</vt:lpstr>
      <vt:lpstr>OtroYA</vt:lpstr>
      <vt:lpstr>Pedro_Pablo_Alcantara</vt:lpstr>
      <vt:lpstr>Stella_Lugo</vt:lpstr>
      <vt:lpstr>SumaFA</vt:lpstr>
      <vt:lpstr>SumaLA</vt:lpstr>
      <vt:lpstr>SumaPO</vt:lpstr>
      <vt:lpstr>SumaYA</vt:lpstr>
      <vt:lpstr>TurnoFA</vt:lpstr>
      <vt:lpstr>TurnoLA</vt:lpstr>
      <vt:lpstr>TurnoPO</vt:lpstr>
      <vt:lpstr>TurnoYA</vt:lpstr>
      <vt:lpstr>Wilmar_Castro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Usuario</cp:lastModifiedBy>
  <cp:lastPrinted>2008-11-15T23:58:31Z</cp:lastPrinted>
  <dcterms:created xsi:type="dcterms:W3CDTF">2007-11-27T23:12:28Z</dcterms:created>
  <dcterms:modified xsi:type="dcterms:W3CDTF">2008-11-23T06:18:35Z</dcterms:modified>
</cp:coreProperties>
</file>