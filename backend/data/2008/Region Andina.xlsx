
<file path=[Content_Types].xml><?xml version="1.0" encoding="utf-8"?>
<Types xmlns="http://schemas.openxmlformats.org/package/2006/content-types"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revisions/revisionLog49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78.xml" ContentType="application/vnd.openxmlformats-officedocument.spreadsheetml.revisionLog+xml"/>
  <Override PartName="/xl/worksheets/sheet7.xml" ContentType="application/vnd.openxmlformats-officedocument.spreadsheetml.worksheet+xml"/>
  <Override PartName="/xl/revisions/revisionLog8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38.xml" ContentType="application/vnd.openxmlformats-officedocument.spreadsheetml.revisionLog+xml"/>
  <Default Extension="xml" ContentType="application/xml"/>
  <Override PartName="/xl/drawings/drawing2.xml" ContentType="application/vnd.openxmlformats-officedocument.drawing+xml"/>
  <Override PartName="/xl/revisions/revisionLog16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74.xml" ContentType="application/vnd.openxmlformats-officedocument.spreadsheetml.revisionLog+xml"/>
  <Override PartName="/xl/worksheets/sheet3.xml" ContentType="application/vnd.openxmlformats-officedocument.spreadsheetml.worksheet+xml"/>
  <Override PartName="/xl/revisions/revisionLog23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211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41.xml" ContentType="application/vnd.openxmlformats-officedocument.spreadsheetml.revisionLog+xml"/>
  <Override PartName="/xl/sharedStrings.xml" ContentType="application/vnd.openxmlformats-officedocument.spreadsheetml.sharedStrings+xml"/>
  <Override PartName="/xl/revisions/revisionLog5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11111.xml" ContentType="application/vnd.openxmlformats-officedocument.spreadsheetml.revisionLog+xml"/>
  <Default Extension="bin" ContentType="application/vnd.openxmlformats-officedocument.spreadsheetml.printerSettings"/>
  <Default Extension="png" ContentType="image/png"/>
  <Override PartName="/xl/charts/chart7.xml" ContentType="application/vnd.openxmlformats-officedocument.drawingml.chart+xml"/>
  <Override PartName="/xl/revisions/revisionLog1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111.xml" ContentType="application/vnd.openxmlformats-officedocument.spreadsheetml.revisionLo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revisions/revisionLog39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59.xml" ContentType="application/vnd.openxmlformats-officedocument.spreadsheetml.revisionLo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revisions/revisionLog57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1411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4.xml" ContentType="application/vnd.openxmlformats-officedocument.spreadsheetml.revisionLo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revisions/revisionLog44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64.xml" ContentType="application/vnd.openxmlformats-officedocument.spreadsheetml.revisionLog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15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8.xml" ContentType="application/vnd.openxmlformats-officedocument.spreadsheetml.revisionLog+xml"/>
  <Override PartName="/xl/calcChain.xml" ContentType="application/vnd.openxmlformats-officedocument.spreadsheetml.calcChain+xml"/>
  <Override PartName="/xl/revisions/revisionLog13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20.xml" ContentType="application/vnd.openxmlformats-officedocument.spreadsheetml.revisionLog+xml"/>
  <Override PartName="/xl/charts/chart8.xml" ContentType="application/vnd.openxmlformats-officedocument.drawingml.chart+xml"/>
  <Override PartName="/docProps/core.xml" ContentType="application/vnd.openxmlformats-package.core-properties+xml"/>
  <Override PartName="/xl/revisions/revisionLog2.xml" ContentType="application/vnd.openxmlformats-officedocument.spreadsheetml.revisionLog+xml"/>
  <Override PartName="/xl/charts/chart6.xml" ContentType="application/vnd.openxmlformats-officedocument.drawingml.chart+xml"/>
  <Override PartName="/xl/revisions/revisionLog69.xml" ContentType="application/vnd.openxmlformats-officedocument.spreadsheetml.revisionLo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revisions/userNames.xml" ContentType="application/vnd.openxmlformats-officedocument.spreadsheetml.userNames+xml"/>
  <Override PartName="/xl/revisions/revisionLog58.xml" ContentType="application/vnd.openxmlformats-officedocument.spreadsheetml.revisionLog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Override PartName="/xl/revisions/revisionLog18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76.xml" ContentType="application/vnd.openxmlformats-officedocument.spreadsheetml.revisionLog+xml"/>
  <Override PartName="/xl/worksheets/sheet5.xml" ContentType="application/vnd.openxmlformats-officedocument.spreadsheetml.worksheet+xml"/>
  <Override PartName="/xl/revisions/revisionLog141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43.xml" ContentType="application/vnd.openxmlformats-officedocument.spreadsheetml.revisionLog+xml"/>
  <Override PartName="/xl/worksheets/sheet1.xml" ContentType="application/vnd.openxmlformats-officedocument.spreadsheetml.worksheet+xml"/>
  <Override PartName="/xl/revisions/revisionLog2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HorizontalScroll="0" showVerticalScroll="0" showSheetTabs="0" xWindow="360" yWindow="360" windowWidth="1845" windowHeight="2235" activeTab="4"/>
  </bookViews>
  <sheets>
    <sheet name="PPrincipal" sheetId="1" r:id="rId1"/>
    <sheet name="Trujillo" sheetId="2" r:id="rId2"/>
    <sheet name="GTrujillo" sheetId="3" r:id="rId3"/>
    <sheet name="CTrujillo" sheetId="4" r:id="rId4"/>
    <sheet name="Táchira" sheetId="5" r:id="rId5"/>
    <sheet name="GTáchira" sheetId="6" r:id="rId6"/>
    <sheet name="CTáchira" sheetId="7" r:id="rId7"/>
    <sheet name="Mérida" sheetId="8" r:id="rId8"/>
    <sheet name="GMérida" sheetId="9" r:id="rId9"/>
    <sheet name="CMérida" sheetId="10" r:id="rId10"/>
    <sheet name="Barinas" sheetId="11" r:id="rId11"/>
    <sheet name="GBarinas" sheetId="12" r:id="rId12"/>
    <sheet name="CBarinas" sheetId="13" r:id="rId13"/>
  </sheets>
  <definedNames>
    <definedName name="Adan_Chavez">Barinas!$E$9:$E$348</definedName>
    <definedName name="CentroBA">Barinas!$C$9:$C$348</definedName>
    <definedName name="CentroME">Mérida!$C$9:$C$408</definedName>
    <definedName name="CentroTA">Táchira!$C$9:$C$548</definedName>
    <definedName name="CentroTU">Trujillo!$C$9:$C$348</definedName>
    <definedName name="Cesar_Perez_Vivas">Táchira!$F$9:$F$548</definedName>
    <definedName name="Enrique_Catalan">Trujillo!$F$9:$F$348</definedName>
    <definedName name="Hugo_Cabezas">Trujillo!$E$9:$E$348</definedName>
    <definedName name="Julio_Cesar_Reyes">Barinas!$G$9:$G$348</definedName>
    <definedName name="Leonardo_Salcedo">Táchira!$E$9:$E$548</definedName>
    <definedName name="Marcos_Diaz_Orellana">Mérida!$E$9:$E$408</definedName>
    <definedName name="MunicipioBA">CBarinas!$X$9:$X$25</definedName>
    <definedName name="MunicipiosME">CMérida!$X$9:$X$28</definedName>
    <definedName name="MunicipiosTU">CTrujillo!$X$9:$X$25</definedName>
    <definedName name="MunicipioTA">CTáchira!$X$9:$X$35</definedName>
    <definedName name="OtroBA">Barinas!$H$9:$H$348</definedName>
    <definedName name="OtroME">Mérida!$G$9:$G$408</definedName>
    <definedName name="OtroTA">Táchira!$G$9:$G$548</definedName>
    <definedName name="OtroTU">Trujillo!$G$9:$G$348</definedName>
    <definedName name="Rafael_Simon_Jimenez">Barinas!$F$9:$F$348</definedName>
    <definedName name="SumaBA">Barinas!$M$9:$M$348</definedName>
    <definedName name="SumaME">Mérida!$M$9:$M$408</definedName>
    <definedName name="SumaTA">Táchira!$L$9:$L$548</definedName>
    <definedName name="SumaTU">Trujillo!$L$9:$L$348</definedName>
    <definedName name="TurnoBA">Barinas!$D$9:$D$348</definedName>
    <definedName name="TurnoME">Mérida!$D$9:$D$408</definedName>
    <definedName name="TurnoTA">Táchira!$D$9:$D$548</definedName>
    <definedName name="TurnoTU">Trujillo!$D$9:$D$348</definedName>
    <definedName name="Williams_Davila">Mérida!$F$9:$F$408</definedName>
    <definedName name="Z_242CE75B_5318_4B80_8985_D15BFA50C3F5_.wvu.PrintArea" localSheetId="11" hidden="1">GBarinas!$A$1:$K$24</definedName>
    <definedName name="Z_242CE75B_5318_4B80_8985_D15BFA50C3F5_.wvu.PrintArea" localSheetId="8" hidden="1">GMérida!$A$1:$K$23</definedName>
    <definedName name="Z_242CE75B_5318_4B80_8985_D15BFA50C3F5_.wvu.PrintArea" localSheetId="5" hidden="1">GTáchira!$A$1:$K$24</definedName>
    <definedName name="Z_242CE75B_5318_4B80_8985_D15BFA50C3F5_.wvu.PrintArea" localSheetId="2" hidden="1">GTrujillo!$A$1:$K$20</definedName>
  </definedNames>
  <calcPr calcId="124519"/>
  <customWorkbookViews>
    <customWorkbookView name="  - Vista personalizada" guid="{2EA3A6B8-61D5-4EF1-87B1-B14945A241CD}" autoUpdate="1" mergeInterval="5" personalView="1" maximized="1" showHorizontalScroll="0" showVerticalScroll="0" showSheetTabs="0" xWindow="1" yWindow="1" windowWidth="1280" windowHeight="718" activeSheetId="5"/>
    <customWorkbookView name="PLM - Vista personalizada" guid="{242CE75B-5318-4B80-8985-D15BFA50C3F5}" autoUpdate="1" mergeInterval="5" personalView="1" maximized="1" showHorizontalScroll="0" showVerticalScroll="0" showSheetTabs="0" xWindow="1" yWindow="1" windowWidth="1280" windowHeight="710" activeSheetId="9" showFormulaBar="0"/>
    <customWorkbookView name="Usuario - Vista personalizada" guid="{CA30A091-FDE4-4C31-B428-76E484062E02}" autoUpdate="1" mergeInterval="5" personalView="1" maximized="1" showHorizontalScroll="0" showVerticalScroll="0" showSheetTabs="0" xWindow="1" yWindow="1" windowWidth="1280" windowHeight="579" activeSheetId="1"/>
    <customWorkbookView name="equipo de trabajo 5 - Vista personalizada" guid="{A77EC4ED-03BF-4540-A476-D8F99E900844}" autoUpdate="1" mergeInterval="5" personalView="1" maximized="1" showHorizontalScroll="0" showVerticalScroll="0" showSheetTabs="0" windowWidth="1020" windowHeight="739" activeSheetId="3" showFormulaBar="0" showStatusbar="0"/>
    <customWorkbookView name="equipo de trabajo4 - Vista personalizada" guid="{71ABA865-EF8A-4EB3-AA45-9433D0EFFA82}" autoUpdate="1" mergeInterval="5" personalView="1" maximized="1" windowWidth="1020" windowHeight="622" activeSheetId="4"/>
    <customWorkbookView name="equipo de trabajo 6 - Vista personalizada" guid="{C985031D-D85E-4FDB-AC65-62493A942234}" autoUpdate="1" mergeInterval="5" personalView="1" maximized="1" windowWidth="1276" windowHeight="622" activeSheetId="4"/>
    <customWorkbookView name="equipo de trabajo 2 - Vista personalizada" guid="{9FEEFF71-DB18-450A-9C46-2600DEBD4C2F}" autoUpdate="1" mergeInterval="5" personalView="1" maximized="1" windowWidth="1276" windowHeight="622" activeSheetId="4"/>
    <customWorkbookView name="equipo de trabajo 1 - Vista personalizada" guid="{CA2040AE-62FD-482F-B99E-D7687506BEE4}" autoUpdate="1" mergeInterval="5" personalView="1" maximized="1" showHorizontalScroll="0" showVerticalScroll="0" showSheetTabs="0" windowWidth="1020" windowHeight="739" activeSheetId="2" showFormulaBar="0" showStatusbar="0"/>
    <customWorkbookView name="lenovo-4 - Vista personalizada" guid="{8533A692-1FDC-4EF0-90A0-99C037A6D79B}" autoUpdate="1" mergeInterval="5" personalView="1" maximized="1" windowWidth="1020" windowHeight="596" activeSheetId="2"/>
    <customWorkbookView name="equipo de trabajo 3 - Vista personalizada" guid="{57DF099C-2F69-48FA-8FC1-A9D4BE3C4B9B}" autoUpdate="1" mergeInterval="5" personalView="1" maximized="1" windowWidth="1020" windowHeight="622" activeSheetId="4"/>
    <customWorkbookView name="equipo de trabajo 8 - Vista personalizada" guid="{6E31FC92-C3FF-4227-932A-BABD82E820B9}" autoUpdate="1" mergeInterval="5" personalView="1" maximized="1" windowWidth="1276" windowHeight="654" activeSheetId="4"/>
  </customWorkbookViews>
</workbook>
</file>

<file path=xl/calcChain.xml><?xml version="1.0" encoding="utf-8"?>
<calcChain xmlns="http://schemas.openxmlformats.org/spreadsheetml/2006/main">
  <c r="Y31" i="4"/>
  <c r="Z31"/>
  <c r="AA31"/>
  <c r="Y34"/>
  <c r="Z34"/>
  <c r="AA34"/>
  <c r="Y10"/>
  <c r="Z10"/>
  <c r="AA10"/>
  <c r="Y11"/>
  <c r="Z11"/>
  <c r="AA11"/>
  <c r="Y12"/>
  <c r="Z12"/>
  <c r="AA12"/>
  <c r="Y13"/>
  <c r="Z13"/>
  <c r="AA13"/>
  <c r="Y14"/>
  <c r="Z14"/>
  <c r="AA14"/>
  <c r="Y15"/>
  <c r="Z15"/>
  <c r="AA15"/>
  <c r="Y16"/>
  <c r="Z16"/>
  <c r="AA16"/>
  <c r="Y17"/>
  <c r="Z17"/>
  <c r="AA17"/>
  <c r="Y18"/>
  <c r="Z18"/>
  <c r="AA18"/>
  <c r="Y19"/>
  <c r="Z19"/>
  <c r="AA19"/>
  <c r="Y20"/>
  <c r="Z20"/>
  <c r="AA20"/>
  <c r="Y21"/>
  <c r="Z21"/>
  <c r="AA21"/>
  <c r="Y22"/>
  <c r="Z22"/>
  <c r="AA22"/>
  <c r="Y23"/>
  <c r="Z23"/>
  <c r="AA23"/>
  <c r="Y24"/>
  <c r="Y33" s="1"/>
  <c r="Z24"/>
  <c r="Z33" s="1"/>
  <c r="AA24"/>
  <c r="AA33" s="1"/>
  <c r="Y25"/>
  <c r="Z25"/>
  <c r="AA25"/>
  <c r="Z9"/>
  <c r="Y9"/>
  <c r="R11" i="2"/>
  <c r="R12"/>
  <c r="R13"/>
  <c r="R14"/>
  <c r="R15"/>
  <c r="R16"/>
  <c r="R17"/>
  <c r="R18"/>
  <c r="R19"/>
  <c r="R20"/>
  <c r="R21"/>
  <c r="R22"/>
  <c r="R23"/>
  <c r="R24"/>
  <c r="T24" s="1"/>
  <c r="R25"/>
  <c r="R26"/>
  <c r="R27"/>
  <c r="T27" s="1"/>
  <c r="R28"/>
  <c r="T28" s="1"/>
  <c r="R29"/>
  <c r="R10"/>
  <c r="R9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10"/>
  <c r="O9"/>
  <c r="Y10" i="7"/>
  <c r="Z10"/>
  <c r="AA10"/>
  <c r="Y11"/>
  <c r="Z11"/>
  <c r="AA11"/>
  <c r="Y12"/>
  <c r="Z12"/>
  <c r="AA12"/>
  <c r="Y13"/>
  <c r="Y39" s="1"/>
  <c r="Z13"/>
  <c r="Z39" s="1"/>
  <c r="AA13"/>
  <c r="AA39" s="1"/>
  <c r="Y14"/>
  <c r="Z14"/>
  <c r="AA14"/>
  <c r="Y15"/>
  <c r="Z15"/>
  <c r="AA15"/>
  <c r="Y16"/>
  <c r="Z16"/>
  <c r="AA16"/>
  <c r="Y17"/>
  <c r="Z17"/>
  <c r="AA17"/>
  <c r="Y18"/>
  <c r="Z18"/>
  <c r="AA18"/>
  <c r="Y19"/>
  <c r="Z19"/>
  <c r="AA19"/>
  <c r="Y20"/>
  <c r="Z20"/>
  <c r="AA20"/>
  <c r="Y21"/>
  <c r="Z21"/>
  <c r="AA21"/>
  <c r="Y22"/>
  <c r="Z22"/>
  <c r="AA22"/>
  <c r="Y23"/>
  <c r="Z23"/>
  <c r="AA23"/>
  <c r="Y24"/>
  <c r="Z24"/>
  <c r="AA24"/>
  <c r="Y25"/>
  <c r="Z25"/>
  <c r="AA25"/>
  <c r="Y26"/>
  <c r="Z26"/>
  <c r="AA26"/>
  <c r="Y27"/>
  <c r="Z27"/>
  <c r="AA27"/>
  <c r="Y28"/>
  <c r="Z28"/>
  <c r="AA28"/>
  <c r="Y29"/>
  <c r="Z29"/>
  <c r="AA29"/>
  <c r="Y30"/>
  <c r="Y43" s="1"/>
  <c r="Z30"/>
  <c r="Z43" s="1"/>
  <c r="AA30"/>
  <c r="AA43" s="1"/>
  <c r="Y31"/>
  <c r="Z31"/>
  <c r="AA31"/>
  <c r="Y32"/>
  <c r="Z32"/>
  <c r="AA32"/>
  <c r="Y33"/>
  <c r="Y45" s="1"/>
  <c r="Z33"/>
  <c r="Z45" s="1"/>
  <c r="AA33"/>
  <c r="AA45" s="1"/>
  <c r="Y34"/>
  <c r="Y46" s="1"/>
  <c r="Z34"/>
  <c r="Z46" s="1"/>
  <c r="AA34"/>
  <c r="AA46" s="1"/>
  <c r="Y35"/>
  <c r="Y47" s="1"/>
  <c r="Z35"/>
  <c r="Z47" s="1"/>
  <c r="AA35"/>
  <c r="AA47" s="1"/>
  <c r="Z9"/>
  <c r="Z37" s="1"/>
  <c r="Y9"/>
  <c r="R11" i="5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10"/>
  <c r="S10" s="1"/>
  <c r="R9"/>
  <c r="S9" s="1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10"/>
  <c r="P10" s="1"/>
  <c r="O9"/>
  <c r="P9" s="1"/>
  <c r="Y10" i="10"/>
  <c r="Z10"/>
  <c r="AA10"/>
  <c r="Y11"/>
  <c r="Z11"/>
  <c r="AA11"/>
  <c r="Y12"/>
  <c r="Z12"/>
  <c r="AA12"/>
  <c r="Y13"/>
  <c r="Y32" s="1"/>
  <c r="Z13"/>
  <c r="Z32" s="1"/>
  <c r="AA13"/>
  <c r="AA32" s="1"/>
  <c r="Y14"/>
  <c r="Z14"/>
  <c r="AA14"/>
  <c r="Y15"/>
  <c r="Z15"/>
  <c r="AA15"/>
  <c r="Y16"/>
  <c r="Z16"/>
  <c r="AA16"/>
  <c r="Y17"/>
  <c r="Z17"/>
  <c r="AA17"/>
  <c r="Y18"/>
  <c r="Z18"/>
  <c r="AA18"/>
  <c r="Y19"/>
  <c r="Z19"/>
  <c r="AA19"/>
  <c r="Y20"/>
  <c r="Z20"/>
  <c r="AA20"/>
  <c r="Y21"/>
  <c r="Z21"/>
  <c r="AA21"/>
  <c r="Y22"/>
  <c r="Z22"/>
  <c r="AA22"/>
  <c r="Y23"/>
  <c r="Z23"/>
  <c r="AA23"/>
  <c r="Y24"/>
  <c r="Z24"/>
  <c r="AA24"/>
  <c r="Y25"/>
  <c r="Z25"/>
  <c r="AA25"/>
  <c r="Y26"/>
  <c r="Z26"/>
  <c r="AA26"/>
  <c r="Y27"/>
  <c r="Y35" s="1"/>
  <c r="Z27"/>
  <c r="Z35" s="1"/>
  <c r="AA27"/>
  <c r="AA35" s="1"/>
  <c r="Y28"/>
  <c r="Y36" s="1"/>
  <c r="Z28"/>
  <c r="Z36" s="1"/>
  <c r="AA28"/>
  <c r="AA36" s="1"/>
  <c r="Z9"/>
  <c r="Y9"/>
  <c r="Y31" s="1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S11" i="8"/>
  <c r="S12"/>
  <c r="S13"/>
  <c r="S14"/>
  <c r="S15"/>
  <c r="S16"/>
  <c r="S17"/>
  <c r="S18"/>
  <c r="S19"/>
  <c r="S20"/>
  <c r="S21"/>
  <c r="S22"/>
  <c r="S23"/>
  <c r="S24"/>
  <c r="S25"/>
  <c r="S26"/>
  <c r="S27"/>
  <c r="U27" s="1"/>
  <c r="S28"/>
  <c r="U28" s="1"/>
  <c r="S29"/>
  <c r="U29" s="1"/>
  <c r="S10"/>
  <c r="T10" s="1"/>
  <c r="S9"/>
  <c r="T9" s="1"/>
  <c r="P11"/>
  <c r="P12"/>
  <c r="P13"/>
  <c r="P14"/>
  <c r="P15"/>
  <c r="P16"/>
  <c r="P17"/>
  <c r="P18"/>
  <c r="P19"/>
  <c r="P20"/>
  <c r="P21"/>
  <c r="P22"/>
  <c r="P23"/>
  <c r="P24"/>
  <c r="P25"/>
  <c r="P26"/>
  <c r="P27"/>
  <c r="R27" s="1"/>
  <c r="P28"/>
  <c r="R28" s="1"/>
  <c r="P29"/>
  <c r="R29" s="1"/>
  <c r="P10"/>
  <c r="Q10" s="1"/>
  <c r="P9"/>
  <c r="Y10" i="13"/>
  <c r="Z10"/>
  <c r="AA10"/>
  <c r="AB10"/>
  <c r="Y11"/>
  <c r="Z11"/>
  <c r="AA11"/>
  <c r="AB11"/>
  <c r="Y12"/>
  <c r="Z12"/>
  <c r="AA12"/>
  <c r="AB12"/>
  <c r="Y13"/>
  <c r="Z13"/>
  <c r="AA13"/>
  <c r="AB13"/>
  <c r="Y14"/>
  <c r="Z14"/>
  <c r="AA14"/>
  <c r="AB14"/>
  <c r="Y15"/>
  <c r="Z15"/>
  <c r="AA15"/>
  <c r="AB15"/>
  <c r="Y16"/>
  <c r="Z16"/>
  <c r="AA16"/>
  <c r="AB16"/>
  <c r="Y17"/>
  <c r="Z17"/>
  <c r="AA17"/>
  <c r="AB17"/>
  <c r="Y18"/>
  <c r="Z18"/>
  <c r="AA18"/>
  <c r="AB18"/>
  <c r="Y19"/>
  <c r="Z19"/>
  <c r="AA19"/>
  <c r="AB19"/>
  <c r="Y20"/>
  <c r="Z20"/>
  <c r="AA20"/>
  <c r="AB20"/>
  <c r="Y21"/>
  <c r="Z21"/>
  <c r="AA21"/>
  <c r="AB21"/>
  <c r="Y22"/>
  <c r="Z22"/>
  <c r="AA22"/>
  <c r="AB22"/>
  <c r="Y23"/>
  <c r="Y31" s="1"/>
  <c r="Z23"/>
  <c r="Z31" s="1"/>
  <c r="AA23"/>
  <c r="AA31" s="1"/>
  <c r="AB23"/>
  <c r="AB31" s="1"/>
  <c r="Y24"/>
  <c r="Y32" s="1"/>
  <c r="Z24"/>
  <c r="Z32" s="1"/>
  <c r="AA24"/>
  <c r="AA32" s="1"/>
  <c r="AB24"/>
  <c r="AB32" s="1"/>
  <c r="Y25"/>
  <c r="Y33" s="1"/>
  <c r="Z25"/>
  <c r="Z33" s="1"/>
  <c r="AA25"/>
  <c r="AA33" s="1"/>
  <c r="AB25"/>
  <c r="AB33" s="1"/>
  <c r="AA9"/>
  <c r="AA28" s="1"/>
  <c r="Z9"/>
  <c r="Z28" s="1"/>
  <c r="Y9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V11" i="11"/>
  <c r="V12"/>
  <c r="V13"/>
  <c r="V14"/>
  <c r="V15"/>
  <c r="V16"/>
  <c r="V17"/>
  <c r="V18"/>
  <c r="V19"/>
  <c r="V20"/>
  <c r="V21"/>
  <c r="V22"/>
  <c r="V23"/>
  <c r="V24"/>
  <c r="V25"/>
  <c r="V26"/>
  <c r="X26" s="1"/>
  <c r="V27"/>
  <c r="X27" s="1"/>
  <c r="V28"/>
  <c r="X28" s="1"/>
  <c r="V29"/>
  <c r="X29" s="1"/>
  <c r="V10"/>
  <c r="W10" s="1"/>
  <c r="V9"/>
  <c r="S11"/>
  <c r="S12"/>
  <c r="S13"/>
  <c r="S14"/>
  <c r="S15"/>
  <c r="S16"/>
  <c r="S17"/>
  <c r="S18"/>
  <c r="S19"/>
  <c r="S20"/>
  <c r="S21"/>
  <c r="S22"/>
  <c r="S23"/>
  <c r="S24"/>
  <c r="S25"/>
  <c r="S26"/>
  <c r="U26" s="1"/>
  <c r="S27"/>
  <c r="S28"/>
  <c r="U28" s="1"/>
  <c r="S29"/>
  <c r="U29" s="1"/>
  <c r="S10"/>
  <c r="T10" s="1"/>
  <c r="S9"/>
  <c r="P11"/>
  <c r="P12"/>
  <c r="P13"/>
  <c r="P14"/>
  <c r="P15"/>
  <c r="P16"/>
  <c r="P17"/>
  <c r="P18"/>
  <c r="P19"/>
  <c r="P20"/>
  <c r="P21"/>
  <c r="P22"/>
  <c r="P23"/>
  <c r="P24"/>
  <c r="P25"/>
  <c r="P26"/>
  <c r="R26" s="1"/>
  <c r="P27"/>
  <c r="R27" s="1"/>
  <c r="P28"/>
  <c r="R28" s="1"/>
  <c r="P29"/>
  <c r="R29" s="1"/>
  <c r="P10"/>
  <c r="Q10" s="1"/>
  <c r="P9"/>
  <c r="Q9" s="1"/>
  <c r="Y28" i="13"/>
  <c r="C18" i="10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V29" i="8"/>
  <c r="X29" s="1"/>
  <c r="V28"/>
  <c r="X28" s="1"/>
  <c r="V27"/>
  <c r="X27" s="1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W9" s="1"/>
  <c r="Y37" i="7"/>
  <c r="T23" i="2"/>
  <c r="T25"/>
  <c r="T29"/>
  <c r="T22"/>
  <c r="T26"/>
  <c r="Q22"/>
  <c r="Q23"/>
  <c r="Q24"/>
  <c r="Q25"/>
  <c r="Q26"/>
  <c r="Q27"/>
  <c r="Q28"/>
  <c r="Q29"/>
  <c r="U27" i="11"/>
  <c r="C13" i="10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U11" i="5"/>
  <c r="U12"/>
  <c r="U13"/>
  <c r="U14"/>
  <c r="U15"/>
  <c r="U16"/>
  <c r="U17"/>
  <c r="U18"/>
  <c r="U19"/>
  <c r="U20"/>
  <c r="U21"/>
  <c r="U22"/>
  <c r="U23"/>
  <c r="U24"/>
  <c r="U25"/>
  <c r="U26"/>
  <c r="U27"/>
  <c r="U28"/>
  <c r="W28" s="1"/>
  <c r="U29"/>
  <c r="W29" s="1"/>
  <c r="U10"/>
  <c r="V10" s="1"/>
  <c r="V11" s="1"/>
  <c r="V12" s="1"/>
  <c r="V13" s="1"/>
  <c r="V14" s="1"/>
  <c r="U9"/>
  <c r="V9" s="1"/>
  <c r="Z29" i="4"/>
  <c r="AA9"/>
  <c r="Y29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U11" i="2"/>
  <c r="U12"/>
  <c r="U13"/>
  <c r="U14"/>
  <c r="U15"/>
  <c r="U16"/>
  <c r="U17"/>
  <c r="U18"/>
  <c r="U19"/>
  <c r="U20"/>
  <c r="U21"/>
  <c r="U22"/>
  <c r="W22" s="1"/>
  <c r="U23"/>
  <c r="W23" s="1"/>
  <c r="U24"/>
  <c r="W24" s="1"/>
  <c r="U25"/>
  <c r="W25" s="1"/>
  <c r="U26"/>
  <c r="W26" s="1"/>
  <c r="U27"/>
  <c r="W27" s="1"/>
  <c r="U28"/>
  <c r="W28" s="1"/>
  <c r="U29"/>
  <c r="W29" s="1"/>
  <c r="U10"/>
  <c r="V10" s="1"/>
  <c r="S10"/>
  <c r="P10"/>
  <c r="P11" s="1"/>
  <c r="P12" s="1"/>
  <c r="U9"/>
  <c r="V9" s="1"/>
  <c r="S9"/>
  <c r="P9"/>
  <c r="AB9" i="13"/>
  <c r="AB28" s="1"/>
  <c r="AA9" i="10"/>
  <c r="AA31" s="1"/>
  <c r="AA9" i="7"/>
  <c r="AA37" s="1"/>
  <c r="C10" i="13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10" i="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10" i="7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T9" i="11"/>
  <c r="Y9"/>
  <c r="Z9" s="1"/>
  <c r="Y10"/>
  <c r="Z10" s="1"/>
  <c r="Y11"/>
  <c r="Y12"/>
  <c r="Y13"/>
  <c r="Y14"/>
  <c r="Y15"/>
  <c r="Y16"/>
  <c r="Y17"/>
  <c r="Y18"/>
  <c r="Y19"/>
  <c r="Y20"/>
  <c r="Y21"/>
  <c r="Y22"/>
  <c r="Y23"/>
  <c r="Y24"/>
  <c r="Y25"/>
  <c r="Y26"/>
  <c r="AA26" s="1"/>
  <c r="Y27"/>
  <c r="AA27" s="1"/>
  <c r="Y28"/>
  <c r="AA28" s="1"/>
  <c r="Y29"/>
  <c r="AA29" s="1"/>
  <c r="W9"/>
  <c r="S11" i="5" l="1"/>
  <c r="S12" s="1"/>
  <c r="S13" s="1"/>
  <c r="S14" s="1"/>
  <c r="Q11" i="8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Z31" i="10"/>
  <c r="P11" i="5"/>
  <c r="P12" s="1"/>
  <c r="P13" s="1"/>
  <c r="P14" s="1"/>
  <c r="P15" s="1"/>
  <c r="P16" s="1"/>
  <c r="T11" i="11"/>
  <c r="T12" s="1"/>
  <c r="T13" s="1"/>
  <c r="T14" s="1"/>
  <c r="T15" s="1"/>
  <c r="Q11"/>
  <c r="Q12" s="1"/>
  <c r="Q13" s="1"/>
  <c r="Q14" s="1"/>
  <c r="Q15" s="1"/>
  <c r="AA44" i="7"/>
  <c r="Y44"/>
  <c r="AA42"/>
  <c r="Y42"/>
  <c r="AA41"/>
  <c r="Y41"/>
  <c r="Z40"/>
  <c r="AA38"/>
  <c r="Y38"/>
  <c r="Z44"/>
  <c r="Z42"/>
  <c r="Z41"/>
  <c r="AA40"/>
  <c r="Y40"/>
  <c r="Z38"/>
  <c r="AA34" i="10"/>
  <c r="Y34"/>
  <c r="Z33"/>
  <c r="U9" i="8"/>
  <c r="Q3" s="1"/>
  <c r="Z34" i="10"/>
  <c r="AA33"/>
  <c r="Y33"/>
  <c r="AB30" i="13"/>
  <c r="Z30"/>
  <c r="AB29"/>
  <c r="Z29"/>
  <c r="AA30"/>
  <c r="Y30"/>
  <c r="AA29"/>
  <c r="Y29"/>
  <c r="X9" i="8"/>
  <c r="Q4" s="1"/>
  <c r="AA32" i="4"/>
  <c r="AA30"/>
  <c r="Z30"/>
  <c r="Z32"/>
  <c r="Y32"/>
  <c r="Y30"/>
  <c r="R9" i="8"/>
  <c r="Q2" s="1"/>
  <c r="T10" i="2"/>
  <c r="W10" i="8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AA29" i="4"/>
  <c r="W9" i="2"/>
  <c r="Q10"/>
  <c r="Q9"/>
  <c r="P2" s="1"/>
  <c r="T9"/>
  <c r="P3" s="1"/>
  <c r="W10"/>
  <c r="V1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AA9" i="11"/>
  <c r="Q5" s="1"/>
  <c r="Y28" i="4"/>
  <c r="Y27"/>
  <c r="AA28"/>
  <c r="Z28"/>
  <c r="AA27"/>
  <c r="Z27"/>
  <c r="AA10" i="11"/>
  <c r="W9" i="5"/>
  <c r="P4" s="1"/>
  <c r="T9"/>
  <c r="P3" s="1"/>
  <c r="Q9"/>
  <c r="P2" s="1"/>
  <c r="Z11" i="1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W11"/>
  <c r="W12" s="1"/>
  <c r="W13" s="1"/>
  <c r="X10"/>
  <c r="U10"/>
  <c r="R10"/>
  <c r="U9"/>
  <c r="Q3" s="1"/>
  <c r="X9"/>
  <c r="Q4" s="1"/>
  <c r="R9"/>
  <c r="Q2" s="1"/>
  <c r="T11" i="8"/>
  <c r="T10" i="5"/>
  <c r="Q10"/>
  <c r="W10"/>
  <c r="V15"/>
  <c r="S15"/>
  <c r="P13" i="2"/>
  <c r="S11"/>
  <c r="P4"/>
  <c r="Q9" i="8"/>
  <c r="Q13" i="5" l="1"/>
  <c r="W11"/>
  <c r="W13"/>
  <c r="T12"/>
  <c r="Q14"/>
  <c r="T11"/>
  <c r="Q11"/>
  <c r="T13"/>
  <c r="W12"/>
  <c r="Q12"/>
  <c r="W14"/>
  <c r="T14"/>
  <c r="U11" i="8"/>
  <c r="W21" i="2"/>
  <c r="W20"/>
  <c r="W19"/>
  <c r="W18"/>
  <c r="W17"/>
  <c r="W16"/>
  <c r="W15"/>
  <c r="W14"/>
  <c r="W13"/>
  <c r="P14"/>
  <c r="W15" i="5"/>
  <c r="T16" i="11"/>
  <c r="T15" i="5"/>
  <c r="Q15"/>
  <c r="P17"/>
  <c r="Q16" i="11"/>
  <c r="AA13"/>
  <c r="W14"/>
  <c r="R14" s="1"/>
  <c r="U13"/>
  <c r="X13"/>
  <c r="R13"/>
  <c r="R10" i="8"/>
  <c r="U10"/>
  <c r="X11"/>
  <c r="X10"/>
  <c r="R11"/>
  <c r="R12" i="11"/>
  <c r="T12" i="8"/>
  <c r="X12" s="1"/>
  <c r="W11" i="2"/>
  <c r="Q11"/>
  <c r="T11"/>
  <c r="AA11" i="11"/>
  <c r="R11"/>
  <c r="X11"/>
  <c r="AA12"/>
  <c r="U11"/>
  <c r="U12"/>
  <c r="X12"/>
  <c r="S16" i="5"/>
  <c r="V16"/>
  <c r="S12" i="2"/>
  <c r="P15" l="1"/>
  <c r="W16" i="5"/>
  <c r="T17" i="11"/>
  <c r="P18" i="5"/>
  <c r="P19" s="1"/>
  <c r="Q17" i="11"/>
  <c r="T16" i="5"/>
  <c r="Q16"/>
  <c r="AA14" i="11"/>
  <c r="W15"/>
  <c r="U15" s="1"/>
  <c r="X14"/>
  <c r="U14"/>
  <c r="T13" i="8"/>
  <c r="X13" s="1"/>
  <c r="U12"/>
  <c r="R12"/>
  <c r="W12" i="2"/>
  <c r="Q12"/>
  <c r="T12"/>
  <c r="V17" i="5"/>
  <c r="S17"/>
  <c r="S13" i="2"/>
  <c r="Q18" i="11" l="1"/>
  <c r="Q19" s="1"/>
  <c r="S14" i="2"/>
  <c r="T14" s="1"/>
  <c r="T13"/>
  <c r="Q13"/>
  <c r="P16"/>
  <c r="T18" i="11"/>
  <c r="T19" s="1"/>
  <c r="W17" i="5"/>
  <c r="R13" i="8"/>
  <c r="Q17" i="5"/>
  <c r="T17"/>
  <c r="U13" i="8"/>
  <c r="X15" i="11"/>
  <c r="AA15"/>
  <c r="W16"/>
  <c r="R15"/>
  <c r="T14" i="8"/>
  <c r="S18" i="5"/>
  <c r="V18"/>
  <c r="P20"/>
  <c r="S15" i="2" l="1"/>
  <c r="T15" s="1"/>
  <c r="Q14"/>
  <c r="P17"/>
  <c r="T20" i="11"/>
  <c r="Q20"/>
  <c r="W18" i="5"/>
  <c r="Q18"/>
  <c r="T18"/>
  <c r="U16" i="11"/>
  <c r="AA16"/>
  <c r="W17"/>
  <c r="AA17" s="1"/>
  <c r="X16"/>
  <c r="R16"/>
  <c r="T15" i="8"/>
  <c r="U14"/>
  <c r="X14"/>
  <c r="R14"/>
  <c r="S19" i="5"/>
  <c r="V19"/>
  <c r="P21"/>
  <c r="S16" i="2" l="1"/>
  <c r="T16" s="1"/>
  <c r="Q15"/>
  <c r="P18"/>
  <c r="T21" i="11"/>
  <c r="Q21"/>
  <c r="W19" i="5"/>
  <c r="T19"/>
  <c r="Q19"/>
  <c r="W18" i="11"/>
  <c r="AA18" s="1"/>
  <c r="X17"/>
  <c r="R17"/>
  <c r="U17"/>
  <c r="T16" i="8"/>
  <c r="U15"/>
  <c r="X15"/>
  <c r="R15"/>
  <c r="V20" i="5"/>
  <c r="S20"/>
  <c r="P22"/>
  <c r="W19" i="11" l="1"/>
  <c r="U19" s="1"/>
  <c r="S17" i="2"/>
  <c r="T17" s="1"/>
  <c r="Q16"/>
  <c r="P19"/>
  <c r="T22" i="11"/>
  <c r="Q22"/>
  <c r="U18"/>
  <c r="R18"/>
  <c r="X18"/>
  <c r="T20" i="5"/>
  <c r="Q20"/>
  <c r="W20"/>
  <c r="W20" i="11"/>
  <c r="T17" i="8"/>
  <c r="U16"/>
  <c r="R16"/>
  <c r="X16"/>
  <c r="S21" i="5"/>
  <c r="V21"/>
  <c r="P23"/>
  <c r="R19" i="11" l="1"/>
  <c r="AA19"/>
  <c r="X19"/>
  <c r="S18" i="2"/>
  <c r="T18" s="1"/>
  <c r="Q17"/>
  <c r="P20"/>
  <c r="W21" i="5"/>
  <c r="T23" i="11"/>
  <c r="Q23"/>
  <c r="T21" i="5"/>
  <c r="Q21"/>
  <c r="AA20" i="11"/>
  <c r="U20"/>
  <c r="W21"/>
  <c r="AA21" s="1"/>
  <c r="X20"/>
  <c r="R20"/>
  <c r="T18" i="8"/>
  <c r="X18" s="1"/>
  <c r="U17"/>
  <c r="X17"/>
  <c r="R17"/>
  <c r="V22" i="5"/>
  <c r="S22"/>
  <c r="P24"/>
  <c r="T24" i="11" l="1"/>
  <c r="Q24"/>
  <c r="W22" i="5"/>
  <c r="T22"/>
  <c r="Q22"/>
  <c r="S19" i="2"/>
  <c r="T19" s="1"/>
  <c r="Q18"/>
  <c r="P21"/>
  <c r="W22" i="11"/>
  <c r="AA22" s="1"/>
  <c r="X21"/>
  <c r="U21"/>
  <c r="R21"/>
  <c r="T19" i="8"/>
  <c r="X19" s="1"/>
  <c r="U18"/>
  <c r="R18"/>
  <c r="S23" i="5"/>
  <c r="V23"/>
  <c r="P25"/>
  <c r="T25" i="11" l="1"/>
  <c r="Q25"/>
  <c r="W23" i="5"/>
  <c r="T23"/>
  <c r="Q23"/>
  <c r="S20" i="2"/>
  <c r="T20" s="1"/>
  <c r="Q19"/>
  <c r="P22"/>
  <c r="P23" s="1"/>
  <c r="P24" s="1"/>
  <c r="P25" s="1"/>
  <c r="P26" s="1"/>
  <c r="P27" s="1"/>
  <c r="P28" s="1"/>
  <c r="P29" s="1"/>
  <c r="W23" i="11"/>
  <c r="AA23" s="1"/>
  <c r="X22"/>
  <c r="U22"/>
  <c r="R22"/>
  <c r="T20" i="8"/>
  <c r="X20" s="1"/>
  <c r="U19"/>
  <c r="R19"/>
  <c r="V24" i="5"/>
  <c r="S24"/>
  <c r="P26"/>
  <c r="W24" l="1"/>
  <c r="T26" i="11"/>
  <c r="T27" s="1"/>
  <c r="T28" s="1"/>
  <c r="T29" s="1"/>
  <c r="Q26"/>
  <c r="Q27" s="1"/>
  <c r="Q28" s="1"/>
  <c r="Q29" s="1"/>
  <c r="T24" i="5"/>
  <c r="Q24"/>
  <c r="W24" i="11"/>
  <c r="AA24" s="1"/>
  <c r="X23"/>
  <c r="U23"/>
  <c r="R23"/>
  <c r="S21" i="2"/>
  <c r="T21" s="1"/>
  <c r="Q20"/>
  <c r="T21" i="8"/>
  <c r="X21" s="1"/>
  <c r="U20"/>
  <c r="R20"/>
  <c r="S25" i="5"/>
  <c r="V25"/>
  <c r="P27"/>
  <c r="W25" l="1"/>
  <c r="T25"/>
  <c r="Q25"/>
  <c r="W25" i="11"/>
  <c r="X24"/>
  <c r="U24"/>
  <c r="R24"/>
  <c r="S22" i="2"/>
  <c r="S23" s="1"/>
  <c r="S24" s="1"/>
  <c r="S25" s="1"/>
  <c r="S26" s="1"/>
  <c r="S27" s="1"/>
  <c r="S28" s="1"/>
  <c r="S29" s="1"/>
  <c r="Q21"/>
  <c r="T22" i="8"/>
  <c r="X22" s="1"/>
  <c r="U21"/>
  <c r="R21"/>
  <c r="V26" i="5"/>
  <c r="W26" s="1"/>
  <c r="S26"/>
  <c r="P28"/>
  <c r="AA25" i="11" l="1"/>
  <c r="X25"/>
  <c r="T26" i="5"/>
  <c r="Q26"/>
  <c r="W26" i="11"/>
  <c r="W27" s="1"/>
  <c r="W28" s="1"/>
  <c r="W29" s="1"/>
  <c r="U25"/>
  <c r="R25"/>
  <c r="T23" i="8"/>
  <c r="X23" s="1"/>
  <c r="U22"/>
  <c r="R22"/>
  <c r="S27" i="5"/>
  <c r="V27"/>
  <c r="P29"/>
  <c r="T24" i="8" l="1"/>
  <c r="X24" s="1"/>
  <c r="U23"/>
  <c r="R23"/>
  <c r="W27" i="5"/>
  <c r="T27"/>
  <c r="Q27"/>
  <c r="V28"/>
  <c r="S28"/>
  <c r="T28" l="1"/>
  <c r="Q28"/>
  <c r="T25" i="8"/>
  <c r="X25" s="1"/>
  <c r="U24"/>
  <c r="R24"/>
  <c r="S29" i="5"/>
  <c r="V29"/>
  <c r="T29" l="1"/>
  <c r="Q29"/>
  <c r="T26" i="8"/>
  <c r="X26" s="1"/>
  <c r="U25"/>
  <c r="R25"/>
  <c r="T27" l="1"/>
  <c r="T28" s="1"/>
  <c r="T29" s="1"/>
  <c r="U26"/>
  <c r="R26"/>
</calcChain>
</file>

<file path=xl/sharedStrings.xml><?xml version="1.0" encoding="utf-8"?>
<sst xmlns="http://schemas.openxmlformats.org/spreadsheetml/2006/main" count="305" uniqueCount="85">
  <si>
    <t>Turno</t>
  </si>
  <si>
    <t>Entidad</t>
  </si>
  <si>
    <t>Centro</t>
  </si>
  <si>
    <t>.</t>
  </si>
  <si>
    <t>Otro</t>
  </si>
  <si>
    <t xml:space="preserve"> </t>
  </si>
  <si>
    <t>Municipio</t>
  </si>
  <si>
    <t>Pagina Principal</t>
  </si>
  <si>
    <t>SUCRE</t>
  </si>
  <si>
    <t>INDEPENDENCIA</t>
  </si>
  <si>
    <t>ZAMORA</t>
  </si>
  <si>
    <t>Jorge Rodriguez</t>
  </si>
  <si>
    <t>Stalin Gonzalez</t>
  </si>
  <si>
    <t>Claudio Fermin</t>
  </si>
  <si>
    <t>|</t>
  </si>
  <si>
    <t>SumaFA</t>
  </si>
  <si>
    <t>Region Andina</t>
  </si>
  <si>
    <t>Transcripción Barinas</t>
  </si>
  <si>
    <t>Supervisor Barinas</t>
  </si>
  <si>
    <t>Gráficos de Barinas</t>
  </si>
  <si>
    <t>Transcripción Mérida</t>
  </si>
  <si>
    <t>Supervisor de Mérida</t>
  </si>
  <si>
    <t>Gráficos de Mérida</t>
  </si>
  <si>
    <t>Transcripción Táchira</t>
  </si>
  <si>
    <t>Supervisor de Táchira</t>
  </si>
  <si>
    <t>Gráficos de Táchira</t>
  </si>
  <si>
    <t>Transcripción Trujillo</t>
  </si>
  <si>
    <t>Supervisor de Trujillo</t>
  </si>
  <si>
    <t>Gráficos de Trujillo</t>
  </si>
  <si>
    <t>Exit Poll Regional Noviembre 2008</t>
  </si>
  <si>
    <t>Estado Barinas</t>
  </si>
  <si>
    <t>GOBERNACIÓN DE BARINAS</t>
  </si>
  <si>
    <t>BARINAS</t>
  </si>
  <si>
    <t>SumaBA</t>
  </si>
  <si>
    <t>Adan Chavez</t>
  </si>
  <si>
    <t xml:space="preserve"> Rafael Simon Jimenez</t>
  </si>
  <si>
    <t>Julio Cesar Reyes</t>
  </si>
  <si>
    <t>Rafael Simon Jimenez</t>
  </si>
  <si>
    <t>ALBERTO ARVELO TORREALBA</t>
  </si>
  <si>
    <t>ANTONIO JOSE DE SUCRE</t>
  </si>
  <si>
    <t>BOLIVAR</t>
  </si>
  <si>
    <t>PEDRAZA</t>
  </si>
  <si>
    <t>Estado Mérida</t>
  </si>
  <si>
    <t>Marcos Diaz Orellana</t>
  </si>
  <si>
    <t>Williams Davila</t>
  </si>
  <si>
    <t>SumaME</t>
  </si>
  <si>
    <t>GOBERNACION DE MERIDA</t>
  </si>
  <si>
    <t>MERIDA</t>
  </si>
  <si>
    <t>ALBERTO ADRIANI</t>
  </si>
  <si>
    <t>ANTONIO PINTO SALINAS</t>
  </si>
  <si>
    <t>CAMPO ELIAS</t>
  </si>
  <si>
    <t>LIBERTADOR</t>
  </si>
  <si>
    <t>SANTOS MARQUINA</t>
  </si>
  <si>
    <t>Estado Táchira</t>
  </si>
  <si>
    <t>SumaTA</t>
  </si>
  <si>
    <t>Leonardo Salcedo</t>
  </si>
  <si>
    <t>Cesar Perez Vivas</t>
  </si>
  <si>
    <t>GOBERNACION DE TACHIRA</t>
  </si>
  <si>
    <t>TACHIRA</t>
  </si>
  <si>
    <t>AYACUCHO</t>
  </si>
  <si>
    <t>CARDENAS</t>
  </si>
  <si>
    <t>JUNIN</t>
  </si>
  <si>
    <t>SAN CRISTOBAL</t>
  </si>
  <si>
    <t>GARCIA DE HEVIA</t>
  </si>
  <si>
    <t>GUASIMOS</t>
  </si>
  <si>
    <t>ANDRES BELLO</t>
  </si>
  <si>
    <t>LIBERTAD</t>
  </si>
  <si>
    <t>TORBES</t>
  </si>
  <si>
    <t>Estado Trujillo</t>
  </si>
  <si>
    <t>Hugo Cabezas</t>
  </si>
  <si>
    <t>Enrique Catalan</t>
  </si>
  <si>
    <t>GOBERNACION DE TRUJILLO</t>
  </si>
  <si>
    <t>TRUJILLO</t>
  </si>
  <si>
    <t>BOCONO</t>
  </si>
  <si>
    <t>CARACHE</t>
  </si>
  <si>
    <t>ESCUQUE</t>
  </si>
  <si>
    <t>VALERA</t>
  </si>
  <si>
    <t>PAMPAN</t>
  </si>
  <si>
    <t>SAN RAFAEL DE CARVAJAL</t>
  </si>
  <si>
    <t>PAMPANITO</t>
  </si>
  <si>
    <t>Barinas</t>
  </si>
  <si>
    <t>Mérida</t>
  </si>
  <si>
    <t>Táchira</t>
  </si>
  <si>
    <t>Trujillo</t>
  </si>
  <si>
    <t>tachira</t>
  </si>
</sst>
</file>

<file path=xl/styles.xml><?xml version="1.0" encoding="utf-8"?>
<styleSheet xmlns="http://schemas.openxmlformats.org/spreadsheetml/2006/main">
  <numFmts count="1">
    <numFmt numFmtId="164" formatCode="0.0%"/>
  </numFmts>
  <fonts count="36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</font>
    <font>
      <sz val="14"/>
      <name val="Arial"/>
      <family val="2"/>
    </font>
    <font>
      <sz val="22"/>
      <name val="Arial"/>
      <family val="2"/>
    </font>
    <font>
      <b/>
      <sz val="11"/>
      <name val="Arial"/>
      <family val="2"/>
    </font>
    <font>
      <b/>
      <i/>
      <u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0"/>
      <color rgb="FF006600"/>
      <name val="Arial"/>
      <family val="2"/>
    </font>
    <font>
      <i/>
      <sz val="26"/>
      <color rgb="FF7030A0"/>
      <name val="Arial"/>
      <family val="2"/>
    </font>
    <font>
      <i/>
      <sz val="26"/>
      <color rgb="FFFF0000"/>
      <name val="Arial"/>
      <family val="2"/>
    </font>
    <font>
      <i/>
      <sz val="26"/>
      <color theme="9" tint="-0.249977111117893"/>
      <name val="Arial"/>
      <family val="2"/>
    </font>
    <font>
      <i/>
      <sz val="26"/>
      <color rgb="FF00B05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i/>
      <sz val="20"/>
      <color theme="3" tint="-0.249977111117893"/>
      <name val="Arial"/>
      <family val="2"/>
    </font>
    <font>
      <i/>
      <sz val="18"/>
      <color theme="3" tint="-0.249977111117893"/>
      <name val="Arial"/>
      <family val="2"/>
    </font>
    <font>
      <i/>
      <sz val="10"/>
      <color theme="9" tint="-0.249977111117893"/>
      <name val="Arial"/>
      <family val="2"/>
    </font>
    <font>
      <b/>
      <sz val="11"/>
      <color theme="3" tint="-0.249977111117893"/>
      <name val="Arial"/>
      <family val="2"/>
    </font>
    <font>
      <b/>
      <i/>
      <sz val="11"/>
      <color theme="3" tint="-0.249977111117893"/>
      <name val="Arial"/>
      <family val="2"/>
    </font>
    <font>
      <sz val="36"/>
      <color theme="3" tint="-0.249977111117893"/>
      <name val="Arial"/>
      <family val="2"/>
    </font>
    <font>
      <b/>
      <i/>
      <sz val="10"/>
      <color rgb="FF009900"/>
      <name val="Arial"/>
      <family val="2"/>
    </font>
    <font>
      <b/>
      <i/>
      <u/>
      <sz val="10"/>
      <color rgb="FF009900"/>
      <name val="Arial"/>
      <family val="2"/>
    </font>
    <font>
      <sz val="10"/>
      <color rgb="FF002060"/>
      <name val="Arial"/>
      <family val="2"/>
    </font>
    <font>
      <b/>
      <i/>
      <u/>
      <sz val="11"/>
      <color rgb="FF002060"/>
      <name val="Arial"/>
      <family val="2"/>
    </font>
    <font>
      <b/>
      <sz val="11"/>
      <color rgb="FF002060"/>
      <name val="Arial"/>
      <family val="2"/>
    </font>
    <font>
      <i/>
      <sz val="16"/>
      <color rgb="FF002060"/>
      <name val="Arial"/>
      <family val="2"/>
    </font>
    <font>
      <b/>
      <i/>
      <sz val="11"/>
      <color rgb="FF002060"/>
      <name val="Arial"/>
      <family val="2"/>
    </font>
    <font>
      <b/>
      <i/>
      <u/>
      <sz val="10"/>
      <color rgb="FFFF0000"/>
      <name val="Arial"/>
      <family val="2"/>
    </font>
    <font>
      <b/>
      <i/>
      <sz val="22"/>
      <color rgb="FF002060"/>
      <name val="Arial"/>
      <family val="2"/>
    </font>
    <font>
      <i/>
      <sz val="36"/>
      <color rgb="FF002060"/>
      <name val="Arial"/>
      <family val="2"/>
    </font>
    <font>
      <b/>
      <i/>
      <sz val="20"/>
      <color rgb="FFFF0000"/>
      <name val="Arial"/>
      <family val="2"/>
    </font>
    <font>
      <i/>
      <sz val="26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77">
    <xf numFmtId="0" fontId="0" fillId="0" borderId="0" xfId="0"/>
    <xf numFmtId="1" fontId="2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 indent="1"/>
    </xf>
    <xf numFmtId="1" fontId="0" fillId="0" borderId="2" xfId="0" applyNumberFormat="1" applyBorder="1" applyAlignment="1">
      <alignment horizontal="right" vertical="center" indent="1"/>
    </xf>
    <xf numFmtId="1" fontId="0" fillId="0" borderId="0" xfId="0" applyNumberFormat="1" applyBorder="1" applyAlignment="1">
      <alignment horizontal="right" vertical="center" indent="1"/>
    </xf>
    <xf numFmtId="20" fontId="0" fillId="0" borderId="0" xfId="0" applyNumberFormat="1" applyAlignment="1">
      <alignment vertical="center"/>
    </xf>
    <xf numFmtId="1" fontId="0" fillId="0" borderId="3" xfId="0" applyNumberFormat="1" applyBorder="1" applyAlignment="1">
      <alignment horizontal="right" vertical="center" indent="1"/>
    </xf>
    <xf numFmtId="1" fontId="0" fillId="0" borderId="4" xfId="0" applyNumberFormat="1" applyBorder="1" applyAlignment="1">
      <alignment horizontal="right" vertical="center" indent="1"/>
    </xf>
    <xf numFmtId="2" fontId="0" fillId="0" borderId="5" xfId="0" applyNumberFormat="1" applyBorder="1" applyAlignment="1">
      <alignment horizontal="right" vertical="center" indent="1"/>
    </xf>
    <xf numFmtId="2" fontId="0" fillId="0" borderId="0" xfId="0" applyNumberFormat="1" applyBorder="1" applyAlignment="1">
      <alignment horizontal="right" vertical="center" indent="1"/>
    </xf>
    <xf numFmtId="2" fontId="0" fillId="0" borderId="4" xfId="0" applyNumberFormat="1" applyBorder="1" applyAlignment="1">
      <alignment horizontal="right" vertical="center" inden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9" fontId="6" fillId="3" borderId="7" xfId="0" applyNumberFormat="1" applyFont="1" applyFill="1" applyBorder="1" applyAlignment="1" applyProtection="1">
      <alignment horizontal="center" vertical="center"/>
      <protection locked="0"/>
    </xf>
    <xf numFmtId="0" fontId="6" fillId="3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5" fillId="0" borderId="0" xfId="0" applyFont="1" applyAlignment="1">
      <alignment horizontal="right" vertical="center"/>
    </xf>
    <xf numFmtId="0" fontId="7" fillId="2" borderId="6" xfId="0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5" borderId="7" xfId="0" applyNumberFormat="1" applyFont="1" applyFill="1" applyBorder="1" applyAlignment="1" applyProtection="1">
      <alignment horizontal="center" vertical="center"/>
      <protection locked="0"/>
    </xf>
    <xf numFmtId="0" fontId="6" fillId="5" borderId="7" xfId="0" applyNumberFormat="1" applyFont="1" applyFill="1" applyBorder="1" applyAlignment="1" applyProtection="1">
      <alignment horizontal="center" vertical="center"/>
      <protection locked="0"/>
    </xf>
    <xf numFmtId="1" fontId="5" fillId="3" borderId="10" xfId="0" applyNumberFormat="1" applyFont="1" applyFill="1" applyBorder="1" applyAlignment="1" applyProtection="1">
      <alignment horizontal="right" vertical="center" indent="2"/>
      <protection locked="0"/>
    </xf>
    <xf numFmtId="1" fontId="5" fillId="3" borderId="11" xfId="0" applyNumberFormat="1" applyFont="1" applyFill="1" applyBorder="1" applyAlignment="1" applyProtection="1">
      <alignment horizontal="right" vertical="center" indent="2"/>
      <protection locked="0"/>
    </xf>
    <xf numFmtId="1" fontId="0" fillId="0" borderId="12" xfId="0" quotePrefix="1" applyNumberFormat="1" applyBorder="1" applyAlignment="1">
      <alignment horizontal="right" vertical="center" indent="1"/>
    </xf>
    <xf numFmtId="1" fontId="0" fillId="0" borderId="13" xfId="0" quotePrefix="1" applyNumberFormat="1" applyBorder="1" applyAlignment="1">
      <alignment horizontal="right" vertical="center" indent="1"/>
    </xf>
    <xf numFmtId="2" fontId="0" fillId="0" borderId="13" xfId="0" applyNumberFormat="1" applyBorder="1" applyAlignment="1">
      <alignment horizontal="right" vertical="center" indent="1"/>
    </xf>
    <xf numFmtId="2" fontId="0" fillId="0" borderId="14" xfId="0" applyNumberFormat="1" applyBorder="1" applyAlignment="1">
      <alignment horizontal="right" vertical="center" inden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" fontId="5" fillId="6" borderId="10" xfId="0" applyNumberFormat="1" applyFont="1" applyFill="1" applyBorder="1" applyAlignment="1" applyProtection="1">
      <alignment horizontal="right" vertical="center" indent="2"/>
      <protection locked="0"/>
    </xf>
    <xf numFmtId="1" fontId="5" fillId="6" borderId="11" xfId="0" applyNumberFormat="1" applyFont="1" applyFill="1" applyBorder="1" applyAlignment="1" applyProtection="1">
      <alignment horizontal="right" vertical="center" indent="2"/>
      <protection locked="0"/>
    </xf>
    <xf numFmtId="49" fontId="6" fillId="6" borderId="7" xfId="0" applyNumberFormat="1" applyFont="1" applyFill="1" applyBorder="1" applyAlignment="1" applyProtection="1">
      <alignment horizontal="right" vertical="center" indent="2"/>
      <protection locked="0"/>
    </xf>
    <xf numFmtId="0" fontId="6" fillId="6" borderId="7" xfId="0" applyNumberFormat="1" applyFont="1" applyFill="1" applyBorder="1" applyAlignment="1" applyProtection="1">
      <alignment horizontal="right" vertical="center" indent="2"/>
      <protection locked="0"/>
    </xf>
    <xf numFmtId="0" fontId="6" fillId="6" borderId="9" xfId="0" applyNumberFormat="1" applyFont="1" applyFill="1" applyBorder="1" applyAlignment="1" applyProtection="1">
      <alignment horizontal="right" vertical="center" indent="2"/>
      <protection locked="0"/>
    </xf>
    <xf numFmtId="1" fontId="5" fillId="6" borderId="15" xfId="0" applyNumberFormat="1" applyFont="1" applyFill="1" applyBorder="1" applyAlignment="1" applyProtection="1">
      <alignment horizontal="right" vertical="center" indent="2"/>
      <protection locked="0"/>
    </xf>
    <xf numFmtId="1" fontId="5" fillId="6" borderId="16" xfId="0" applyNumberFormat="1" applyFont="1" applyFill="1" applyBorder="1" applyAlignment="1" applyProtection="1">
      <alignment horizontal="right" vertical="center" indent="2"/>
      <protection locked="0"/>
    </xf>
    <xf numFmtId="1" fontId="7" fillId="2" borderId="6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 wrapText="1"/>
    </xf>
    <xf numFmtId="1" fontId="5" fillId="4" borderId="11" xfId="0" applyNumberFormat="1" applyFont="1" applyFill="1" applyBorder="1" applyAlignment="1" applyProtection="1">
      <alignment horizontal="right" vertical="center" indent="2"/>
      <protection locked="0"/>
    </xf>
    <xf numFmtId="1" fontId="5" fillId="5" borderId="10" xfId="0" applyNumberFormat="1" applyFont="1" applyFill="1" applyBorder="1" applyAlignment="1" applyProtection="1">
      <alignment horizontal="right" vertical="center" indent="2"/>
      <protection locked="0"/>
    </xf>
    <xf numFmtId="1" fontId="5" fillId="5" borderId="11" xfId="0" applyNumberFormat="1" applyFont="1" applyFill="1" applyBorder="1" applyAlignment="1" applyProtection="1">
      <alignment horizontal="right" vertical="center" indent="2"/>
      <protection locked="0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164" fontId="3" fillId="0" borderId="0" xfId="2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 wrapText="1"/>
    </xf>
    <xf numFmtId="20" fontId="3" fillId="0" borderId="0" xfId="0" applyNumberFormat="1" applyFont="1" applyBorder="1" applyAlignment="1">
      <alignment vertical="center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locked="0"/>
    </xf>
    <xf numFmtId="1" fontId="3" fillId="7" borderId="21" xfId="0" applyNumberFormat="1" applyFont="1" applyFill="1" applyBorder="1" applyAlignment="1">
      <alignment horizontal="center" vertical="center"/>
    </xf>
    <xf numFmtId="0" fontId="3" fillId="0" borderId="23" xfId="0" applyFont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Border="1" applyAlignment="1" applyProtection="1">
      <alignment horizontal="center"/>
      <protection locked="0"/>
    </xf>
    <xf numFmtId="0" fontId="25" fillId="0" borderId="0" xfId="1" applyFont="1" applyAlignment="1" applyProtection="1">
      <alignment vertical="center"/>
    </xf>
    <xf numFmtId="20" fontId="3" fillId="0" borderId="24" xfId="0" applyNumberFormat="1" applyFont="1" applyBorder="1" applyAlignment="1">
      <alignment horizontal="center" vertical="center"/>
    </xf>
    <xf numFmtId="20" fontId="3" fillId="0" borderId="25" xfId="0" applyNumberFormat="1" applyFont="1" applyBorder="1" applyAlignment="1">
      <alignment horizontal="center" vertical="center"/>
    </xf>
    <xf numFmtId="20" fontId="3" fillId="0" borderId="26" xfId="0" applyNumberFormat="1" applyFont="1" applyBorder="1" applyAlignment="1">
      <alignment horizontal="center" vertical="center"/>
    </xf>
    <xf numFmtId="0" fontId="3" fillId="0" borderId="19" xfId="0" applyFont="1" applyBorder="1" applyAlignment="1" applyProtection="1">
      <alignment horizontal="center"/>
      <protection locked="0"/>
    </xf>
    <xf numFmtId="1" fontId="25" fillId="0" borderId="0" xfId="0" applyNumberFormat="1" applyFont="1" applyBorder="1" applyAlignment="1">
      <alignment horizontal="center" vertical="center" wrapText="1"/>
    </xf>
    <xf numFmtId="0" fontId="25" fillId="0" borderId="0" xfId="0" applyFont="1" applyBorder="1" applyAlignment="1" applyProtection="1">
      <alignment horizontal="center"/>
      <protection locked="0"/>
    </xf>
    <xf numFmtId="0" fontId="25" fillId="0" borderId="0" xfId="0" applyFont="1" applyAlignment="1">
      <alignment vertical="center"/>
    </xf>
    <xf numFmtId="0" fontId="2" fillId="0" borderId="0" xfId="0" applyFont="1" applyBorder="1" applyAlignment="1" applyProtection="1">
      <alignment horizont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/>
      <protection locked="0"/>
    </xf>
    <xf numFmtId="0" fontId="3" fillId="0" borderId="29" xfId="0" applyFont="1" applyBorder="1" applyAlignment="1" applyProtection="1">
      <alignment horizontal="center"/>
      <protection locked="0"/>
    </xf>
    <xf numFmtId="0" fontId="0" fillId="0" borderId="0" xfId="0" applyFill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Fill="1"/>
    <xf numFmtId="0" fontId="7" fillId="0" borderId="0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vertical="center"/>
    </xf>
    <xf numFmtId="20" fontId="0" fillId="0" borderId="0" xfId="0" applyNumberFormat="1" applyAlignment="1">
      <alignment horizontal="center" vertical="center"/>
    </xf>
    <xf numFmtId="0" fontId="10" fillId="0" borderId="23" xfId="0" applyFont="1" applyBorder="1" applyAlignment="1">
      <alignment horizontal="left" indent="1"/>
    </xf>
    <xf numFmtId="0" fontId="10" fillId="0" borderId="22" xfId="0" applyFont="1" applyBorder="1" applyAlignment="1">
      <alignment horizontal="left" indent="1"/>
    </xf>
    <xf numFmtId="0" fontId="3" fillId="0" borderId="22" xfId="0" applyFont="1" applyBorder="1" applyAlignment="1">
      <alignment horizontal="center"/>
    </xf>
    <xf numFmtId="2" fontId="3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7" fillId="0" borderId="0" xfId="1" applyFont="1" applyAlignment="1" applyProtection="1">
      <alignment vertical="center"/>
    </xf>
    <xf numFmtId="0" fontId="30" fillId="0" borderId="0" xfId="0" applyFont="1" applyAlignment="1">
      <alignment vertical="center"/>
    </xf>
    <xf numFmtId="0" fontId="25" fillId="0" borderId="0" xfId="0" applyFont="1" applyBorder="1"/>
    <xf numFmtId="0" fontId="3" fillId="0" borderId="25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1" fillId="0" borderId="0" xfId="0" applyFont="1" applyAlignment="1">
      <alignment vertical="center"/>
    </xf>
    <xf numFmtId="0" fontId="10" fillId="0" borderId="32" xfId="0" applyFont="1" applyBorder="1" applyAlignment="1">
      <alignment horizontal="left" indent="1"/>
    </xf>
    <xf numFmtId="0" fontId="10" fillId="0" borderId="18" xfId="0" applyFont="1" applyBorder="1" applyAlignment="1">
      <alignment horizontal="left" indent="1"/>
    </xf>
    <xf numFmtId="0" fontId="10" fillId="0" borderId="20" xfId="0" applyFont="1" applyBorder="1" applyAlignment="1">
      <alignment horizontal="left" indent="1"/>
    </xf>
    <xf numFmtId="0" fontId="3" fillId="0" borderId="23" xfId="0" applyFont="1" applyBorder="1" applyAlignment="1" applyProtection="1">
      <alignment horizontal="center"/>
      <protection locked="0"/>
    </xf>
    <xf numFmtId="0" fontId="3" fillId="0" borderId="17" xfId="0" applyFont="1" applyBorder="1" applyAlignment="1">
      <alignment horizontal="center"/>
    </xf>
    <xf numFmtId="20" fontId="3" fillId="0" borderId="33" xfId="0" applyNumberFormat="1" applyFont="1" applyBorder="1" applyAlignment="1">
      <alignment horizontal="center" vertical="center"/>
    </xf>
    <xf numFmtId="20" fontId="3" fillId="0" borderId="34" xfId="0" applyNumberFormat="1" applyFont="1" applyBorder="1" applyAlignment="1">
      <alignment horizontal="center" vertical="center"/>
    </xf>
    <xf numFmtId="20" fontId="3" fillId="0" borderId="35" xfId="0" applyNumberFormat="1" applyFont="1" applyBorder="1" applyAlignment="1">
      <alignment horizontal="center" vertical="center"/>
    </xf>
    <xf numFmtId="1" fontId="3" fillId="0" borderId="25" xfId="0" applyNumberFormat="1" applyFont="1" applyFill="1" applyBorder="1" applyAlignment="1">
      <alignment horizontal="center" vertical="center"/>
    </xf>
    <xf numFmtId="1" fontId="3" fillId="0" borderId="26" xfId="0" applyNumberFormat="1" applyFont="1" applyFill="1" applyBorder="1" applyAlignment="1">
      <alignment horizontal="center" vertical="center"/>
    </xf>
    <xf numFmtId="1" fontId="3" fillId="7" borderId="17" xfId="0" applyNumberFormat="1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horizontal="left"/>
      <protection locked="0"/>
    </xf>
    <xf numFmtId="1" fontId="2" fillId="0" borderId="0" xfId="0" applyNumberFormat="1" applyFont="1" applyBorder="1" applyAlignment="1">
      <alignment horizontal="left" vertical="center" wrapText="1"/>
    </xf>
    <xf numFmtId="1" fontId="5" fillId="4" borderId="36" xfId="0" applyNumberFormat="1" applyFont="1" applyFill="1" applyBorder="1" applyAlignment="1" applyProtection="1">
      <alignment horizontal="right" vertical="center" indent="2"/>
      <protection locked="0"/>
    </xf>
    <xf numFmtId="0" fontId="3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5" fillId="4" borderId="37" xfId="0" applyNumberFormat="1" applyFont="1" applyFill="1" applyBorder="1" applyAlignment="1" applyProtection="1">
      <alignment horizontal="right" vertical="center" indent="2"/>
      <protection locked="0"/>
    </xf>
    <xf numFmtId="1" fontId="5" fillId="4" borderId="38" xfId="0" applyNumberFormat="1" applyFont="1" applyFill="1" applyBorder="1" applyAlignment="1" applyProtection="1">
      <alignment horizontal="right" vertical="center" indent="2"/>
      <protection locked="0"/>
    </xf>
    <xf numFmtId="49" fontId="6" fillId="4" borderId="39" xfId="0" applyNumberFormat="1" applyFont="1" applyFill="1" applyBorder="1" applyAlignment="1" applyProtection="1">
      <alignment horizontal="center" vertical="center"/>
      <protection locked="0"/>
    </xf>
    <xf numFmtId="0" fontId="6" fillId="4" borderId="39" xfId="0" applyNumberFormat="1" applyFont="1" applyFill="1" applyBorder="1" applyAlignment="1" applyProtection="1">
      <alignment horizontal="center" vertical="center"/>
      <protection locked="0"/>
    </xf>
    <xf numFmtId="0" fontId="6" fillId="4" borderId="40" xfId="0" applyNumberFormat="1" applyFont="1" applyFill="1" applyBorder="1" applyAlignment="1" applyProtection="1">
      <alignment horizontal="center" vertical="center"/>
      <protection locked="0"/>
    </xf>
    <xf numFmtId="0" fontId="10" fillId="0" borderId="18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10" fillId="0" borderId="32" xfId="0" applyFont="1" applyBorder="1" applyAlignment="1">
      <alignment horizontal="left"/>
    </xf>
    <xf numFmtId="1" fontId="3" fillId="0" borderId="24" xfId="0" applyNumberFormat="1" applyFont="1" applyFill="1" applyBorder="1" applyAlignment="1">
      <alignment horizontal="center" vertical="center"/>
    </xf>
    <xf numFmtId="1" fontId="3" fillId="7" borderId="41" xfId="0" applyNumberFormat="1" applyFont="1" applyFill="1" applyBorder="1" applyAlignment="1">
      <alignment horizontal="center" vertical="center"/>
    </xf>
    <xf numFmtId="0" fontId="3" fillId="0" borderId="42" xfId="0" applyFont="1" applyBorder="1" applyAlignment="1" applyProtection="1">
      <alignment horizontal="center"/>
      <protection locked="0"/>
    </xf>
    <xf numFmtId="1" fontId="3" fillId="0" borderId="43" xfId="0" applyNumberFormat="1" applyFont="1" applyFill="1" applyBorder="1" applyAlignment="1">
      <alignment horizontal="center" vertical="center"/>
    </xf>
    <xf numFmtId="1" fontId="3" fillId="0" borderId="44" xfId="0" applyNumberFormat="1" applyFont="1" applyFill="1" applyBorder="1" applyAlignment="1">
      <alignment horizontal="center" vertical="center"/>
    </xf>
    <xf numFmtId="1" fontId="3" fillId="0" borderId="45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1" fontId="3" fillId="7" borderId="24" xfId="0" applyNumberFormat="1" applyFont="1" applyFill="1" applyBorder="1" applyAlignment="1">
      <alignment horizontal="center" vertical="center"/>
    </xf>
    <xf numFmtId="1" fontId="3" fillId="7" borderId="46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47" xfId="0" applyFont="1" applyBorder="1" applyAlignment="1" applyProtection="1">
      <alignment horizontal="center"/>
      <protection locked="0"/>
    </xf>
    <xf numFmtId="0" fontId="3" fillId="0" borderId="48" xfId="0" applyFont="1" applyBorder="1" applyAlignment="1" applyProtection="1">
      <alignment horizontal="center" vertical="center"/>
      <protection locked="0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9" xfId="0" applyBorder="1" applyAlignment="1">
      <alignment horizontal="center"/>
    </xf>
    <xf numFmtId="0" fontId="3" fillId="0" borderId="17" xfId="0" applyFont="1" applyBorder="1" applyAlignment="1" applyProtection="1">
      <alignment horizontal="center"/>
    </xf>
    <xf numFmtId="0" fontId="3" fillId="0" borderId="27" xfId="0" applyFont="1" applyBorder="1" applyAlignment="1" applyProtection="1">
      <alignment horizontal="center"/>
      <protection locked="0"/>
    </xf>
    <xf numFmtId="1" fontId="3" fillId="7" borderId="50" xfId="0" applyNumberFormat="1" applyFont="1" applyFill="1" applyBorder="1" applyAlignment="1">
      <alignment horizontal="center" vertical="center"/>
    </xf>
    <xf numFmtId="0" fontId="3" fillId="0" borderId="22" xfId="0" applyFont="1" applyBorder="1" applyAlignment="1" applyProtection="1">
      <alignment horizontal="center"/>
      <protection locked="0"/>
    </xf>
    <xf numFmtId="0" fontId="3" fillId="0" borderId="49" xfId="0" applyFont="1" applyBorder="1" applyAlignment="1" applyProtection="1">
      <alignment horizontal="center"/>
      <protection locked="0"/>
    </xf>
    <xf numFmtId="0" fontId="25" fillId="0" borderId="0" xfId="1" applyFont="1" applyAlignment="1" applyProtection="1">
      <alignment vertical="center"/>
      <protection locked="0"/>
    </xf>
    <xf numFmtId="1" fontId="5" fillId="0" borderId="0" xfId="0" applyNumberFormat="1" applyFont="1" applyFill="1" applyBorder="1" applyAlignment="1" applyProtection="1">
      <alignment horizontal="right" vertical="center" indent="2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Protection="1"/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0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31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34" fillId="0" borderId="0" xfId="0" applyFont="1" applyBorder="1" applyAlignment="1" applyProtection="1">
      <alignment horizontal="center"/>
      <protection locked="0"/>
    </xf>
    <xf numFmtId="0" fontId="10" fillId="0" borderId="32" xfId="0" applyNumberFormat="1" applyFont="1" applyBorder="1" applyAlignment="1">
      <alignment horizontal="center" vertical="center" wrapText="1"/>
    </xf>
    <xf numFmtId="0" fontId="10" fillId="0" borderId="18" xfId="0" applyNumberFormat="1" applyFont="1" applyBorder="1" applyAlignment="1">
      <alignment horizontal="center" vertical="center" wrapText="1"/>
    </xf>
    <xf numFmtId="0" fontId="10" fillId="0" borderId="26" xfId="0" applyNumberFormat="1" applyFont="1" applyBorder="1" applyAlignment="1">
      <alignment horizontal="center" vertical="center" wrapText="1"/>
    </xf>
    <xf numFmtId="0" fontId="10" fillId="0" borderId="19" xfId="0" applyNumberFormat="1" applyFont="1" applyBorder="1" applyAlignment="1">
      <alignment horizontal="center" vertical="center" wrapText="1"/>
    </xf>
    <xf numFmtId="0" fontId="10" fillId="0" borderId="12" xfId="0" applyNumberFormat="1" applyFont="1" applyBorder="1" applyAlignment="1">
      <alignment horizontal="center" vertical="center" wrapText="1"/>
    </xf>
    <xf numFmtId="0" fontId="10" fillId="0" borderId="3" xfId="0" applyNumberFormat="1" applyFont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Porcentual" xfId="2" builtinId="5"/>
  </cellStyles>
  <dxfs count="24"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62"/>
        </c:manualLayout>
      </c:layout>
      <c:lineChart>
        <c:grouping val="standard"/>
        <c:ser>
          <c:idx val="0"/>
          <c:order val="0"/>
          <c:tx>
            <c:strRef>
              <c:f>Trujillo!$O$8:$Q$8</c:f>
              <c:strCache>
                <c:ptCount val="1"/>
                <c:pt idx="0">
                  <c:v>Hugo Cabezas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Táchira!$M$10:$M$29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Trujillo!$Q$10:$Q$29</c:f>
              <c:numCache>
                <c:formatCode>0.00</c:formatCode>
                <c:ptCount val="20"/>
                <c:pt idx="0">
                  <c:v>0.53465346534653468</c:v>
                </c:pt>
                <c:pt idx="1">
                  <c:v>0.53768844221105527</c:v>
                </c:pt>
                <c:pt idx="2">
                  <c:v>0.53872053872053871</c:v>
                </c:pt>
                <c:pt idx="3">
                  <c:v>0.53615960099750626</c:v>
                </c:pt>
                <c:pt idx="4">
                  <c:v>0.53465346534653468</c:v>
                </c:pt>
                <c:pt idx="5">
                  <c:v>0.5336617405582923</c:v>
                </c:pt>
                <c:pt idx="6">
                  <c:v>0.53295932678821878</c:v>
                </c:pt>
                <c:pt idx="7">
                  <c:v>0.53243574051407594</c:v>
                </c:pt>
                <c:pt idx="8">
                  <c:v>0.53203040173724214</c:v>
                </c:pt>
                <c:pt idx="9">
                  <c:v>0.53170731707317076</c:v>
                </c:pt>
                <c:pt idx="10">
                  <c:v>0.53144375553587242</c:v>
                </c:pt>
                <c:pt idx="11">
                  <c:v>0.53122465531224661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Trujillo!$R$8:$T$8</c:f>
              <c:strCache>
                <c:ptCount val="1"/>
                <c:pt idx="0">
                  <c:v>Enrique Catalan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Táchira!$M$10:$M$29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Trujillo!$T$10:$T$29</c:f>
              <c:numCache>
                <c:formatCode>0.00</c:formatCode>
                <c:ptCount val="20"/>
                <c:pt idx="0">
                  <c:v>0.26732673267326734</c:v>
                </c:pt>
                <c:pt idx="1">
                  <c:v>0.26633165829145727</c:v>
                </c:pt>
                <c:pt idx="2">
                  <c:v>0.265993265993266</c:v>
                </c:pt>
                <c:pt idx="3">
                  <c:v>0.27182044887780549</c:v>
                </c:pt>
                <c:pt idx="4">
                  <c:v>0.27524752475247527</c:v>
                </c:pt>
                <c:pt idx="5">
                  <c:v>0.27750410509031198</c:v>
                </c:pt>
                <c:pt idx="6">
                  <c:v>0.27910238429172513</c:v>
                </c:pt>
                <c:pt idx="7">
                  <c:v>0.2802937576499388</c:v>
                </c:pt>
                <c:pt idx="8">
                  <c:v>0.28121606948968514</c:v>
                </c:pt>
                <c:pt idx="9">
                  <c:v>0.28195121951219509</c:v>
                </c:pt>
                <c:pt idx="10">
                  <c:v>0.28255093002657217</c:v>
                </c:pt>
                <c:pt idx="11">
                  <c:v>0.28304947283049475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Trujillo!$U$8:$W$8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val>
            <c:numRef>
              <c:f>Trujillo!$W$10:$W$29</c:f>
              <c:numCache>
                <c:formatCode>0.00</c:formatCode>
                <c:ptCount val="20"/>
                <c:pt idx="0">
                  <c:v>0.19801980198019803</c:v>
                </c:pt>
                <c:pt idx="1">
                  <c:v>0.19597989949748743</c:v>
                </c:pt>
                <c:pt idx="2">
                  <c:v>0.19528619528619529</c:v>
                </c:pt>
                <c:pt idx="3">
                  <c:v>0.19201995012468828</c:v>
                </c:pt>
                <c:pt idx="4">
                  <c:v>0.1900990099009901</c:v>
                </c:pt>
                <c:pt idx="5">
                  <c:v>0.18883415435139572</c:v>
                </c:pt>
                <c:pt idx="6">
                  <c:v>0.1879382889200561</c:v>
                </c:pt>
                <c:pt idx="7">
                  <c:v>0.18727050183598531</c:v>
                </c:pt>
                <c:pt idx="8">
                  <c:v>0.18675352877307275</c:v>
                </c:pt>
                <c:pt idx="9">
                  <c:v>0.18634146341463415</c:v>
                </c:pt>
                <c:pt idx="10">
                  <c:v>0.18600531443755536</c:v>
                </c:pt>
                <c:pt idx="11">
                  <c:v>0.18572587185725872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</c:ser>
        <c:marker val="1"/>
        <c:axId val="96869376"/>
        <c:axId val="97932416"/>
      </c:lineChart>
      <c:catAx>
        <c:axId val="96869376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97932416"/>
        <c:crosses val="autoZero"/>
        <c:auto val="1"/>
        <c:lblAlgn val="ctr"/>
        <c:lblOffset val="100"/>
      </c:catAx>
      <c:valAx>
        <c:axId val="97932416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96869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66" r="0.75000000000000266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3.5381750465549415E-3"/>
                  <c:y val="-0.22631800092233609"/>
                </c:manualLayout>
              </c:layout>
              <c:showVal val="1"/>
            </c:dLbl>
            <c:dLbl>
              <c:idx val="1"/>
              <c:layout>
                <c:manualLayout>
                  <c:x val="2.96296296296296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42"/>
                </c:manualLayout>
              </c:layout>
              <c:showVal val="1"/>
            </c:dLbl>
            <c:dLbl>
              <c:idx val="3"/>
              <c:layout>
                <c:manualLayout>
                  <c:x val="1.4897579143389225E-2"/>
                  <c:y val="-0.21717047841904788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Trujillo!$O$2:$O$4</c:f>
              <c:strCache>
                <c:ptCount val="3"/>
                <c:pt idx="0">
                  <c:v>Hugo Cabezas</c:v>
                </c:pt>
                <c:pt idx="1">
                  <c:v>Enrique Catalan</c:v>
                </c:pt>
                <c:pt idx="2">
                  <c:v>Otro</c:v>
                </c:pt>
              </c:strCache>
            </c:strRef>
          </c:cat>
          <c:val>
            <c:numRef>
              <c:f>Trujillo!$P$2:$P$4</c:f>
              <c:numCache>
                <c:formatCode>0.0%</c:formatCode>
                <c:ptCount val="3"/>
                <c:pt idx="0">
                  <c:v>0.53122465531224661</c:v>
                </c:pt>
                <c:pt idx="1">
                  <c:v>0.28304947283049475</c:v>
                </c:pt>
                <c:pt idx="2">
                  <c:v>0.18572587185725872</c:v>
                </c:pt>
              </c:numCache>
            </c:numRef>
          </c:val>
        </c:ser>
        <c:dLbls>
          <c:showVal val="1"/>
        </c:dLbls>
        <c:gapWidth val="75"/>
        <c:shape val="box"/>
        <c:axId val="97964032"/>
        <c:axId val="97965568"/>
        <c:axId val="0"/>
      </c:bar3DChart>
      <c:catAx>
        <c:axId val="979640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7965568"/>
        <c:crosses val="autoZero"/>
        <c:auto val="1"/>
        <c:lblAlgn val="ctr"/>
        <c:lblOffset val="100"/>
      </c:catAx>
      <c:valAx>
        <c:axId val="97965568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79640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51"/>
        </c:manualLayout>
      </c:layout>
      <c:lineChart>
        <c:grouping val="standard"/>
        <c:ser>
          <c:idx val="0"/>
          <c:order val="0"/>
          <c:tx>
            <c:strRef>
              <c:f>Táchira!$E$8</c:f>
              <c:strCache>
                <c:ptCount val="1"/>
                <c:pt idx="0">
                  <c:v>Leonardo Salcedo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Táchira!$M$10:$M$29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Táchira!$Q$10:$Q$29</c:f>
              <c:numCache>
                <c:formatCode>0.00</c:formatCode>
                <c:ptCount val="20"/>
                <c:pt idx="0">
                  <c:v>0.38297872340425532</c:v>
                </c:pt>
                <c:pt idx="1">
                  <c:v>0.39650872817955113</c:v>
                </c:pt>
                <c:pt idx="2">
                  <c:v>0.39808481532147744</c:v>
                </c:pt>
                <c:pt idx="3">
                  <c:v>0.40053285968028418</c:v>
                </c:pt>
                <c:pt idx="4">
                  <c:v>0.40219629375428961</c:v>
                </c:pt>
                <c:pt idx="5">
                  <c:v>0.40218642117376296</c:v>
                </c:pt>
                <c:pt idx="6">
                  <c:v>0.39467312348668282</c:v>
                </c:pt>
                <c:pt idx="7">
                  <c:v>0.38777255237280889</c:v>
                </c:pt>
                <c:pt idx="8">
                  <c:v>0.39023452518262208</c:v>
                </c:pt>
                <c:pt idx="9">
                  <c:v>0.39369527145359018</c:v>
                </c:pt>
                <c:pt idx="10">
                  <c:v>0.39729119638826182</c:v>
                </c:pt>
                <c:pt idx="11">
                  <c:v>0.39736684619988033</c:v>
                </c:pt>
                <c:pt idx="12">
                  <c:v>0.39882615986584685</c:v>
                </c:pt>
                <c:pt idx="13">
                  <c:v>0.39790153349475382</c:v>
                </c:pt>
                <c:pt idx="14">
                  <c:v>0.40031438302331673</c:v>
                </c:pt>
                <c:pt idx="15">
                  <c:v>0.40020470829068577</c:v>
                </c:pt>
                <c:pt idx="16">
                  <c:v>0.40025380710659897</c:v>
                </c:pt>
                <c:pt idx="17">
                  <c:v>0.40095886954327531</c:v>
                </c:pt>
                <c:pt idx="18">
                  <c:v>0.40145254194840974</c:v>
                </c:pt>
                <c:pt idx="19">
                  <c:v>0.40184584684459967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Táchira!$F$8</c:f>
              <c:strCache>
                <c:ptCount val="1"/>
                <c:pt idx="0">
                  <c:v>Cesar Perez Vivas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Táchira!$M$10:$M$29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Táchira!$T$10:$T$29</c:f>
              <c:numCache>
                <c:formatCode>0.00</c:formatCode>
                <c:ptCount val="20"/>
                <c:pt idx="0">
                  <c:v>0.48404255319148937</c:v>
                </c:pt>
                <c:pt idx="1">
                  <c:v>0.50124688279301743</c:v>
                </c:pt>
                <c:pt idx="2">
                  <c:v>0.51573187414500687</c:v>
                </c:pt>
                <c:pt idx="3">
                  <c:v>0.52220248667850799</c:v>
                </c:pt>
                <c:pt idx="4">
                  <c:v>0.52230610844200409</c:v>
                </c:pt>
                <c:pt idx="5">
                  <c:v>0.51898734177215189</c:v>
                </c:pt>
                <c:pt idx="6">
                  <c:v>0.51670702179176753</c:v>
                </c:pt>
                <c:pt idx="7">
                  <c:v>0.51945275758871312</c:v>
                </c:pt>
                <c:pt idx="8">
                  <c:v>0.51749327181853133</c:v>
                </c:pt>
                <c:pt idx="9">
                  <c:v>0.5138353765323993</c:v>
                </c:pt>
                <c:pt idx="10">
                  <c:v>0.50951306030312804</c:v>
                </c:pt>
                <c:pt idx="11">
                  <c:v>0.51017354877318966</c:v>
                </c:pt>
                <c:pt idx="12">
                  <c:v>0.50503074343208498</c:v>
                </c:pt>
                <c:pt idx="13">
                  <c:v>0.50497713209577622</c:v>
                </c:pt>
                <c:pt idx="14">
                  <c:v>0.50222687974849356</c:v>
                </c:pt>
                <c:pt idx="15">
                  <c:v>0.50179119754350054</c:v>
                </c:pt>
                <c:pt idx="16">
                  <c:v>0.50228426395939085</c:v>
                </c:pt>
                <c:pt idx="17">
                  <c:v>0.50214483976785262</c:v>
                </c:pt>
                <c:pt idx="18">
                  <c:v>0.50237916353618828</c:v>
                </c:pt>
                <c:pt idx="19">
                  <c:v>0.50236966824644547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Táchira!$G$8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Táchira!$M$10:$M$29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Táchira!$W$10:$W$29</c:f>
              <c:numCache>
                <c:formatCode>0.00</c:formatCode>
                <c:ptCount val="20"/>
                <c:pt idx="0">
                  <c:v>0.13297872340425532</c:v>
                </c:pt>
                <c:pt idx="1">
                  <c:v>0.10224438902743142</c:v>
                </c:pt>
                <c:pt idx="2">
                  <c:v>8.6183310533515731E-2</c:v>
                </c:pt>
                <c:pt idx="3">
                  <c:v>7.7264653641207812E-2</c:v>
                </c:pt>
                <c:pt idx="4">
                  <c:v>7.549759780370624E-2</c:v>
                </c:pt>
                <c:pt idx="5">
                  <c:v>7.882623705408516E-2</c:v>
                </c:pt>
                <c:pt idx="6">
                  <c:v>8.8619854721549637E-2</c:v>
                </c:pt>
                <c:pt idx="7">
                  <c:v>9.2774690038477978E-2</c:v>
                </c:pt>
                <c:pt idx="8">
                  <c:v>9.22722029988466E-2</c:v>
                </c:pt>
                <c:pt idx="9">
                  <c:v>9.2469352014010506E-2</c:v>
                </c:pt>
                <c:pt idx="10">
                  <c:v>9.3195743308610121E-2</c:v>
                </c:pt>
                <c:pt idx="11">
                  <c:v>9.2459605026929986E-2</c:v>
                </c:pt>
                <c:pt idx="12">
                  <c:v>9.6143096702068193E-2</c:v>
                </c:pt>
                <c:pt idx="13">
                  <c:v>9.7121334409470003E-2</c:v>
                </c:pt>
                <c:pt idx="14">
                  <c:v>9.7458737228189679E-2</c:v>
                </c:pt>
                <c:pt idx="15">
                  <c:v>9.800409416581371E-2</c:v>
                </c:pt>
                <c:pt idx="16">
                  <c:v>9.746192893401015E-2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98839552"/>
        <c:axId val="98862208"/>
      </c:lineChart>
      <c:catAx>
        <c:axId val="98839552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98862208"/>
        <c:crosses val="autoZero"/>
        <c:auto val="1"/>
        <c:lblAlgn val="ctr"/>
        <c:lblOffset val="100"/>
      </c:catAx>
      <c:valAx>
        <c:axId val="98862208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988395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44" r="0.75000000000000244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43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1.0986964618249571E-2"/>
                  <c:y val="-0.22832980972515857"/>
                </c:manualLayout>
              </c:layout>
              <c:showVal val="1"/>
            </c:dLbl>
            <c:dLbl>
              <c:idx val="1"/>
              <c:layout>
                <c:manualLayout>
                  <c:x val="2.962962962962967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53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9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Táchira!$O$2:$O$4</c:f>
              <c:strCache>
                <c:ptCount val="3"/>
                <c:pt idx="0">
                  <c:v>Leonardo Salcedo</c:v>
                </c:pt>
                <c:pt idx="1">
                  <c:v>Cesar Perez Vivas</c:v>
                </c:pt>
                <c:pt idx="2">
                  <c:v>Otro</c:v>
                </c:pt>
              </c:strCache>
            </c:strRef>
          </c:cat>
          <c:val>
            <c:numRef>
              <c:f>Táchira!$P$2:$P$4</c:f>
              <c:numCache>
                <c:formatCode>0.0%</c:formatCode>
                <c:ptCount val="3"/>
                <c:pt idx="0">
                  <c:v>0.40184584684459967</c:v>
                </c:pt>
                <c:pt idx="1">
                  <c:v>0.50236966824644547</c:v>
                </c:pt>
                <c:pt idx="2">
                  <c:v>9.5784484908954845E-2</c:v>
                </c:pt>
              </c:numCache>
            </c:numRef>
          </c:val>
        </c:ser>
        <c:dLbls>
          <c:showVal val="1"/>
        </c:dLbls>
        <c:gapWidth val="75"/>
        <c:shape val="box"/>
        <c:axId val="98884608"/>
        <c:axId val="98886400"/>
        <c:axId val="0"/>
      </c:bar3DChart>
      <c:catAx>
        <c:axId val="988846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8886400"/>
        <c:crosses val="autoZero"/>
        <c:auto val="1"/>
        <c:lblAlgn val="ctr"/>
        <c:lblOffset val="100"/>
      </c:catAx>
      <c:valAx>
        <c:axId val="98886400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88846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62"/>
        </c:manualLayout>
      </c:layout>
      <c:lineChart>
        <c:grouping val="standard"/>
        <c:ser>
          <c:idx val="0"/>
          <c:order val="0"/>
          <c:tx>
            <c:strRef>
              <c:f>Mérida!$E$8</c:f>
              <c:strCache>
                <c:ptCount val="1"/>
                <c:pt idx="0">
                  <c:v>Marcos Diaz Orellana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Mérida!$N$10:$N$29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Mérida!$R$10:$R$29</c:f>
              <c:numCache>
                <c:formatCode>0.00</c:formatCode>
                <c:ptCount val="20"/>
                <c:pt idx="0">
                  <c:v>0.34166666666666667</c:v>
                </c:pt>
                <c:pt idx="1">
                  <c:v>0.34257748776508973</c:v>
                </c:pt>
                <c:pt idx="2">
                  <c:v>0.37211634904714141</c:v>
                </c:pt>
                <c:pt idx="3">
                  <c:v>0.37906423473433781</c:v>
                </c:pt>
                <c:pt idx="4">
                  <c:v>0.37405026300409117</c:v>
                </c:pt>
                <c:pt idx="5">
                  <c:v>0.36872759856630827</c:v>
                </c:pt>
                <c:pt idx="6">
                  <c:v>0.36511456023651145</c:v>
                </c:pt>
                <c:pt idx="7">
                  <c:v>0.36922122246354327</c:v>
                </c:pt>
                <c:pt idx="8">
                  <c:v>0.36335403726708076</c:v>
                </c:pt>
                <c:pt idx="9">
                  <c:v>0.36269035532994925</c:v>
                </c:pt>
                <c:pt idx="10">
                  <c:v>0.35770352096882707</c:v>
                </c:pt>
                <c:pt idx="11">
                  <c:v>0.35458976441917139</c:v>
                </c:pt>
                <c:pt idx="12">
                  <c:v>0.35359969117930901</c:v>
                </c:pt>
                <c:pt idx="13">
                  <c:v>0.34819611470860312</c:v>
                </c:pt>
                <c:pt idx="14">
                  <c:v>0.34459093371862021</c:v>
                </c:pt>
                <c:pt idx="15">
                  <c:v>0.3442273534635879</c:v>
                </c:pt>
                <c:pt idx="16">
                  <c:v>0.34288240495137046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Mérida!$F$8</c:f>
              <c:strCache>
                <c:ptCount val="1"/>
                <c:pt idx="0">
                  <c:v>Williams Davila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Mérida!$N$10:$N$29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Mérida!$U$10:$U$29</c:f>
              <c:numCache>
                <c:formatCode>0.00</c:formatCode>
                <c:ptCount val="20"/>
                <c:pt idx="0">
                  <c:v>0.56666666666666665</c:v>
                </c:pt>
                <c:pt idx="1">
                  <c:v>0.57585644371941269</c:v>
                </c:pt>
                <c:pt idx="2">
                  <c:v>0.56068204613841521</c:v>
                </c:pt>
                <c:pt idx="3">
                  <c:v>0.55670103092783507</c:v>
                </c:pt>
                <c:pt idx="4">
                  <c:v>0.57101110461718296</c:v>
                </c:pt>
                <c:pt idx="5">
                  <c:v>0.58333333333333337</c:v>
                </c:pt>
                <c:pt idx="6">
                  <c:v>0.58943089430894313</c:v>
                </c:pt>
                <c:pt idx="7">
                  <c:v>0.58920260626745269</c:v>
                </c:pt>
                <c:pt idx="8">
                  <c:v>0.59401468097120269</c:v>
                </c:pt>
                <c:pt idx="9">
                  <c:v>0.59746192893401018</c:v>
                </c:pt>
                <c:pt idx="10">
                  <c:v>0.6030500112132765</c:v>
                </c:pt>
                <c:pt idx="11">
                  <c:v>0.6086515028432169</c:v>
                </c:pt>
                <c:pt idx="12">
                  <c:v>0.61030689056166765</c:v>
                </c:pt>
                <c:pt idx="13">
                  <c:v>0.61572617946345976</c:v>
                </c:pt>
                <c:pt idx="14">
                  <c:v>0.61856601047498649</c:v>
                </c:pt>
                <c:pt idx="15">
                  <c:v>0.61936056838365894</c:v>
                </c:pt>
                <c:pt idx="16">
                  <c:v>0.62068965517241381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Mérida!$G$8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Mérida!$N$10:$N$29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Mérida!$X$10:$X$29</c:f>
              <c:numCache>
                <c:formatCode>0.00</c:formatCode>
                <c:ptCount val="20"/>
                <c:pt idx="0">
                  <c:v>9.166666666666666E-2</c:v>
                </c:pt>
                <c:pt idx="1">
                  <c:v>8.1566068515497553E-2</c:v>
                </c:pt>
                <c:pt idx="2">
                  <c:v>6.720160481444333E-2</c:v>
                </c:pt>
                <c:pt idx="3">
                  <c:v>6.4234734337827115E-2</c:v>
                </c:pt>
                <c:pt idx="4">
                  <c:v>5.4938632378725892E-2</c:v>
                </c:pt>
                <c:pt idx="5">
                  <c:v>4.7939068100358424E-2</c:v>
                </c:pt>
                <c:pt idx="6">
                  <c:v>4.5454545454545456E-2</c:v>
                </c:pt>
                <c:pt idx="7">
                  <c:v>4.1576171269004036E-2</c:v>
                </c:pt>
                <c:pt idx="8">
                  <c:v>4.2631281761716544E-2</c:v>
                </c:pt>
                <c:pt idx="9">
                  <c:v>3.9847715736040609E-2</c:v>
                </c:pt>
                <c:pt idx="10">
                  <c:v>3.924646781789639E-2</c:v>
                </c:pt>
                <c:pt idx="11">
                  <c:v>3.6758732737611696E-2</c:v>
                </c:pt>
                <c:pt idx="12">
                  <c:v>3.6093418259023353E-2</c:v>
                </c:pt>
                <c:pt idx="13">
                  <c:v>3.6077705827937095E-2</c:v>
                </c:pt>
                <c:pt idx="14">
                  <c:v>3.6843055806393354E-2</c:v>
                </c:pt>
                <c:pt idx="15">
                  <c:v>3.6412078152753109E-2</c:v>
                </c:pt>
                <c:pt idx="16">
                  <c:v>3.6427939876215738E-2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99056256"/>
        <c:axId val="99078912"/>
      </c:lineChart>
      <c:catAx>
        <c:axId val="99056256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99078912"/>
        <c:crosses val="autoZero"/>
        <c:auto val="1"/>
        <c:lblAlgn val="ctr"/>
        <c:lblOffset val="100"/>
      </c:catAx>
      <c:valAx>
        <c:axId val="99078912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990562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66" r="0.75000000000000266" t="1" header="0" footer="0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49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Lbls>
            <c:dLbl>
              <c:idx val="0"/>
              <c:layout>
                <c:manualLayout>
                  <c:x val="1.8435754189944135E-2"/>
                  <c:y val="-0.22833003168472871"/>
                </c:manualLayout>
              </c:layout>
              <c:showVal val="1"/>
            </c:dLbl>
            <c:dLbl>
              <c:idx val="1"/>
              <c:layout>
                <c:manualLayout>
                  <c:x val="2.96296296296296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42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6"/>
                </c:manualLayout>
              </c:layout>
              <c:showVal val="1"/>
            </c:dLbl>
            <c:numFmt formatCode="0.0%" sourceLinked="0"/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Mérida!$P$2:$P$4</c:f>
              <c:strCache>
                <c:ptCount val="3"/>
                <c:pt idx="0">
                  <c:v>Marcos Diaz Orellana</c:v>
                </c:pt>
                <c:pt idx="1">
                  <c:v>Williams Davila</c:v>
                </c:pt>
                <c:pt idx="2">
                  <c:v>Otro</c:v>
                </c:pt>
              </c:strCache>
            </c:strRef>
          </c:cat>
          <c:val>
            <c:numRef>
              <c:f>Mérida!$Q$2:$Q$4</c:f>
              <c:numCache>
                <c:formatCode>0.00</c:formatCode>
                <c:ptCount val="3"/>
                <c:pt idx="0">
                  <c:v>0.34288240495137046</c:v>
                </c:pt>
                <c:pt idx="1">
                  <c:v>0.62068965517241381</c:v>
                </c:pt>
                <c:pt idx="2">
                  <c:v>3.6427939876215738E-2</c:v>
                </c:pt>
              </c:numCache>
            </c:numRef>
          </c:val>
        </c:ser>
        <c:dLbls>
          <c:showVal val="1"/>
        </c:dLbls>
        <c:gapWidth val="75"/>
        <c:shape val="box"/>
        <c:axId val="98699904"/>
        <c:axId val="98709888"/>
        <c:axId val="0"/>
      </c:bar3DChart>
      <c:catAx>
        <c:axId val="986999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8709888"/>
        <c:crosses val="autoZero"/>
        <c:auto val="1"/>
        <c:lblAlgn val="ctr"/>
        <c:lblOffset val="100"/>
      </c:catAx>
      <c:valAx>
        <c:axId val="98709888"/>
        <c:scaling>
          <c:orientation val="minMax"/>
          <c:max val="1"/>
          <c:min val="0"/>
        </c:scaling>
        <c:axPos val="l"/>
        <c:numFmt formatCode="0.00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86999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62"/>
        </c:manualLayout>
      </c:layout>
      <c:lineChart>
        <c:grouping val="standard"/>
        <c:ser>
          <c:idx val="0"/>
          <c:order val="0"/>
          <c:tx>
            <c:strRef>
              <c:f>Barinas!$E$8</c:f>
              <c:strCache>
                <c:ptCount val="1"/>
                <c:pt idx="0">
                  <c:v>Adan Chavez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Barinas!$N$10:$N$29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Barinas!$R$10:$R$29</c:f>
              <c:numCache>
                <c:formatCode>0.00</c:formatCode>
                <c:ptCount val="20"/>
                <c:pt idx="0">
                  <c:v>0.30769230769230771</c:v>
                </c:pt>
                <c:pt idx="1">
                  <c:v>0.33759124087591241</c:v>
                </c:pt>
                <c:pt idx="2">
                  <c:v>0.34522292993630571</c:v>
                </c:pt>
                <c:pt idx="3">
                  <c:v>0.34922010398613518</c:v>
                </c:pt>
                <c:pt idx="4">
                  <c:v>0.35029354207436397</c:v>
                </c:pt>
                <c:pt idx="5">
                  <c:v>0.34590860786397448</c:v>
                </c:pt>
                <c:pt idx="6">
                  <c:v>0.34986098239110286</c:v>
                </c:pt>
                <c:pt idx="7">
                  <c:v>0.34818825489379424</c:v>
                </c:pt>
                <c:pt idx="8">
                  <c:v>0.35106768005790806</c:v>
                </c:pt>
                <c:pt idx="9">
                  <c:v>0.3466407010710808</c:v>
                </c:pt>
                <c:pt idx="10">
                  <c:v>0.34678137051320085</c:v>
                </c:pt>
                <c:pt idx="11">
                  <c:v>0.34798331015299028</c:v>
                </c:pt>
                <c:pt idx="12">
                  <c:v>0.34812286689419797</c:v>
                </c:pt>
                <c:pt idx="13">
                  <c:v>0.34978486459124275</c:v>
                </c:pt>
                <c:pt idx="14">
                  <c:v>0.34980039920159678</c:v>
                </c:pt>
                <c:pt idx="15">
                  <c:v>0.34908200734394124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Barinas!$F$8</c:f>
              <c:strCache>
                <c:ptCount val="1"/>
                <c:pt idx="0">
                  <c:v> Rafael Simon Jimenez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Barinas!$N$10:$N$29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Barinas!$U$10:$U$29</c:f>
              <c:numCache>
                <c:formatCode>0.00</c:formatCode>
                <c:ptCount val="20"/>
                <c:pt idx="0">
                  <c:v>0.1752136752136752</c:v>
                </c:pt>
                <c:pt idx="1">
                  <c:v>0.18613138686131386</c:v>
                </c:pt>
                <c:pt idx="2">
                  <c:v>0.18471337579617833</c:v>
                </c:pt>
                <c:pt idx="3">
                  <c:v>0.18890814558058924</c:v>
                </c:pt>
                <c:pt idx="4">
                  <c:v>0.17286366601435094</c:v>
                </c:pt>
                <c:pt idx="5">
                  <c:v>0.15887353878852284</c:v>
                </c:pt>
                <c:pt idx="6">
                  <c:v>0.15384615384615385</c:v>
                </c:pt>
                <c:pt idx="7">
                  <c:v>0.1541024573094544</c:v>
                </c:pt>
                <c:pt idx="8">
                  <c:v>0.1556279406442273</c:v>
                </c:pt>
                <c:pt idx="9">
                  <c:v>0.15644271340473873</c:v>
                </c:pt>
                <c:pt idx="10">
                  <c:v>0.15574013645802431</c:v>
                </c:pt>
                <c:pt idx="11">
                  <c:v>0.15048678720445063</c:v>
                </c:pt>
                <c:pt idx="12">
                  <c:v>0.15253347335258599</c:v>
                </c:pt>
                <c:pt idx="13">
                  <c:v>0.15236648949633005</c:v>
                </c:pt>
                <c:pt idx="14">
                  <c:v>0.15094810379241516</c:v>
                </c:pt>
                <c:pt idx="15">
                  <c:v>0.15079559363525091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Barinas!$G$8</c:f>
              <c:strCache>
                <c:ptCount val="1"/>
                <c:pt idx="0">
                  <c:v>Julio Cesar Reyes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Barinas!$N$10:$N$29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Barinas!$X$10:$X$29</c:f>
              <c:numCache>
                <c:formatCode>0.00</c:formatCode>
                <c:ptCount val="20"/>
                <c:pt idx="0">
                  <c:v>0.41452991452991456</c:v>
                </c:pt>
                <c:pt idx="1">
                  <c:v>0.4051094890510949</c:v>
                </c:pt>
                <c:pt idx="2">
                  <c:v>0.40636942675159238</c:v>
                </c:pt>
                <c:pt idx="3">
                  <c:v>0.40467937608318894</c:v>
                </c:pt>
                <c:pt idx="4">
                  <c:v>0.42139595564253096</c:v>
                </c:pt>
                <c:pt idx="5">
                  <c:v>0.43358129649309246</c:v>
                </c:pt>
                <c:pt idx="6">
                  <c:v>0.43419833178869321</c:v>
                </c:pt>
                <c:pt idx="7">
                  <c:v>0.44106622240733029</c:v>
                </c:pt>
                <c:pt idx="8">
                  <c:v>0.43684401013391244</c:v>
                </c:pt>
                <c:pt idx="9">
                  <c:v>0.43881856540084391</c:v>
                </c:pt>
                <c:pt idx="10">
                  <c:v>0.4396321566300801</c:v>
                </c:pt>
                <c:pt idx="11">
                  <c:v>0.4403337969401947</c:v>
                </c:pt>
                <c:pt idx="12">
                  <c:v>0.44106064583880283</c:v>
                </c:pt>
                <c:pt idx="13">
                  <c:v>0.44039483675018981</c:v>
                </c:pt>
                <c:pt idx="14">
                  <c:v>0.44236526946107785</c:v>
                </c:pt>
                <c:pt idx="15">
                  <c:v>0.44357405140758877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Barinas!$H$8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numRef>
              <c:f>Barinas!$N$10:$N$29</c:f>
              <c:numCache>
                <c:formatCode>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Barinas!$AA$10:$AA$29</c:f>
              <c:numCache>
                <c:formatCode>0.00</c:formatCode>
                <c:ptCount val="20"/>
                <c:pt idx="0">
                  <c:v>0.10256410256410256</c:v>
                </c:pt>
                <c:pt idx="1">
                  <c:v>7.1167883211678828E-2</c:v>
                </c:pt>
                <c:pt idx="2">
                  <c:v>6.3694267515923567E-2</c:v>
                </c:pt>
                <c:pt idx="3">
                  <c:v>5.7192374350086658E-2</c:v>
                </c:pt>
                <c:pt idx="4">
                  <c:v>5.5446836268754074E-2</c:v>
                </c:pt>
                <c:pt idx="5">
                  <c:v>6.1636556854410204E-2</c:v>
                </c:pt>
                <c:pt idx="6">
                  <c:v>6.2094531974050043E-2</c:v>
                </c:pt>
                <c:pt idx="7">
                  <c:v>5.6643065389421071E-2</c:v>
                </c:pt>
                <c:pt idx="8">
                  <c:v>5.6460369163952223E-2</c:v>
                </c:pt>
                <c:pt idx="9">
                  <c:v>5.8098020123336577E-2</c:v>
                </c:pt>
                <c:pt idx="10">
                  <c:v>5.7846336398694749E-2</c:v>
                </c:pt>
                <c:pt idx="11">
                  <c:v>6.1196105702364396E-2</c:v>
                </c:pt>
                <c:pt idx="12">
                  <c:v>5.8283013914413234E-2</c:v>
                </c:pt>
                <c:pt idx="13">
                  <c:v>5.7453809162237406E-2</c:v>
                </c:pt>
                <c:pt idx="14">
                  <c:v>5.6886227544910177E-2</c:v>
                </c:pt>
                <c:pt idx="15">
                  <c:v>5.6548347613219092E-2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99134080"/>
        <c:axId val="99140352"/>
      </c:lineChart>
      <c:catAx>
        <c:axId val="99134080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99140352"/>
        <c:crosses val="autoZero"/>
        <c:auto val="1"/>
        <c:lblAlgn val="ctr"/>
        <c:lblOffset val="100"/>
      </c:catAx>
      <c:valAx>
        <c:axId val="99140352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99134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66" r="0.75000000000000266" t="1" header="0" footer="0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49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Pt>
            <c:idx val="3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3.333333333333334E-2"/>
                  <c:y val="-0.19450321441920709"/>
                </c:manualLayout>
              </c:layout>
              <c:showVal val="1"/>
            </c:dLbl>
            <c:dLbl>
              <c:idx val="1"/>
              <c:layout>
                <c:manualLayout>
                  <c:x val="2.96296296296296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42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6"/>
                </c:manualLayout>
              </c:layout>
              <c:showVal val="1"/>
            </c:dLbl>
            <c:numFmt formatCode="0.0%" sourceLinked="0"/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Barinas!$P$2:$P$5</c:f>
              <c:strCache>
                <c:ptCount val="4"/>
                <c:pt idx="0">
                  <c:v>Adan Chavez</c:v>
                </c:pt>
                <c:pt idx="1">
                  <c:v>Rafael Simon Jimenez</c:v>
                </c:pt>
                <c:pt idx="2">
                  <c:v>Julio Cesar Reyes</c:v>
                </c:pt>
                <c:pt idx="3">
                  <c:v>Otro</c:v>
                </c:pt>
              </c:strCache>
            </c:strRef>
          </c:cat>
          <c:val>
            <c:numRef>
              <c:f>Barinas!$Q$2:$Q$5</c:f>
              <c:numCache>
                <c:formatCode>0.00</c:formatCode>
                <c:ptCount val="4"/>
                <c:pt idx="0">
                  <c:v>0.34908200734394124</c:v>
                </c:pt>
                <c:pt idx="1">
                  <c:v>0.15079559363525091</c:v>
                </c:pt>
                <c:pt idx="2">
                  <c:v>0.44357405140758877</c:v>
                </c:pt>
                <c:pt idx="3">
                  <c:v>5.6548347613219092E-2</c:v>
                </c:pt>
              </c:numCache>
            </c:numRef>
          </c:val>
        </c:ser>
        <c:dLbls>
          <c:showVal val="1"/>
        </c:dLbls>
        <c:gapWidth val="75"/>
        <c:shape val="box"/>
        <c:axId val="98581504"/>
        <c:axId val="98595584"/>
        <c:axId val="0"/>
      </c:bar3DChart>
      <c:catAx>
        <c:axId val="985815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8595584"/>
        <c:crosses val="autoZero"/>
        <c:auto val="1"/>
        <c:lblAlgn val="ctr"/>
        <c:lblOffset val="100"/>
      </c:catAx>
      <c:valAx>
        <c:axId val="98595584"/>
        <c:scaling>
          <c:orientation val="minMax"/>
          <c:max val="1"/>
          <c:min val="0"/>
        </c:scaling>
        <c:axPos val="l"/>
        <c:numFmt formatCode="0.00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85815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123825</xdr:rowOff>
    </xdr:from>
    <xdr:to>
      <xdr:col>0</xdr:col>
      <xdr:colOff>2266950</xdr:colOff>
      <xdr:row>5</xdr:row>
      <xdr:rowOff>9525</xdr:rowOff>
    </xdr:to>
    <xdr:pic>
      <xdr:nvPicPr>
        <xdr:cNvPr id="57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23825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495300</xdr:colOff>
      <xdr:row>24</xdr:row>
      <xdr:rowOff>38100</xdr:rowOff>
    </xdr:to>
    <xdr:graphicFrame macro="">
      <xdr:nvGraphicFramePr>
        <xdr:cNvPr id="919615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838200</xdr:colOff>
      <xdr:row>4</xdr:row>
      <xdr:rowOff>180975</xdr:rowOff>
    </xdr:from>
    <xdr:to>
      <xdr:col>11</xdr:col>
      <xdr:colOff>57150</xdr:colOff>
      <xdr:row>20</xdr:row>
      <xdr:rowOff>190500</xdr:rowOff>
    </xdr:to>
    <xdr:graphicFrame macro="">
      <xdr:nvGraphicFramePr>
        <xdr:cNvPr id="919616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142875</xdr:rowOff>
    </xdr:to>
    <xdr:pic>
      <xdr:nvPicPr>
        <xdr:cNvPr id="57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266700</xdr:rowOff>
    </xdr:from>
    <xdr:to>
      <xdr:col>7</xdr:col>
      <xdr:colOff>819150</xdr:colOff>
      <xdr:row>27</xdr:row>
      <xdr:rowOff>19050</xdr:rowOff>
    </xdr:to>
    <xdr:graphicFrame macro="">
      <xdr:nvGraphicFramePr>
        <xdr:cNvPr id="922687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922688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133350</xdr:rowOff>
    </xdr:to>
    <xdr:pic>
      <xdr:nvPicPr>
        <xdr:cNvPr id="57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1060905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7</xdr:row>
      <xdr:rowOff>276225</xdr:rowOff>
    </xdr:from>
    <xdr:to>
      <xdr:col>11</xdr:col>
      <xdr:colOff>0</xdr:colOff>
      <xdr:row>23</xdr:row>
      <xdr:rowOff>209550</xdr:rowOff>
    </xdr:to>
    <xdr:graphicFrame macro="">
      <xdr:nvGraphicFramePr>
        <xdr:cNvPr id="106090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133350</xdr:rowOff>
    </xdr:to>
    <xdr:pic>
      <xdr:nvPicPr>
        <xdr:cNvPr id="57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1070119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1070120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26" Type="http://schemas.openxmlformats.org/officeDocument/2006/relationships/revisionLog" Target="revisionLog23.xml"/><Relationship Id="rId21" Type="http://schemas.openxmlformats.org/officeDocument/2006/relationships/revisionLog" Target="revisionLog18.xml"/><Relationship Id="rId34" Type="http://schemas.openxmlformats.org/officeDocument/2006/relationships/revisionLog" Target="revisionLog12.xml"/><Relationship Id="rId42" Type="http://schemas.openxmlformats.org/officeDocument/2006/relationships/revisionLog" Target="revisionLog13.xml"/><Relationship Id="rId47" Type="http://schemas.openxmlformats.org/officeDocument/2006/relationships/revisionLog" Target="revisionLog41.xml"/><Relationship Id="rId50" Type="http://schemas.openxmlformats.org/officeDocument/2006/relationships/revisionLog" Target="revisionLog44.xml"/><Relationship Id="rId55" Type="http://schemas.openxmlformats.org/officeDocument/2006/relationships/revisionLog" Target="revisionLog49.xml"/><Relationship Id="rId63" Type="http://schemas.openxmlformats.org/officeDocument/2006/relationships/revisionLog" Target="revisionLog57.xml"/><Relationship Id="rId68" Type="http://schemas.openxmlformats.org/officeDocument/2006/relationships/revisionLog" Target="revisionLog62.xml"/><Relationship Id="rId76" Type="http://schemas.openxmlformats.org/officeDocument/2006/relationships/revisionLog" Target="revisionLog69.xml"/><Relationship Id="rId84" Type="http://schemas.openxmlformats.org/officeDocument/2006/relationships/revisionLog" Target="revisionLog75.xml"/><Relationship Id="rId89" Type="http://schemas.openxmlformats.org/officeDocument/2006/relationships/revisionLog" Target="revisionLog79.xml"/><Relationship Id="rId97" Type="http://schemas.openxmlformats.org/officeDocument/2006/relationships/revisionLog" Target="revisionLog1.xml"/><Relationship Id="rId7" Type="http://schemas.openxmlformats.org/officeDocument/2006/relationships/revisionLog" Target="revisionLog5.xml"/><Relationship Id="rId71" Type="http://schemas.openxmlformats.org/officeDocument/2006/relationships/revisionLog" Target="revisionLog65.xml"/><Relationship Id="rId92" Type="http://schemas.openxmlformats.org/officeDocument/2006/relationships/revisionLog" Target="revisionLog82.xml"/><Relationship Id="rId2" Type="http://schemas.openxmlformats.org/officeDocument/2006/relationships/revisionLog" Target="revisionLog1111.xml"/><Relationship Id="rId16" Type="http://schemas.openxmlformats.org/officeDocument/2006/relationships/revisionLog" Target="revisionLog131.xml"/><Relationship Id="rId29" Type="http://schemas.openxmlformats.org/officeDocument/2006/relationships/revisionLog" Target="revisionLog26.xml"/><Relationship Id="rId11" Type="http://schemas.openxmlformats.org/officeDocument/2006/relationships/revisionLog" Target="revisionLog9.xml"/><Relationship Id="rId24" Type="http://schemas.openxmlformats.org/officeDocument/2006/relationships/revisionLog" Target="revisionLog21.xml"/><Relationship Id="rId32" Type="http://schemas.openxmlformats.org/officeDocument/2006/relationships/revisionLog" Target="revisionLog29.xml"/><Relationship Id="rId37" Type="http://schemas.openxmlformats.org/officeDocument/2006/relationships/revisionLog" Target="revisionLog32.xml"/><Relationship Id="rId40" Type="http://schemas.openxmlformats.org/officeDocument/2006/relationships/revisionLog" Target="revisionLog35.xml"/><Relationship Id="rId45" Type="http://schemas.openxmlformats.org/officeDocument/2006/relationships/revisionLog" Target="revisionLog39.xml"/><Relationship Id="rId53" Type="http://schemas.openxmlformats.org/officeDocument/2006/relationships/revisionLog" Target="revisionLog47.xml"/><Relationship Id="rId58" Type="http://schemas.openxmlformats.org/officeDocument/2006/relationships/revisionLog" Target="revisionLog52.xml"/><Relationship Id="rId66" Type="http://schemas.openxmlformats.org/officeDocument/2006/relationships/revisionLog" Target="revisionLog60.xml"/><Relationship Id="rId74" Type="http://schemas.openxmlformats.org/officeDocument/2006/relationships/revisionLog" Target="revisionLog67.xml"/><Relationship Id="rId79" Type="http://schemas.openxmlformats.org/officeDocument/2006/relationships/revisionLog" Target="revisionLog70.xml"/><Relationship Id="rId87" Type="http://schemas.openxmlformats.org/officeDocument/2006/relationships/revisionLog" Target="revisionLog77.xml"/><Relationship Id="rId5" Type="http://schemas.openxmlformats.org/officeDocument/2006/relationships/revisionLog" Target="revisionLog3.xml"/><Relationship Id="rId61" Type="http://schemas.openxmlformats.org/officeDocument/2006/relationships/revisionLog" Target="revisionLog55.xml"/><Relationship Id="rId82" Type="http://schemas.openxmlformats.org/officeDocument/2006/relationships/revisionLog" Target="revisionLog73.xml"/><Relationship Id="rId90" Type="http://schemas.openxmlformats.org/officeDocument/2006/relationships/revisionLog" Target="revisionLog80.xml"/><Relationship Id="rId95" Type="http://schemas.openxmlformats.org/officeDocument/2006/relationships/revisionLog" Target="revisionLog85.xml"/><Relationship Id="rId19" Type="http://schemas.openxmlformats.org/officeDocument/2006/relationships/revisionLog" Target="revisionLog16.xml"/><Relationship Id="rId14" Type="http://schemas.openxmlformats.org/officeDocument/2006/relationships/revisionLog" Target="revisionLog19.xml"/><Relationship Id="rId22" Type="http://schemas.openxmlformats.org/officeDocument/2006/relationships/revisionLog" Target="revisionLog191.xml"/><Relationship Id="rId27" Type="http://schemas.openxmlformats.org/officeDocument/2006/relationships/revisionLog" Target="revisionLog24.xml"/><Relationship Id="rId30" Type="http://schemas.openxmlformats.org/officeDocument/2006/relationships/revisionLog" Target="revisionLog27.xml"/><Relationship Id="rId35" Type="http://schemas.openxmlformats.org/officeDocument/2006/relationships/revisionLog" Target="revisionLog30.xml"/><Relationship Id="rId43" Type="http://schemas.openxmlformats.org/officeDocument/2006/relationships/revisionLog" Target="revisionLog37.xml"/><Relationship Id="rId48" Type="http://schemas.openxmlformats.org/officeDocument/2006/relationships/revisionLog" Target="revisionLog42.xml"/><Relationship Id="rId56" Type="http://schemas.openxmlformats.org/officeDocument/2006/relationships/revisionLog" Target="revisionLog50.xml"/><Relationship Id="rId64" Type="http://schemas.openxmlformats.org/officeDocument/2006/relationships/revisionLog" Target="revisionLog58.xml"/><Relationship Id="rId69" Type="http://schemas.openxmlformats.org/officeDocument/2006/relationships/revisionLog" Target="revisionLog63.xml"/><Relationship Id="rId77" Type="http://schemas.openxmlformats.org/officeDocument/2006/relationships/revisionLog" Target="revisionLog14.xml"/><Relationship Id="rId8" Type="http://schemas.openxmlformats.org/officeDocument/2006/relationships/revisionLog" Target="revisionLog6.xml"/><Relationship Id="rId51" Type="http://schemas.openxmlformats.org/officeDocument/2006/relationships/revisionLog" Target="revisionLog45.xml"/><Relationship Id="rId72" Type="http://schemas.openxmlformats.org/officeDocument/2006/relationships/revisionLog" Target="revisionLog141.xml"/><Relationship Id="rId80" Type="http://schemas.openxmlformats.org/officeDocument/2006/relationships/revisionLog" Target="revisionLog71.xml"/><Relationship Id="rId85" Type="http://schemas.openxmlformats.org/officeDocument/2006/relationships/revisionLog" Target="revisionLog76.xml"/><Relationship Id="rId93" Type="http://schemas.openxmlformats.org/officeDocument/2006/relationships/revisionLog" Target="revisionLog83.xml"/><Relationship Id="rId3" Type="http://schemas.openxmlformats.org/officeDocument/2006/relationships/revisionLog" Target="revisionLog111.xml"/><Relationship Id="rId12" Type="http://schemas.openxmlformats.org/officeDocument/2006/relationships/revisionLog" Target="revisionLog10.xml"/><Relationship Id="rId17" Type="http://schemas.openxmlformats.org/officeDocument/2006/relationships/revisionLog" Target="revisionLog1411.xml"/><Relationship Id="rId25" Type="http://schemas.openxmlformats.org/officeDocument/2006/relationships/revisionLog" Target="revisionLog22.xml"/><Relationship Id="rId33" Type="http://schemas.openxmlformats.org/officeDocument/2006/relationships/revisionLog" Target="revisionLog121.xml"/><Relationship Id="rId38" Type="http://schemas.openxmlformats.org/officeDocument/2006/relationships/revisionLog" Target="revisionLog33.xml"/><Relationship Id="rId46" Type="http://schemas.openxmlformats.org/officeDocument/2006/relationships/revisionLog" Target="revisionLog40.xml"/><Relationship Id="rId59" Type="http://schemas.openxmlformats.org/officeDocument/2006/relationships/revisionLog" Target="revisionLog53.xml"/><Relationship Id="rId67" Type="http://schemas.openxmlformats.org/officeDocument/2006/relationships/revisionLog" Target="revisionLog61.xml"/><Relationship Id="rId20" Type="http://schemas.openxmlformats.org/officeDocument/2006/relationships/revisionLog" Target="revisionLog17.xml"/><Relationship Id="rId41" Type="http://schemas.openxmlformats.org/officeDocument/2006/relationships/revisionLog" Target="revisionLog36.xml"/><Relationship Id="rId54" Type="http://schemas.openxmlformats.org/officeDocument/2006/relationships/revisionLog" Target="revisionLog48.xml"/><Relationship Id="rId62" Type="http://schemas.openxmlformats.org/officeDocument/2006/relationships/revisionLog" Target="revisionLog56.xml"/><Relationship Id="rId70" Type="http://schemas.openxmlformats.org/officeDocument/2006/relationships/revisionLog" Target="revisionLog64.xml"/><Relationship Id="rId75" Type="http://schemas.openxmlformats.org/officeDocument/2006/relationships/revisionLog" Target="revisionLog68.xml"/><Relationship Id="rId83" Type="http://schemas.openxmlformats.org/officeDocument/2006/relationships/revisionLog" Target="revisionLog74.xml"/><Relationship Id="rId88" Type="http://schemas.openxmlformats.org/officeDocument/2006/relationships/revisionLog" Target="revisionLog78.xml"/><Relationship Id="rId91" Type="http://schemas.openxmlformats.org/officeDocument/2006/relationships/revisionLog" Target="revisionLog81.xml"/><Relationship Id="rId96" Type="http://schemas.openxmlformats.org/officeDocument/2006/relationships/revisionLog" Target="revisionLog86.xml"/><Relationship Id="rId1" Type="http://schemas.openxmlformats.org/officeDocument/2006/relationships/revisionLog" Target="revisionLog11111.xml"/><Relationship Id="rId6" Type="http://schemas.openxmlformats.org/officeDocument/2006/relationships/revisionLog" Target="revisionLog4.xml"/><Relationship Id="rId15" Type="http://schemas.openxmlformats.org/officeDocument/2006/relationships/revisionLog" Target="revisionLog1211.xml"/><Relationship Id="rId23" Type="http://schemas.openxmlformats.org/officeDocument/2006/relationships/revisionLog" Target="revisionLog20.xml"/><Relationship Id="rId28" Type="http://schemas.openxmlformats.org/officeDocument/2006/relationships/revisionLog" Target="revisionLog25.xml"/><Relationship Id="rId36" Type="http://schemas.openxmlformats.org/officeDocument/2006/relationships/revisionLog" Target="revisionLog31.xml"/><Relationship Id="rId49" Type="http://schemas.openxmlformats.org/officeDocument/2006/relationships/revisionLog" Target="revisionLog43.xml"/><Relationship Id="rId57" Type="http://schemas.openxmlformats.org/officeDocument/2006/relationships/revisionLog" Target="revisionLog51.xml"/><Relationship Id="rId10" Type="http://schemas.openxmlformats.org/officeDocument/2006/relationships/revisionLog" Target="revisionLog8.xml"/><Relationship Id="rId31" Type="http://schemas.openxmlformats.org/officeDocument/2006/relationships/revisionLog" Target="revisionLog28.xml"/><Relationship Id="rId44" Type="http://schemas.openxmlformats.org/officeDocument/2006/relationships/revisionLog" Target="revisionLog38.xml"/><Relationship Id="rId52" Type="http://schemas.openxmlformats.org/officeDocument/2006/relationships/revisionLog" Target="revisionLog46.xml"/><Relationship Id="rId60" Type="http://schemas.openxmlformats.org/officeDocument/2006/relationships/revisionLog" Target="revisionLog54.xml"/><Relationship Id="rId65" Type="http://schemas.openxmlformats.org/officeDocument/2006/relationships/revisionLog" Target="revisionLog59.xml"/><Relationship Id="rId73" Type="http://schemas.openxmlformats.org/officeDocument/2006/relationships/revisionLog" Target="revisionLog66.xml"/><Relationship Id="rId78" Type="http://schemas.openxmlformats.org/officeDocument/2006/relationships/revisionLog" Target="revisionLog110.xml"/><Relationship Id="rId81" Type="http://schemas.openxmlformats.org/officeDocument/2006/relationships/revisionLog" Target="revisionLog72.xml"/><Relationship Id="rId86" Type="http://schemas.openxmlformats.org/officeDocument/2006/relationships/revisionLog" Target="revisionLog112.xml"/><Relationship Id="rId94" Type="http://schemas.openxmlformats.org/officeDocument/2006/relationships/revisionLog" Target="revisionLog84.xml"/><Relationship Id="rId4" Type="http://schemas.openxmlformats.org/officeDocument/2006/relationships/revisionLog" Target="revisionLog2.xml"/><Relationship Id="rId9" Type="http://schemas.openxmlformats.org/officeDocument/2006/relationships/revisionLog" Target="revisionLog7.xml"/><Relationship Id="rId13" Type="http://schemas.openxmlformats.org/officeDocument/2006/relationships/revisionLog" Target="revisionLog11.xml"/><Relationship Id="rId18" Type="http://schemas.openxmlformats.org/officeDocument/2006/relationships/revisionLog" Target="revisionLog15.xml"/><Relationship Id="rId39" Type="http://schemas.openxmlformats.org/officeDocument/2006/relationships/revisionLog" Target="revisionLog34.xml"/></Relationships>
</file>

<file path=xl/revisions/revisionHeaders.xml><?xml version="1.0" encoding="utf-8"?>
<headers xmlns="http://schemas.openxmlformats.org/spreadsheetml/2006/main" xmlns:r="http://schemas.openxmlformats.org/officeDocument/2006/relationships" guid="{16B687CB-F153-46C2-BB68-5F138D22CF3E}" diskRevisions="1" revisionId="4179" version="13">
  <header guid="{47F7BC8F-0E15-41AB-AAE6-DC48B9EE99CB}" dateTime="2008-11-22T14:36:02" maxSheetId="14" userName="Usuario" r:id="rId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4D86D0D-CC33-4293-8047-5AB884BD0194}" dateTime="2008-11-22T19:31:01" maxSheetId="14" userName=" " r:id="rId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0E1C02-0B23-490B-BB40-48B0FC3D5AD0}" dateTime="2008-11-23T07:51:23" maxSheetId="14" userName="PLM" r:id="rId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5F5576-4363-4D65-865F-8DC8ED6C9824}" dateTime="2008-11-22T20:31:01" maxSheetId="14" userName=" " r:id="rId4" minRId="1" maxRId="1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A18F70-CAB5-411D-B8C7-DA5216997523}" dateTime="2008-11-22T20:51:00" maxSheetId="14" userName=" " r:id="rId5" minRId="107" maxRId="1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78BF37-1E7B-4E77-BDBC-0B2BEF584875}" dateTime="2008-11-22T20:56:00" maxSheetId="14" userName=" " r:id="rId6" minRId="125" maxRId="1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C63A61-FDA2-4D45-9B4C-F9A221F2BBB8}" dateTime="2008-11-22T21:06:01" maxSheetId="14" userName=" " r:id="rId7" minRId="131" maxRId="1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B22C3A-3091-4F71-99CA-756935883F09}" dateTime="2008-11-22T21:11:01" maxSheetId="14" userName=" " r:id="rId8" minRId="137" maxRId="1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FA512F-20A9-414C-B5CA-73E800EF967B}" dateTime="2008-11-22T21:16:01" maxSheetId="14" userName=" " r:id="rId9" minRId="152" maxRId="1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8CA80F-A06B-48BF-A7CA-7EE77D6F2789}" dateTime="2008-11-23T14:22:04" maxSheetId="14" userName=" " r:id="rId10" minRId="157" maxRId="4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B0331B-955A-405E-9C65-A50529E3C569}" dateTime="2008-11-23T14:25:41" maxSheetId="14" userName=" " r:id="rId11" minRId="448" maxRId="4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229DD2-445E-4E5F-B997-1222C9F79545}" dateTime="2008-11-23T14:30:41" maxSheetId="14" userName=" " r:id="rId12" minRId="484" maxRId="5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D6BB47-15CC-4819-8263-6E55F3A376B2}" dateTime="2008-11-23T14:31:55" maxSheetId="14" userName=" " r:id="rId13" minRId="5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BE04714-877A-40C4-B6AC-88F5D201A1CA}" dateTime="2008-11-22T21:34:09" maxSheetId="14" userName=" " r:id="rId14" minRId="555" maxRId="5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B52DC2-96DA-4149-AC07-DAEB325823E8}" dateTime="2008-11-22T21:36:00" maxSheetId="14" userName=" " r:id="rId15" minRId="580" maxRId="5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85DF82-48FA-4763-95F2-3ABEACCA8CA4}" dateTime="2008-11-23T14:35:41" maxSheetId="14" userName=" " r:id="rId16" minRId="592" maxRId="6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F70929-4E3C-484B-B075-11AC306FAED3}" dateTime="2008-11-22T21:41:01" maxSheetId="14" userName=" " r:id="rId17" minRId="607" maxRId="6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ABF12B-7A44-4251-8E41-F43A87693DB3}" dateTime="2008-11-22T21:52:00" maxSheetId="14" userName=" " r:id="rId18" minRId="613" maxRId="6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7A32AD-7518-416D-8067-14E284B596BC}" dateTime="2008-11-23T14:51:41" maxSheetId="14" userName=" " r:id="rId19" minRId="662" maxRId="7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0B4600-7E15-4B4E-B8EE-C0139C6A0A9D}" dateTime="2008-11-22T21:57:01" maxSheetId="14" userName=" " r:id="rId20" minRId="716" maxRId="7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19B500-9B10-4C73-B0C7-6C1BEB8E16A7}" dateTime="2008-11-23T14:57:45" maxSheetId="14" userName=" " r:id="rId21" minRId="731" maxRId="8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42D6B2-5E68-4120-A6A0-CF26BE76062F}" dateTime="2008-11-22T22:02:01" maxSheetId="14" userName=" " r:id="rId22" minRId="819" maxRId="8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82A111-2BB5-488E-8DCE-8D18AAE57F4E}" dateTime="2008-11-23T15:03:41" maxSheetId="14" userName=" " r:id="rId23" minRId="843" maxRId="9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CD936C-BB51-4A09-BEBD-E53CC9303543}" dateTime="2008-11-22T22:07:11" maxSheetId="14" userName=" " r:id="rId24" minRId="928" maxRId="9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7348B4-3F93-4C85-9061-A87CCAD3C717}" dateTime="2008-11-23T15:09:44" maxSheetId="14" userName=" " r:id="rId25" minRId="970" maxRId="10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028054-883C-49E1-9779-E65384267C83}" dateTime="2008-11-22T22:12:01" maxSheetId="14" userName=" " r:id="rId26" minRId="1055" maxRId="11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67A572-F440-4301-AB3C-0387AA8C6722}" dateTime="2008-11-22T22:17:01" maxSheetId="14" userName=" " r:id="rId27" minRId="1115" maxRId="11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4BD437-3958-4D9C-B4CB-9188480DE7A3}" dateTime="2008-11-23T15:15:41" maxSheetId="14" userName=" " r:id="rId28" minRId="1161" maxRId="11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8989632-8A26-4351-A4A5-3609E4FFDCE0}" dateTime="2008-11-22T22:22:01" maxSheetId="14" userName=" " r:id="rId29" minRId="1190" maxRId="11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9A6090-7CA6-43BF-951C-05A2D1B8FFB4}" dateTime="2008-11-23T15:20:41" maxSheetId="14" userName=" " r:id="rId30" minRId="1196" maxRId="12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FE0301-D07A-44FD-B6CC-8229D1FB4DD1}" dateTime="2008-11-22T22:27:01" maxSheetId="14" userName=" " r:id="rId31" minRId="1274" maxRId="12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BD528C-4BF1-4A0C-B095-CFEABCDB89E2}" dateTime="2008-11-23T15:25:41" maxSheetId="14" userName=" " r:id="rId32" minRId="1288" maxRId="13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5AD448-4499-4384-BC06-126D374C9356}" dateTime="2008-11-23T15:27:28" maxSheetId="14" userName=" " r:id="rId33" minRId="13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E7C6C7-3D43-4D81-82DE-1114A1C5A348}" dateTime="2008-11-22T22:29:40" maxSheetId="14" userName=" " r:id="rId34" minRId="1327" maxRId="13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1D3D36-8A35-4D1B-A736-44BAC3BAAFF7}" dateTime="2008-11-22T22:38:54" maxSheetId="14" userName=" " r:id="rId35" minRId="1343" maxRId="13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D45B98-861D-4D15-80AC-93519196C7AB}" dateTime="2008-11-23T15:41:51" maxSheetId="14" userName=" " r:id="rId36" minRId="1385" maxRId="14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6A003AE-3F06-4AAC-A8F0-01256465D1E5}" dateTime="2008-11-22T22:47:10" maxSheetId="14" userName=" " r:id="rId37" minRId="1441" maxRId="14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66A79F-3B3E-468E-8031-67EB84A3CE19}" dateTime="2008-11-23T15:46:39" maxSheetId="14" userName=" " r:id="rId38" minRId="1447" maxRId="15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EE0A7D-C39E-4B7B-9FFC-C6A84C9FD05F}" dateTime="2008-11-22T22:51:54" maxSheetId="14" userName=" " r:id="rId39" minRId="1517" maxRId="15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CC880B-6A27-46C5-8B5A-828978AA44DB}" dateTime="2008-11-23T15:51:39" maxSheetId="14" userName=" " r:id="rId40" minRId="1525" maxRId="15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30B220-A6DA-427C-8297-BC16C352D208}" dateTime="2008-11-22T22:56:54" maxSheetId="14" userName=" " r:id="rId41" minRId="1535" maxRId="15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1E6F54-2871-4C0B-B142-1AD75B2B2331}" dateTime="2008-11-23T15:56:18" maxSheetId="14" userName=" " r:id="rId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E247AE-79F5-48DC-9BCD-3B0BC29A19F0}" dateTime="2008-11-22T23:01:54" maxSheetId="14" userName=" " r:id="rId43" minRId="1539" maxRId="15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7EC1BF-677A-43E5-85DE-FDBD2F021084}" dateTime="2008-11-23T16:03:44" maxSheetId="14" userName=" " r:id="rId44" minRId="1557" maxRId="16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B16DA9-B3A7-46B3-AD70-012FF484701C}" dateTime="2008-11-22T23:06:54" maxSheetId="14" userName=" " r:id="rId45" minRId="1648" maxRId="16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00A4B8-50C2-4BDA-A053-914C53BEE0CF}" dateTime="2008-11-23T16:09:30" maxSheetId="14" userName=" " r:id="rId46" minRId="1665" maxRId="17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FE8933-861C-45E6-ACD1-F0547773F290}" dateTime="2008-11-22T23:11:55" maxSheetId="14" userName=" " r:id="rId47" minRId="1752" maxRId="17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AD5A9E-9916-415B-96C7-59B36A47B130}" dateTime="2008-11-23T16:13:44" maxSheetId="14" userName=" " r:id="rId48" minRId="1771" maxRId="17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163B80-52D4-44FF-89D8-0EC2B4172B7A}" dateTime="2008-11-22T23:16:55" maxSheetId="14" userName=" " r:id="rId49" minRId="1796" maxRId="18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D265E9-06AC-4EDA-A470-AF0C4831889B}" dateTime="2008-11-23T16:19:44" maxSheetId="14" userName=" " r:id="rId50" minRId="1803" maxRId="18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AAB596-FD1F-4E77-AD70-387B4AF94F6A}" dateTime="2008-11-22T23:21:54" maxSheetId="14" userName=" " r:id="rId51" minRId="1828" maxRId="18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C391FC-6D2C-4CED-BE4C-FC0E32EA4D6C}" dateTime="2008-11-23T16:24:44" maxSheetId="14" userName=" " r:id="rId52" minRId="1833" maxRId="18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62A362-FA1B-4A3B-A7F5-9222E17417FC}" dateTime="2008-11-22T23:28:13" maxSheetId="14" userName=" " r:id="rId53" minRId="1878" maxRId="18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7BF1B6-D9C0-406B-8053-E8F7264EF83E}" dateTime="2008-11-22T23:32:54" maxSheetId="14" userName=" " r:id="rId54" minRId="1897" maxRId="19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F6176D-FCF7-4093-9E73-8AD040D17030}" dateTime="2008-11-23T16:43:00" maxSheetId="14" userName=" " r:id="rId55" minRId="1903" maxRId="19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0A1C2B1-A194-4067-B38D-8E79E30599DB}" dateTime="2008-11-22T23:46:20" maxSheetId="14" userName=" " r:id="rId56" minRId="19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FDC1BA-48EF-4A5C-A19C-40A0EB77AE99}" dateTime="2008-11-22T23:49:54" maxSheetId="14" userName=" " r:id="rId57" minRId="1978" maxRId="20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830E54-DF50-4EA6-B857-5B7C51A6854F}" dateTime="2008-11-22T23:55:03" maxSheetId="14" userName=" " r:id="rId58" minRId="2007" maxRId="20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BED130-F1E5-4B87-82A3-ADC8A7B57B1B}" dateTime="2008-11-23T00:00:48" maxSheetId="14" userName=" " r:id="rId59" minRId="2046" maxRId="21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B3A2F9-9EBC-4A6C-A4C1-B02D9DE0C720}" dateTime="2008-11-23T00:04:54" maxSheetId="14" userName=" " r:id="rId60" minRId="2133" maxRId="22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D877A7-0BDE-43C5-8691-8AB87F5B40CE}" dateTime="2008-11-23T00:09:55" maxSheetId="14" userName=" " r:id="rId61" minRId="2256" maxRId="23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B2C8FD-2E23-4E2B-ADB7-DCE020172FFA}" dateTime="2008-11-23T00:14:54" maxSheetId="14" userName=" " r:id="rId62" minRId="2378" maxRId="24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1CA0B0-60C5-42E0-A61E-9B6F3F4FB5E8}" dateTime="2008-11-23T00:19:54" maxSheetId="14" userName=" " r:id="rId63" minRId="2429" maxRId="24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098AC2-C3F2-4DBD-8953-D9B47EDFA137}" dateTime="2008-11-23T00:24:54" maxSheetId="14" userName=" " r:id="rId64" minRId="2440" maxRId="24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226B2B-B27B-47C5-BD5D-BD7A5EEB51BA}" dateTime="2008-11-23T00:29:54" maxSheetId="14" userName=" " r:id="rId65" minRId="2495" maxRId="25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0E6F93-F656-4FB4-9711-BCBB82B441E6}" dateTime="2008-11-23T00:34:55" maxSheetId="14" userName=" " r:id="rId66" minRId="2531" maxRId="25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4F6068-ACA0-4EAD-A906-15F1D4E1278C}" dateTime="2008-11-23T00:40:10" maxSheetId="14" userName=" " r:id="rId67" minRId="2600" maxRId="26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C83CC7-1812-4A88-BBA7-8A867E723763}" dateTime="2008-11-23T00:45:41" maxSheetId="14" userName=" " r:id="rId68" minRId="2688" maxRId="27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385EFE-0736-4F86-8E0B-D3FF6E567C77}" dateTime="2008-11-23T00:49:54" maxSheetId="14" userName=" " r:id="rId69" minRId="2724" maxRId="27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2ADCB3-A053-4C0F-A28E-7A7B9A250EE7}" dateTime="2008-11-23T00:54:54" maxSheetId="14" userName=" " r:id="rId70" minRId="2772" maxRId="28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3267B4-104A-4671-95E8-A91DDE91EF54}" dateTime="2008-11-23T01:00:57" maxSheetId="14" userName=" " r:id="rId71" minRId="2819" maxRId="28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F86754-B651-490E-B74F-57020F2A3B89}" dateTime="2008-11-23T13:03:49" maxSheetId="14" userName="PLM" r:id="rId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70B49D-4AA6-4557-8E26-94E3E285F118}" dateTime="2008-11-23T01:07:55" maxSheetId="14" userName=" " r:id="rId73" minRId="2877" maxRId="29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249D4E-83C1-43AB-A87B-4BE5358D264B}" dateTime="2008-11-23T01:22:55" maxSheetId="14" userName=" " r:id="rId74" minRId="2919" maxRId="29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FC6C29-C25F-4B66-B6AC-4D224956CF1D}" dateTime="2008-11-23T01:27:54" maxSheetId="14" userName=" " r:id="rId75" minRId="2942" maxRId="29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601D33-200B-466B-864F-5482E58F229C}" dateTime="2008-11-23T01:43:54" maxSheetId="14" userName=" " r:id="rId76" minRId="2954" maxRId="29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92179A-3E5C-4BC2-B205-A3548617418D}" dateTime="2008-11-23T01:43:56" maxSheetId="14" userName=" " r:id="rId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87C779-88D4-4008-86E1-054DFB496672}" dateTime="2008-11-23T13:42:36" maxSheetId="14" userName="PLM" r:id="rId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99CEFB-81D9-43D7-A1B8-CADDA27F99F0}" dateTime="2008-11-23T01:48:54" maxSheetId="14" userName=" " r:id="rId79" minRId="3003" maxRId="30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C887E9-7588-4F0E-9BAC-4F16956B8BFD}" dateTime="2008-11-23T01:54:54" maxSheetId="14" userName=" " r:id="rId80" minRId="3023" maxRId="30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AAA0FD-BC54-416B-8A78-77839B97C038}" dateTime="2008-11-23T01:59:55" maxSheetId="14" userName=" " r:id="rId81" minRId="3033" maxRId="30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AC4107-0F04-4D7C-9753-E7485B23A969}" dateTime="2008-11-23T02:06:55" maxSheetId="14" userName=" " r:id="rId82" minRId="3076" maxRId="31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92F786-32F9-40E8-9C1E-5E438E6F4BFF}" dateTime="2008-11-23T02:11:55" maxSheetId="14" userName=" " r:id="rId83" minRId="3136" maxRId="31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9EABD3-808F-4063-AF99-720A8CB12AC8}" dateTime="2008-11-23T02:18:57" maxSheetId="14" userName=" " r:id="rId84" minRId="3198" maxRId="32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EABCA5-C1E5-48CA-866A-DB6941A1DBD8}" dateTime="2008-11-23T02:24:54" maxSheetId="14" userName=" " r:id="rId85" minRId="3263" maxRId="33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23DA6B-365C-49C5-BDDB-A98874278977}" dateTime="2008-11-23T14:28:11" maxSheetId="14" userName="PLM" r:id="rId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69197B-F670-462C-A25D-2137AE44B044}" dateTime="2008-11-23T02:30:03" maxSheetId="14" userName=" " r:id="rId87" minRId="3332" maxRId="34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9EC723-F1FF-46D6-BBE2-0AEA6A7CD574}" dateTime="2008-11-23T02:35:29" maxSheetId="14" userName=" " r:id="rId88" minRId="3406" maxRId="34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2A6539-9EE7-4D98-A9C3-E7C12A24EDAB}" dateTime="2008-11-23T02:40:03" maxSheetId="14" userName=" " r:id="rId89" minRId="3490" maxRId="35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521E3B-1629-4B68-B009-7C4658307D11}" dateTime="2008-11-23T02:46:08" maxSheetId="14" userName=" " r:id="rId90" minRId="3565" maxRId="38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3A0449-3558-4292-AA13-3C9369A47526}" dateTime="2008-11-23T02:50:54" maxSheetId="14" userName=" " r:id="rId91" minRId="3809" maxRId="38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084601-6776-4003-8961-00198181CBC0}" dateTime="2008-11-23T02:55:54" maxSheetId="14" userName=" " r:id="rId92" minRId="3857" maxRId="38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93B1B9-68F8-4DBB-8397-B176A7925AFC}" dateTime="2008-11-23T03:01:28" maxSheetId="14" userName=" " r:id="rId93" minRId="3900" maxRId="39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57EAAF-4816-4EFA-9B48-B95EB1929181}" dateTime="2008-11-23T03:06:54" maxSheetId="14" userName=" " r:id="rId94" minRId="3953" maxRId="40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8DC6D7-BA90-44B2-88E2-27FCE26C9986}" dateTime="2008-11-23T03:11:54" maxSheetId="14" userName=" " r:id="rId95" minRId="4006" maxRId="40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83AD78-C186-44F8-8836-A50A2E449185}" dateTime="2008-11-23T03:16:54" maxSheetId="14" userName=" " r:id="rId96" minRId="4059" maxRId="41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B687CB-F153-46C2-BB68-5F138D22CF3E}" dateTime="2008-11-23T03:21:42" maxSheetId="14" userName=" " r:id="rId97" minRId="4160" maxRId="41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4160" sId="8" numFmtId="4">
    <nc r="C226">
      <v>21</v>
    </nc>
  </rcc>
  <rcc rId="4161" sId="8" numFmtId="4">
    <nc r="D226">
      <v>1</v>
    </nc>
  </rcc>
  <rcc rId="4162" sId="8" numFmtId="4">
    <nc r="E226">
      <v>11</v>
    </nc>
  </rcc>
  <rcc rId="4163" sId="8" numFmtId="4">
    <nc r="F226">
      <v>57</v>
    </nc>
  </rcc>
  <rcc rId="4164" sId="8" numFmtId="4">
    <nc r="G226">
      <v>7</v>
    </nc>
  </rcc>
  <rcc rId="4165" sId="8" numFmtId="4">
    <nc r="C227">
      <v>37</v>
    </nc>
  </rcc>
  <rcc rId="4166" sId="8" numFmtId="4">
    <nc r="D227">
      <v>11</v>
    </nc>
  </rcc>
  <rcc rId="4167" sId="8" numFmtId="4">
    <nc r="E227">
      <v>9</v>
    </nc>
  </rcc>
  <rcc rId="4168" sId="8" numFmtId="4">
    <nc r="F227">
      <v>14</v>
    </nc>
  </rcc>
  <rcc rId="4169" sId="8" numFmtId="4">
    <nc r="G227">
      <v>0</v>
    </nc>
  </rcc>
  <rcc rId="4170" sId="8" numFmtId="4">
    <nc r="C228">
      <v>37</v>
    </nc>
  </rcc>
  <rcc rId="4171" sId="8" numFmtId="4">
    <nc r="D228">
      <v>13</v>
    </nc>
  </rcc>
  <rcc rId="4172" sId="8" numFmtId="4">
    <nc r="E228">
      <v>11</v>
    </nc>
  </rcc>
  <rcc rId="4173" sId="8" numFmtId="4">
    <nc r="F228">
      <v>16</v>
    </nc>
  </rcc>
  <rcc rId="4174" sId="8" numFmtId="4">
    <nc r="G228">
      <v>0</v>
    </nc>
  </rcc>
  <rcc rId="4175" sId="8" numFmtId="4">
    <nc r="C229">
      <v>37</v>
    </nc>
  </rcc>
  <rcc rId="4176" sId="8" numFmtId="4">
    <nc r="D229">
      <v>12</v>
    </nc>
  </rcc>
  <rcc rId="4177" sId="8" numFmtId="4">
    <nc r="E229">
      <v>17</v>
    </nc>
  </rcc>
  <rcc rId="4178" sId="8" numFmtId="4">
    <nc r="F229">
      <v>12</v>
    </nc>
  </rcc>
  <rcc rId="4179" sId="8" numFmtId="4">
    <nc r="G229">
      <v>0</v>
    </nc>
  </rcc>
  <rcv guid="{2EA3A6B8-61D5-4EF1-87B1-B14945A241CD}" action="delete"/>
  <rcv guid="{2EA3A6B8-61D5-4EF1-87B1-B14945A241CD}" action="add"/>
</revisions>
</file>

<file path=xl/revisions/revisionLog2.xml><?xml version="1.0" encoding="utf-8"?>
<revisions xmlns="http://schemas.openxmlformats.org/spreadsheetml/2006/main" xmlns:r="http://schemas.openxmlformats.org/officeDocument/2006/relationships">
  <rcc rId="1" sId="8" numFmtId="4">
    <nc r="B12">
      <v>12</v>
    </nc>
  </rcc>
  <rcc rId="2" sId="8" numFmtId="4">
    <nc r="C12">
      <v>23</v>
    </nc>
  </rcc>
  <rcc rId="3" sId="8" numFmtId="4">
    <nc r="B13">
      <v>12</v>
    </nc>
  </rcc>
  <rcc rId="4" sId="8" numFmtId="4">
    <nc r="B14">
      <v>12</v>
    </nc>
  </rcc>
  <rcc rId="5" sId="8" numFmtId="4">
    <nc r="B15">
      <v>12</v>
    </nc>
  </rcc>
  <rcc rId="6" sId="8" numFmtId="4">
    <nc r="B16">
      <v>12</v>
    </nc>
  </rcc>
  <rcc rId="7" sId="8" numFmtId="4">
    <nc r="B17">
      <v>12</v>
    </nc>
  </rcc>
  <rcc rId="8" sId="8" numFmtId="4">
    <nc r="B18">
      <v>12</v>
    </nc>
  </rcc>
  <rcc rId="9" sId="8" numFmtId="4">
    <nc r="B19">
      <v>12</v>
    </nc>
  </rcc>
  <rcc rId="10" sId="8" numFmtId="4">
    <nc r="B20">
      <v>12</v>
    </nc>
  </rcc>
  <rcc rId="11" sId="8" numFmtId="4">
    <nc r="B21">
      <v>12</v>
    </nc>
  </rcc>
  <rcc rId="12" sId="8" numFmtId="4">
    <nc r="B22">
      <v>12</v>
    </nc>
  </rcc>
  <rcc rId="13" sId="8" numFmtId="4">
    <nc r="B23">
      <v>12</v>
    </nc>
  </rcc>
  <rcc rId="14" sId="8" numFmtId="4">
    <nc r="B24">
      <v>12</v>
    </nc>
  </rcc>
  <rcc rId="15" sId="8" numFmtId="4">
    <nc r="B25">
      <v>12</v>
    </nc>
  </rcc>
  <rcc rId="16" sId="8" numFmtId="4">
    <nc r="B26">
      <v>12</v>
    </nc>
  </rcc>
  <rcc rId="17" sId="8" numFmtId="4">
    <nc r="B27">
      <v>12</v>
    </nc>
  </rcc>
  <rcc rId="18" sId="8" numFmtId="4">
    <nc r="B28">
      <v>12</v>
    </nc>
  </rcc>
  <rcc rId="19" sId="8" numFmtId="4">
    <nc r="B29">
      <v>12</v>
    </nc>
  </rcc>
  <rcc rId="20" sId="8" numFmtId="4">
    <nc r="B30">
      <v>12</v>
    </nc>
  </rcc>
  <rcc rId="21" sId="8" numFmtId="4">
    <nc r="B31">
      <v>12</v>
    </nc>
  </rcc>
  <rcc rId="22" sId="8" numFmtId="4">
    <nc r="B32">
      <v>12</v>
    </nc>
  </rcc>
  <rcc rId="23" sId="8" numFmtId="4">
    <nc r="B33">
      <v>12</v>
    </nc>
  </rcc>
  <rcc rId="24" sId="8" numFmtId="4">
    <nc r="B34">
      <v>12</v>
    </nc>
  </rcc>
  <rcc rId="25" sId="8" numFmtId="4">
    <nc r="B35">
      <v>12</v>
    </nc>
  </rcc>
  <rcc rId="26" sId="8" numFmtId="4">
    <nc r="B36">
      <v>12</v>
    </nc>
  </rcc>
  <rcc rId="27" sId="8" numFmtId="4">
    <nc r="B37">
      <v>12</v>
    </nc>
  </rcc>
  <rcc rId="28" sId="8" numFmtId="4">
    <nc r="B10">
      <v>12</v>
    </nc>
  </rcc>
  <rcc rId="29" sId="8" numFmtId="4">
    <nc r="B11">
      <v>12</v>
    </nc>
  </rcc>
  <rm rId="30" sheetId="8" source="C12" destination="C9" sourceSheetId="8">
    <undo index="0" exp="area" ref3D="1" dr="$C$9:$C$408" dn="CentroME"/>
    <rcc rId="0" sId="8" dxf="1" numFmtId="4">
      <nc r="C9">
        <v>18</v>
      </nc>
      <ndxf>
        <font>
          <sz val="14"/>
          <color auto="1"/>
          <name val="Arial"/>
          <scheme val="none"/>
        </font>
        <numFmt numFmtId="1" formatCode="0"/>
        <fill>
          <patternFill patternType="solid">
            <bgColor rgb="FFFFFF99"/>
          </patternFill>
        </fill>
        <alignment horizontal="right" vertical="center" indent="2" relativeIndent="0" readingOrder="0"/>
        <border outline="0">
          <left style="medium">
            <color indexed="64"/>
          </left>
          <right style="medium">
            <color indexed="64"/>
          </right>
          <bottom style="dashed">
            <color indexed="64"/>
          </bottom>
        </border>
        <protection locked="0"/>
      </ndxf>
    </rcc>
  </rm>
  <rcc rId="31" sId="8" numFmtId="4">
    <oc r="E9">
      <v>1</v>
    </oc>
    <nc r="E9">
      <v>12</v>
    </nc>
  </rcc>
  <rcc rId="32" sId="8" numFmtId="4">
    <oc r="F9">
      <v>1</v>
    </oc>
    <nc r="F9">
      <v>5</v>
    </nc>
  </rcc>
  <rcc rId="33" sId="8" numFmtId="4">
    <oc r="G9">
      <v>1</v>
    </oc>
    <nc r="G9">
      <v>8</v>
    </nc>
  </rcc>
  <rfmt sheetId="8" sqref="C12" start="0" length="0">
    <dxf>
      <font>
        <sz val="14"/>
        <color auto="1"/>
        <name val="Arial"/>
        <scheme val="none"/>
      </font>
      <numFmt numFmtId="1" formatCode="0"/>
      <fill>
        <patternFill patternType="solid">
          <bgColor rgb="FFFFFF99"/>
        </patternFill>
      </fill>
      <alignment horizontal="right" vertical="center" indent="2" relativeIndent="0" readingOrder="0"/>
      <border outline="0">
        <left style="medium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</border>
    </dxf>
  </rfmt>
  <rcc rId="34" sId="11" numFmtId="4">
    <nc r="B12">
      <v>5</v>
    </nc>
  </rcc>
  <rcc rId="35" sId="11" numFmtId="4">
    <nc r="B13">
      <v>5</v>
    </nc>
  </rcc>
  <rcc rId="36" sId="11" numFmtId="4">
    <nc r="B10">
      <v>5</v>
    </nc>
  </rcc>
  <rcc rId="37" sId="11" numFmtId="4">
    <nc r="B11">
      <v>5</v>
    </nc>
  </rcc>
  <rcc rId="38" sId="11" numFmtId="4">
    <nc r="B14">
      <v>5</v>
    </nc>
  </rcc>
  <rcc rId="39" sId="11" numFmtId="4">
    <nc r="B15">
      <v>5</v>
    </nc>
  </rcc>
  <rcc rId="40" sId="11" numFmtId="4">
    <nc r="B16">
      <v>5</v>
    </nc>
  </rcc>
  <rcc rId="41" sId="11" numFmtId="4">
    <nc r="B17">
      <v>5</v>
    </nc>
  </rcc>
  <rcc rId="42" sId="11" numFmtId="4">
    <nc r="B18">
      <v>5</v>
    </nc>
  </rcc>
  <rcc rId="43" sId="11" numFmtId="4">
    <nc r="B19">
      <v>5</v>
    </nc>
  </rcc>
  <rcc rId="44" sId="11" numFmtId="4">
    <nc r="B20">
      <v>5</v>
    </nc>
  </rcc>
  <rcc rId="45" sId="11" numFmtId="4">
    <nc r="B21">
      <v>5</v>
    </nc>
  </rcc>
  <rcc rId="46" sId="11" numFmtId="4">
    <nc r="B22">
      <v>5</v>
    </nc>
  </rcc>
  <rcc rId="47" sId="11" numFmtId="4">
    <nc r="B23">
      <v>5</v>
    </nc>
  </rcc>
  <rcc rId="48" sId="11" numFmtId="4">
    <nc r="B24">
      <v>5</v>
    </nc>
  </rcc>
  <rcc rId="49" sId="11" numFmtId="4">
    <nc r="B25">
      <v>5</v>
    </nc>
  </rcc>
  <rcc rId="50" sId="11" numFmtId="4">
    <nc r="B26">
      <v>5</v>
    </nc>
  </rcc>
  <rcc rId="51" sId="11" numFmtId="4">
    <nc r="B27">
      <v>5</v>
    </nc>
  </rcc>
  <rcc rId="52" sId="11" numFmtId="4">
    <nc r="B28">
      <v>5</v>
    </nc>
  </rcc>
  <rcc rId="53" sId="11" numFmtId="4">
    <nc r="B29">
      <v>5</v>
    </nc>
  </rcc>
  <rcc rId="54" sId="11" numFmtId="4">
    <nc r="B30">
      <v>5</v>
    </nc>
  </rcc>
  <rfmt sheetId="11" sqref="D10" start="0" length="0">
    <dxf>
      <border outline="0">
        <top/>
      </border>
    </dxf>
  </rfmt>
  <rfmt sheetId="11" sqref="D11" start="0" length="0">
    <dxf>
      <border outline="0">
        <top/>
      </border>
    </dxf>
  </rfmt>
  <rfmt sheetId="11" sqref="D12" start="0" length="0">
    <dxf>
      <border outline="0">
        <top/>
      </border>
    </dxf>
  </rfmt>
  <rfmt sheetId="11" sqref="D13" start="0" length="0">
    <dxf>
      <border outline="0">
        <top/>
      </border>
    </dxf>
  </rfmt>
  <rfmt sheetId="11" sqref="D14" start="0" length="0">
    <dxf>
      <border outline="0">
        <top/>
      </border>
    </dxf>
  </rfmt>
  <rfmt sheetId="11" sqref="D15" start="0" length="0">
    <dxf>
      <border outline="0">
        <top/>
      </border>
    </dxf>
  </rfmt>
  <rfmt sheetId="11" sqref="D16" start="0" length="0">
    <dxf>
      <border outline="0">
        <top/>
      </border>
    </dxf>
  </rfmt>
  <rfmt sheetId="11" sqref="D17" start="0" length="0">
    <dxf>
      <border outline="0">
        <top/>
      </border>
    </dxf>
  </rfmt>
  <rfmt sheetId="11" sqref="D18" start="0" length="0">
    <dxf>
      <border outline="0">
        <top/>
      </border>
    </dxf>
  </rfmt>
  <rfmt sheetId="11" sqref="D19" start="0" length="0">
    <dxf>
      <border outline="0">
        <top/>
      </border>
    </dxf>
  </rfmt>
  <rfmt sheetId="11" sqref="D20" start="0" length="0">
    <dxf>
      <border outline="0">
        <top/>
      </border>
    </dxf>
  </rfmt>
  <rfmt sheetId="11" sqref="D21" start="0" length="0">
    <dxf>
      <border outline="0">
        <top/>
      </border>
    </dxf>
  </rfmt>
  <rfmt sheetId="11" sqref="D22" start="0" length="0">
    <dxf>
      <border outline="0">
        <top/>
      </border>
    </dxf>
  </rfmt>
  <rfmt sheetId="11" sqref="D23" start="0" length="0">
    <dxf>
      <border outline="0">
        <top/>
      </border>
    </dxf>
  </rfmt>
  <rfmt sheetId="11" sqref="D24" start="0" length="0">
    <dxf>
      <border outline="0">
        <top/>
      </border>
    </dxf>
  </rfmt>
  <rfmt sheetId="11" sqref="D25" start="0" length="0">
    <dxf>
      <border outline="0">
        <top/>
      </border>
    </dxf>
  </rfmt>
  <rfmt sheetId="11" sqref="D26" start="0" length="0">
    <dxf>
      <border outline="0">
        <top/>
      </border>
    </dxf>
  </rfmt>
  <rfmt sheetId="11" sqref="D27" start="0" length="0">
    <dxf>
      <border outline="0">
        <top/>
      </border>
    </dxf>
  </rfmt>
  <rfmt sheetId="11" sqref="D28" start="0" length="0">
    <dxf>
      <border outline="0">
        <top/>
      </border>
    </dxf>
  </rfmt>
  <rfmt sheetId="11" sqref="D29" start="0" length="0">
    <dxf>
      <border outline="0">
        <top/>
      </border>
    </dxf>
  </rfmt>
  <rfmt sheetId="11" sqref="D30" start="0" length="0">
    <dxf>
      <border outline="0">
        <top/>
      </border>
    </dxf>
  </rfmt>
  <rcc rId="55" sId="5" odxf="1" dxf="1" numFmtId="4">
    <nc r="B10">
      <v>18</v>
    </nc>
    <odxf>
      <border outline="0">
        <top style="dashed">
          <color indexed="64"/>
        </top>
      </border>
    </odxf>
    <ndxf>
      <border outline="0">
        <top/>
      </border>
    </ndxf>
  </rcc>
  <rcc rId="56" sId="5" odxf="1" dxf="1" numFmtId="4">
    <nc r="B11">
      <v>18</v>
    </nc>
    <odxf>
      <border outline="0">
        <top style="dashed">
          <color indexed="64"/>
        </top>
      </border>
    </odxf>
    <ndxf>
      <border outline="0">
        <top/>
      </border>
    </ndxf>
  </rcc>
  <rcc rId="57" sId="5" odxf="1" dxf="1" numFmtId="4">
    <nc r="B12">
      <v>18</v>
    </nc>
    <odxf>
      <border outline="0">
        <top style="dashed">
          <color indexed="64"/>
        </top>
      </border>
    </odxf>
    <ndxf>
      <border outline="0">
        <top/>
      </border>
    </ndxf>
  </rcc>
  <rcc rId="58" sId="5" odxf="1" dxf="1" numFmtId="4">
    <nc r="B13">
      <v>18</v>
    </nc>
    <odxf>
      <border outline="0">
        <top style="dashed">
          <color indexed="64"/>
        </top>
      </border>
    </odxf>
    <ndxf>
      <border outline="0">
        <top/>
      </border>
    </ndxf>
  </rcc>
  <rcc rId="59" sId="5" odxf="1" dxf="1" numFmtId="4">
    <nc r="B14">
      <v>18</v>
    </nc>
    <odxf>
      <border outline="0">
        <top style="dashed">
          <color indexed="64"/>
        </top>
      </border>
    </odxf>
    <ndxf>
      <border outline="0">
        <top/>
      </border>
    </ndxf>
  </rcc>
  <rcc rId="60" sId="5" odxf="1" dxf="1" numFmtId="4">
    <nc r="B15">
      <v>18</v>
    </nc>
    <odxf>
      <border outline="0">
        <top style="dashed">
          <color indexed="64"/>
        </top>
      </border>
    </odxf>
    <ndxf>
      <border outline="0">
        <top/>
      </border>
    </ndxf>
  </rcc>
  <rcc rId="61" sId="5" odxf="1" dxf="1" numFmtId="4">
    <nc r="B16">
      <v>18</v>
    </nc>
    <odxf>
      <border outline="0">
        <top style="dashed">
          <color indexed="64"/>
        </top>
      </border>
    </odxf>
    <ndxf>
      <border outline="0">
        <top/>
      </border>
    </ndxf>
  </rcc>
  <rcc rId="62" sId="5" odxf="1" dxf="1" numFmtId="4">
    <nc r="B17">
      <v>18</v>
    </nc>
    <odxf>
      <border outline="0">
        <top style="dashed">
          <color indexed="64"/>
        </top>
      </border>
    </odxf>
    <ndxf>
      <border outline="0">
        <top/>
      </border>
    </ndxf>
  </rcc>
  <rcc rId="63" sId="5" odxf="1" dxf="1" numFmtId="4">
    <nc r="B18">
      <v>18</v>
    </nc>
    <odxf>
      <border outline="0">
        <top style="dashed">
          <color indexed="64"/>
        </top>
      </border>
    </odxf>
    <ndxf>
      <border outline="0">
        <top/>
      </border>
    </ndxf>
  </rcc>
  <rcc rId="64" sId="5" odxf="1" dxf="1" numFmtId="4">
    <nc r="B19">
      <v>18</v>
    </nc>
    <odxf>
      <border outline="0">
        <top style="dashed">
          <color indexed="64"/>
        </top>
      </border>
    </odxf>
    <ndxf>
      <border outline="0">
        <top/>
      </border>
    </ndxf>
  </rcc>
  <rcc rId="65" sId="5" odxf="1" dxf="1" numFmtId="4">
    <nc r="B20">
      <v>18</v>
    </nc>
    <odxf>
      <border outline="0">
        <top style="dashed">
          <color indexed="64"/>
        </top>
      </border>
    </odxf>
    <ndxf>
      <border outline="0">
        <top/>
      </border>
    </ndxf>
  </rcc>
  <rcc rId="66" sId="5" odxf="1" dxf="1" numFmtId="4">
    <nc r="B21">
      <v>18</v>
    </nc>
    <odxf>
      <border outline="0">
        <top style="dashed">
          <color indexed="64"/>
        </top>
      </border>
    </odxf>
    <ndxf>
      <border outline="0">
        <top/>
      </border>
    </ndxf>
  </rcc>
  <rcc rId="67" sId="5" odxf="1" dxf="1" numFmtId="4">
    <nc r="B22">
      <v>18</v>
    </nc>
    <odxf>
      <border outline="0">
        <top style="dashed">
          <color indexed="64"/>
        </top>
      </border>
    </odxf>
    <ndxf>
      <border outline="0">
        <top/>
      </border>
    </ndxf>
  </rcc>
  <rcc rId="68" sId="5" odxf="1" dxf="1" numFmtId="4">
    <nc r="B23">
      <v>18</v>
    </nc>
    <odxf>
      <border outline="0">
        <top style="dashed">
          <color indexed="64"/>
        </top>
      </border>
    </odxf>
    <ndxf>
      <border outline="0">
        <top/>
      </border>
    </ndxf>
  </rcc>
  <rcc rId="69" sId="5" odxf="1" dxf="1" numFmtId="4">
    <nc r="B24">
      <v>18</v>
    </nc>
    <odxf>
      <border outline="0">
        <top style="dashed">
          <color indexed="64"/>
        </top>
      </border>
    </odxf>
    <ndxf>
      <border outline="0">
        <top/>
      </border>
    </ndxf>
  </rcc>
  <rcc rId="70" sId="5" odxf="1" dxf="1" numFmtId="4">
    <nc r="B25">
      <v>18</v>
    </nc>
    <odxf>
      <border outline="0">
        <top style="dashed">
          <color indexed="64"/>
        </top>
      </border>
    </odxf>
    <ndxf>
      <border outline="0">
        <top/>
      </border>
    </ndxf>
  </rcc>
  <rcc rId="71" sId="5" odxf="1" dxf="1" numFmtId="4">
    <nc r="B26">
      <v>18</v>
    </nc>
    <odxf>
      <border outline="0">
        <top style="dashed">
          <color indexed="64"/>
        </top>
      </border>
    </odxf>
    <ndxf>
      <border outline="0">
        <top/>
      </border>
    </ndxf>
  </rcc>
  <rcc rId="72" sId="5" odxf="1" dxf="1" numFmtId="4">
    <nc r="B27">
      <v>18</v>
    </nc>
    <odxf>
      <border outline="0">
        <top style="dashed">
          <color indexed="64"/>
        </top>
      </border>
    </odxf>
    <ndxf>
      <border outline="0">
        <top/>
      </border>
    </ndxf>
  </rcc>
  <rcc rId="73" sId="5" odxf="1" dxf="1" numFmtId="4">
    <nc r="B28">
      <v>18</v>
    </nc>
    <odxf>
      <border outline="0">
        <top style="dashed">
          <color indexed="64"/>
        </top>
      </border>
    </odxf>
    <ndxf>
      <border outline="0">
        <top/>
      </border>
    </ndxf>
  </rcc>
  <rcc rId="74" sId="5" odxf="1" dxf="1" numFmtId="4">
    <nc r="B29">
      <v>18</v>
    </nc>
    <odxf>
      <border outline="0">
        <top style="dashed">
          <color indexed="64"/>
        </top>
      </border>
    </odxf>
    <ndxf>
      <border outline="0">
        <top/>
      </border>
    </ndxf>
  </rcc>
  <rcc rId="75" sId="5" odxf="1" dxf="1" numFmtId="4">
    <nc r="B30">
      <v>18</v>
    </nc>
    <odxf>
      <border outline="0">
        <top style="dashed">
          <color indexed="64"/>
        </top>
      </border>
    </odxf>
    <ndxf>
      <border outline="0">
        <top/>
      </border>
    </ndxf>
  </rcc>
  <rcc rId="76" sId="5" odxf="1" dxf="1" numFmtId="4">
    <nc r="B31">
      <v>18</v>
    </nc>
    <odxf>
      <border outline="0">
        <top style="dashed">
          <color indexed="64"/>
        </top>
      </border>
    </odxf>
    <ndxf>
      <border outline="0">
        <top/>
      </border>
    </ndxf>
  </rcc>
  <rcc rId="77" sId="5" odxf="1" dxf="1" numFmtId="4">
    <nc r="B32">
      <v>18</v>
    </nc>
    <odxf>
      <border outline="0">
        <top style="dashed">
          <color indexed="64"/>
        </top>
      </border>
    </odxf>
    <ndxf>
      <border outline="0">
        <top/>
      </border>
    </ndxf>
  </rcc>
  <rcc rId="78" sId="5" odxf="1" dxf="1" numFmtId="4">
    <nc r="B33">
      <v>18</v>
    </nc>
    <odxf>
      <border outline="0">
        <top style="dashed">
          <color indexed="64"/>
        </top>
      </border>
    </odxf>
    <ndxf>
      <border outline="0">
        <top/>
      </border>
    </ndxf>
  </rcc>
  <rcc rId="79" sId="5" odxf="1" dxf="1" numFmtId="4">
    <nc r="B34">
      <v>18</v>
    </nc>
    <odxf>
      <border outline="0">
        <top style="dashed">
          <color indexed="64"/>
        </top>
      </border>
    </odxf>
    <ndxf>
      <border outline="0">
        <top/>
      </border>
    </ndxf>
  </rcc>
  <rcc rId="80" sId="5" odxf="1" dxf="1" numFmtId="4">
    <nc r="B35">
      <v>18</v>
    </nc>
    <odxf>
      <border outline="0">
        <top style="dashed">
          <color indexed="64"/>
        </top>
      </border>
    </odxf>
    <ndxf>
      <border outline="0">
        <top/>
      </border>
    </ndxf>
  </rcc>
  <rcc rId="81" sId="5" odxf="1" dxf="1" numFmtId="4">
    <nc r="B36">
      <v>18</v>
    </nc>
    <odxf>
      <border outline="0">
        <top style="dashed">
          <color indexed="64"/>
        </top>
      </border>
    </odxf>
    <ndxf>
      <border outline="0">
        <top/>
      </border>
    </ndxf>
  </rcc>
  <rcc rId="82" sId="5" odxf="1" dxf="1" numFmtId="4">
    <nc r="B37">
      <v>18</v>
    </nc>
    <odxf>
      <border outline="0">
        <top style="dashed">
          <color indexed="64"/>
        </top>
      </border>
    </odxf>
    <ndxf>
      <border outline="0">
        <top/>
      </border>
    </ndxf>
  </rcc>
  <rcc rId="83" sId="5" odxf="1" dxf="1" numFmtId="4">
    <nc r="B38">
      <v>18</v>
    </nc>
    <odxf>
      <border outline="0">
        <top style="dashed">
          <color indexed="64"/>
        </top>
      </border>
    </odxf>
    <ndxf>
      <border outline="0">
        <top/>
      </border>
    </ndxf>
  </rcc>
  <rcc rId="84" sId="5" odxf="1" dxf="1" numFmtId="4">
    <nc r="B39">
      <v>18</v>
    </nc>
    <odxf>
      <border outline="0">
        <top style="dashed">
          <color indexed="64"/>
        </top>
      </border>
    </odxf>
    <ndxf>
      <border outline="0">
        <top/>
      </border>
    </ndxf>
  </rcc>
  <rcc rId="85" sId="5" odxf="1" dxf="1" numFmtId="4">
    <nc r="B40">
      <v>18</v>
    </nc>
    <odxf>
      <border outline="0">
        <top style="dashed">
          <color indexed="64"/>
        </top>
      </border>
    </odxf>
    <ndxf>
      <border outline="0">
        <top/>
      </border>
    </ndxf>
  </rcc>
  <rcc rId="86" sId="5" odxf="1" dxf="1" numFmtId="4">
    <nc r="B41">
      <v>18</v>
    </nc>
    <odxf>
      <border outline="0">
        <top style="dashed">
          <color indexed="64"/>
        </top>
      </border>
    </odxf>
    <ndxf>
      <border outline="0">
        <top/>
      </border>
    </ndxf>
  </rcc>
  <rcc rId="87" sId="5" odxf="1" dxf="1" numFmtId="4">
    <nc r="B42">
      <v>18</v>
    </nc>
    <odxf>
      <border outline="0">
        <top style="dashed">
          <color indexed="64"/>
        </top>
      </border>
    </odxf>
    <ndxf>
      <border outline="0">
        <top/>
      </border>
    </ndxf>
  </rcc>
  <rcc rId="88" sId="5" odxf="1" dxf="1" numFmtId="4">
    <nc r="B43">
      <v>18</v>
    </nc>
    <odxf>
      <border outline="0">
        <top style="dashed">
          <color indexed="64"/>
        </top>
      </border>
    </odxf>
    <ndxf>
      <border outline="0">
        <top/>
      </border>
    </ndxf>
  </rcc>
  <rfmt sheetId="5" sqref="D10" start="0" length="0">
    <dxf>
      <border outline="0">
        <top/>
      </border>
    </dxf>
  </rfmt>
  <rfmt sheetId="5" sqref="D11" start="0" length="0">
    <dxf>
      <border outline="0">
        <top/>
      </border>
    </dxf>
  </rfmt>
  <rfmt sheetId="5" sqref="D12" start="0" length="0">
    <dxf>
      <border outline="0">
        <top/>
      </border>
    </dxf>
  </rfmt>
  <rfmt sheetId="5" sqref="D13" start="0" length="0">
    <dxf>
      <border outline="0">
        <top/>
      </border>
    </dxf>
  </rfmt>
  <rfmt sheetId="5" sqref="D14" start="0" length="0">
    <dxf>
      <border outline="0">
        <top/>
      </border>
    </dxf>
  </rfmt>
  <rfmt sheetId="5" sqref="D15" start="0" length="0">
    <dxf>
      <border outline="0">
        <top/>
      </border>
    </dxf>
  </rfmt>
  <rfmt sheetId="5" sqref="D16" start="0" length="0">
    <dxf>
      <border outline="0">
        <top/>
      </border>
    </dxf>
  </rfmt>
  <rfmt sheetId="5" sqref="D17" start="0" length="0">
    <dxf>
      <border outline="0">
        <top/>
      </border>
    </dxf>
  </rfmt>
  <rfmt sheetId="5" sqref="D18" start="0" length="0">
    <dxf>
      <border outline="0">
        <top/>
      </border>
    </dxf>
  </rfmt>
  <rfmt sheetId="5" sqref="D19" start="0" length="0">
    <dxf>
      <border outline="0">
        <top/>
      </border>
    </dxf>
  </rfmt>
  <rfmt sheetId="5" sqref="D20" start="0" length="0">
    <dxf>
      <border outline="0">
        <top/>
      </border>
    </dxf>
  </rfmt>
  <rfmt sheetId="5" sqref="D21" start="0" length="0">
    <dxf>
      <border outline="0">
        <top/>
      </border>
    </dxf>
  </rfmt>
  <rfmt sheetId="5" sqref="D22" start="0" length="0">
    <dxf>
      <border outline="0">
        <top/>
      </border>
    </dxf>
  </rfmt>
  <rfmt sheetId="5" sqref="D23" start="0" length="0">
    <dxf>
      <border outline="0">
        <top/>
      </border>
    </dxf>
  </rfmt>
  <rfmt sheetId="5" sqref="D24" start="0" length="0">
    <dxf>
      <border outline="0">
        <top/>
      </border>
    </dxf>
  </rfmt>
  <rfmt sheetId="5" sqref="D25" start="0" length="0">
    <dxf>
      <border outline="0">
        <top/>
      </border>
    </dxf>
  </rfmt>
  <rfmt sheetId="5" sqref="D26" start="0" length="0">
    <dxf>
      <border outline="0">
        <top/>
      </border>
    </dxf>
  </rfmt>
  <rfmt sheetId="5" sqref="D27" start="0" length="0">
    <dxf>
      <border outline="0">
        <top/>
      </border>
    </dxf>
  </rfmt>
  <rfmt sheetId="5" sqref="D28" start="0" length="0">
    <dxf>
      <border outline="0">
        <top/>
      </border>
    </dxf>
  </rfmt>
  <rfmt sheetId="5" sqref="D29" start="0" length="0">
    <dxf>
      <border outline="0">
        <top/>
      </border>
    </dxf>
  </rfmt>
  <rfmt sheetId="5" sqref="D30" start="0" length="0">
    <dxf>
      <border outline="0">
        <top/>
      </border>
    </dxf>
  </rfmt>
  <rfmt sheetId="5" sqref="D31" start="0" length="0">
    <dxf>
      <border outline="0">
        <top/>
      </border>
    </dxf>
  </rfmt>
  <rfmt sheetId="5" sqref="D32" start="0" length="0">
    <dxf>
      <border outline="0">
        <top/>
      </border>
    </dxf>
  </rfmt>
  <rfmt sheetId="5" sqref="D33" start="0" length="0">
    <dxf>
      <border outline="0">
        <top/>
      </border>
    </dxf>
  </rfmt>
  <rfmt sheetId="5" sqref="D34" start="0" length="0">
    <dxf>
      <border outline="0">
        <top/>
      </border>
    </dxf>
  </rfmt>
  <rfmt sheetId="5" sqref="D35" start="0" length="0">
    <dxf>
      <border outline="0">
        <top/>
      </border>
    </dxf>
  </rfmt>
  <rfmt sheetId="5" sqref="D36" start="0" length="0">
    <dxf>
      <border outline="0">
        <top/>
      </border>
    </dxf>
  </rfmt>
  <rfmt sheetId="5" sqref="D37" start="0" length="0">
    <dxf>
      <border outline="0">
        <top/>
      </border>
    </dxf>
  </rfmt>
  <rfmt sheetId="5" sqref="D38" start="0" length="0">
    <dxf>
      <border outline="0">
        <top/>
      </border>
    </dxf>
  </rfmt>
  <rfmt sheetId="5" sqref="D39" start="0" length="0">
    <dxf>
      <border outline="0">
        <top/>
      </border>
    </dxf>
  </rfmt>
  <rfmt sheetId="5" sqref="D40" start="0" length="0">
    <dxf>
      <border outline="0">
        <top/>
      </border>
    </dxf>
  </rfmt>
  <rfmt sheetId="5" sqref="D41" start="0" length="0">
    <dxf>
      <border outline="0">
        <top/>
      </border>
    </dxf>
  </rfmt>
  <rfmt sheetId="5" sqref="D42" start="0" length="0">
    <dxf>
      <border outline="0">
        <top/>
      </border>
    </dxf>
  </rfmt>
  <rfmt sheetId="5" sqref="D43" start="0" length="0">
    <dxf>
      <border outline="0">
        <top/>
      </border>
    </dxf>
  </rfmt>
  <rcc rId="89" sId="5" numFmtId="4">
    <oc r="D9">
      <v>1</v>
    </oc>
    <nc r="D9">
      <v>18</v>
    </nc>
  </rcc>
  <rcc rId="90" sId="11" numFmtId="4">
    <oc r="C9">
      <v>1</v>
    </oc>
    <nc r="C9">
      <v>6</v>
    </nc>
  </rcc>
  <rcc rId="91" sId="11" numFmtId="4">
    <oc r="E9">
      <v>1</v>
    </oc>
    <nc r="E9">
      <v>8</v>
    </nc>
  </rcc>
  <rcc rId="92" sId="11" numFmtId="4">
    <oc r="F9">
      <v>1</v>
    </oc>
    <nc r="F9">
      <v>0</v>
    </nc>
  </rcc>
  <rcc rId="93" sId="11" numFmtId="4">
    <oc r="G9">
      <v>1</v>
    </oc>
    <nc r="G9">
      <v>6</v>
    </nc>
  </rcc>
  <rcc rId="94" sId="11" numFmtId="4">
    <oc r="H9">
      <v>1</v>
    </oc>
    <nc r="H9">
      <v>8</v>
    </nc>
  </rcc>
  <rcc rId="95" sId="11" numFmtId="4">
    <nc r="C10">
      <v>6</v>
    </nc>
  </rcc>
  <rcc rId="96" sId="11" numFmtId="4">
    <nc r="D10">
      <v>2</v>
    </nc>
  </rcc>
  <rcc rId="97" sId="11" numFmtId="4">
    <nc r="E10">
      <v>13</v>
    </nc>
  </rcc>
  <rcc rId="98" sId="11" numFmtId="4">
    <nc r="F10">
      <v>1</v>
    </nc>
  </rcc>
  <rcc rId="99" sId="11" numFmtId="4">
    <nc r="G10">
      <v>10</v>
    </nc>
  </rcc>
  <rcc rId="100" sId="11" numFmtId="4">
    <nc r="H10">
      <v>1</v>
    </nc>
  </rcc>
  <rcc rId="101" sId="11" numFmtId="4">
    <nc r="C11">
      <v>8</v>
    </nc>
  </rcc>
  <rcc rId="102" sId="11" numFmtId="4">
    <nc r="D11">
      <v>1</v>
    </nc>
  </rcc>
  <rcc rId="103" sId="11" numFmtId="4">
    <nc r="E11">
      <v>3</v>
    </nc>
  </rcc>
  <rcc rId="104" sId="11" numFmtId="4">
    <nc r="F11">
      <v>1</v>
    </nc>
  </rcc>
  <rcc rId="105" sId="11" numFmtId="4">
    <nc r="G11">
      <v>6</v>
    </nc>
  </rcc>
  <rcc rId="106" sId="11" numFmtId="4">
    <nc r="H11">
      <v>0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107" sId="11" numFmtId="4">
    <nc r="C12">
      <v>5</v>
    </nc>
  </rcc>
  <rcc rId="108" sId="11" numFmtId="4">
    <nc r="D12">
      <v>4</v>
    </nc>
  </rcc>
  <rcc rId="109" sId="11" numFmtId="4">
    <nc r="E12">
      <v>5</v>
    </nc>
  </rcc>
  <rcc rId="110" sId="11" numFmtId="4">
    <nc r="F12">
      <v>1</v>
    </nc>
  </rcc>
  <rcc rId="111" sId="11" numFmtId="4">
    <nc r="G12">
      <v>13</v>
    </nc>
  </rcc>
  <rcc rId="112" sId="11" numFmtId="4">
    <nc r="H12">
      <v>0</v>
    </nc>
  </rcc>
  <rcc rId="113" sId="11" numFmtId="4">
    <nc r="C13">
      <v>12</v>
    </nc>
  </rcc>
  <rcc rId="114" sId="11" numFmtId="4">
    <nc r="D13">
      <v>1</v>
    </nc>
  </rcc>
  <rcc rId="115" sId="11" numFmtId="4">
    <nc r="E13">
      <v>3</v>
    </nc>
  </rcc>
  <rcc rId="116" sId="11" numFmtId="4">
    <nc r="F13">
      <v>1</v>
    </nc>
  </rcc>
  <rcc rId="117" sId="11" numFmtId="4">
    <nc r="G13">
      <v>2</v>
    </nc>
  </rcc>
  <rcc rId="118" sId="11" numFmtId="4">
    <nc r="H13">
      <v>0</v>
    </nc>
  </rcc>
  <rcc rId="119" sId="11" numFmtId="4">
    <nc r="C14">
      <v>1</v>
    </nc>
  </rcc>
  <rcc rId="120" sId="11" numFmtId="4">
    <nc r="D14">
      <v>2</v>
    </nc>
  </rcc>
  <rcc rId="121" sId="11" numFmtId="4">
    <nc r="E14">
      <v>10</v>
    </nc>
  </rcc>
  <rcc rId="122" sId="11" numFmtId="4">
    <nc r="F14">
      <v>0</v>
    </nc>
  </rcc>
  <rcc rId="123" sId="11" numFmtId="4">
    <nc r="G14">
      <v>4</v>
    </nc>
  </rcc>
  <rcc rId="124" sId="11" numFmtId="4">
    <nc r="H14">
      <v>0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125" sId="11" numFmtId="4">
    <nc r="C15">
      <v>8</v>
    </nc>
  </rcc>
  <rcc rId="126" sId="11" numFmtId="4">
    <nc r="D15">
      <v>2</v>
    </nc>
  </rcc>
  <rcc rId="127" sId="11" numFmtId="4">
    <nc r="E15">
      <v>4</v>
    </nc>
  </rcc>
  <rcc rId="128" sId="11" numFmtId="4">
    <nc r="F15">
      <v>3</v>
    </nc>
  </rcc>
  <rcc rId="129" sId="11" numFmtId="4">
    <nc r="G15">
      <v>18</v>
    </nc>
  </rcc>
  <rcc rId="130" sId="11" numFmtId="4">
    <nc r="H15">
      <v>1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131" sId="11" numFmtId="4">
    <nc r="C16">
      <v>15</v>
    </nc>
  </rcc>
  <rcc rId="132" sId="11" numFmtId="4">
    <nc r="D16">
      <v>1</v>
    </nc>
  </rcc>
  <rcc rId="133" sId="11" numFmtId="4">
    <nc r="E16">
      <v>4</v>
    </nc>
  </rcc>
  <rcc rId="134" sId="11" numFmtId="4">
    <nc r="F16">
      <v>0</v>
    </nc>
  </rcc>
  <rcc rId="135" sId="11" numFmtId="4">
    <nc r="G16">
      <v>1</v>
    </nc>
  </rcc>
  <rcc rId="136" sId="11" numFmtId="4">
    <nc r="H16">
      <v>0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137" sId="8" numFmtId="4">
    <nc r="C10">
      <v>23</v>
    </nc>
  </rcc>
  <rcc rId="138" sId="8" numFmtId="4">
    <nc r="D10">
      <v>4</v>
    </nc>
  </rcc>
  <rcc rId="139" sId="8" numFmtId="4">
    <nc r="E10">
      <v>18</v>
    </nc>
  </rcc>
  <rcc rId="140" sId="8" numFmtId="4">
    <nc r="F10">
      <v>6</v>
    </nc>
  </rcc>
  <rcc rId="141" sId="8" numFmtId="4">
    <nc r="G10">
      <v>1</v>
    </nc>
  </rcc>
  <rcc rId="142" sId="8" numFmtId="4">
    <nc r="C11">
      <v>35</v>
    </nc>
  </rcc>
  <rcc rId="143" sId="8" numFmtId="4">
    <nc r="D11">
      <v>1</v>
    </nc>
  </rcc>
  <rcc rId="144" sId="8" numFmtId="4">
    <nc r="E11">
      <v>9</v>
    </nc>
  </rcc>
  <rcc rId="145" sId="8" numFmtId="4">
    <nc r="F11">
      <v>16</v>
    </nc>
  </rcc>
  <rcc rId="146" sId="8" numFmtId="4">
    <nc r="G11">
      <v>5</v>
    </nc>
  </rcc>
  <rcc rId="147" sId="8" numFmtId="4">
    <nc r="C12">
      <v>19</v>
    </nc>
  </rcc>
  <rcc rId="148" sId="8" numFmtId="4">
    <nc r="D12">
      <v>4</v>
    </nc>
  </rcc>
  <rcc rId="149" sId="8" numFmtId="4">
    <nc r="E12">
      <v>2</v>
    </nc>
  </rcc>
  <rcc rId="150" sId="8" numFmtId="4">
    <nc r="F12">
      <v>5</v>
    </nc>
  </rcc>
  <rcc rId="151" sId="8" numFmtId="4">
    <nc r="G12">
      <v>0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152" sId="8" numFmtId="4">
    <nc r="C13">
      <v>24</v>
    </nc>
  </rcc>
  <rcc rId="153" sId="8" numFmtId="4">
    <nc r="D13">
      <v>3</v>
    </nc>
  </rcc>
  <rcc rId="154" sId="8" numFmtId="4">
    <nc r="E13">
      <v>6</v>
    </nc>
  </rcc>
  <rcc rId="155" sId="8" numFmtId="4">
    <nc r="F13">
      <v>19</v>
    </nc>
  </rcc>
  <rcc rId="156" sId="8" numFmtId="4">
    <nc r="G13">
      <v>1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fmt sheetId="5" sqref="B10" start="0" length="0">
    <dxf>
      <border outline="0">
        <top style="dashed">
          <color indexed="64"/>
        </top>
      </border>
    </dxf>
  </rfmt>
  <rfmt sheetId="5" sqref="B11" start="0" length="0">
    <dxf>
      <border outline="0">
        <top style="dashed">
          <color indexed="64"/>
        </top>
      </border>
    </dxf>
  </rfmt>
  <rfmt sheetId="5" sqref="B12" start="0" length="0">
    <dxf>
      <border outline="0">
        <top style="dashed">
          <color indexed="64"/>
        </top>
      </border>
    </dxf>
  </rfmt>
  <rfmt sheetId="5" sqref="B13" start="0" length="0">
    <dxf>
      <border outline="0">
        <top style="dashed">
          <color indexed="64"/>
        </top>
      </border>
    </dxf>
  </rfmt>
  <rfmt sheetId="5" sqref="B14" start="0" length="0">
    <dxf>
      <border outline="0">
        <top style="dashed">
          <color indexed="64"/>
        </top>
      </border>
    </dxf>
  </rfmt>
  <rfmt sheetId="5" sqref="B15" start="0" length="0">
    <dxf>
      <border outline="0">
        <top style="dashed">
          <color indexed="64"/>
        </top>
      </border>
    </dxf>
  </rfmt>
  <rfmt sheetId="5" sqref="B16" start="0" length="0">
    <dxf>
      <border outline="0">
        <top style="dashed">
          <color indexed="64"/>
        </top>
      </border>
    </dxf>
  </rfmt>
  <rfmt sheetId="5" sqref="B17" start="0" length="0">
    <dxf>
      <border outline="0">
        <top style="dashed">
          <color indexed="64"/>
        </top>
      </border>
    </dxf>
  </rfmt>
  <rfmt sheetId="5" sqref="B18" start="0" length="0">
    <dxf>
      <border outline="0">
        <top style="dashed">
          <color indexed="64"/>
        </top>
      </border>
    </dxf>
  </rfmt>
  <rfmt sheetId="5" sqref="B19" start="0" length="0">
    <dxf>
      <border outline="0">
        <top style="dashed">
          <color indexed="64"/>
        </top>
      </border>
    </dxf>
  </rfmt>
  <rfmt sheetId="5" sqref="B20" start="0" length="0">
    <dxf>
      <border outline="0">
        <top style="dashed">
          <color indexed="64"/>
        </top>
      </border>
    </dxf>
  </rfmt>
  <rfmt sheetId="5" sqref="B21" start="0" length="0">
    <dxf>
      <border outline="0">
        <top style="dashed">
          <color indexed="64"/>
        </top>
      </border>
    </dxf>
  </rfmt>
  <rfmt sheetId="5" sqref="B22" start="0" length="0">
    <dxf>
      <border outline="0">
        <top style="dashed">
          <color indexed="64"/>
        </top>
      </border>
    </dxf>
  </rfmt>
  <rfmt sheetId="5" sqref="B23" start="0" length="0">
    <dxf>
      <border outline="0">
        <top style="dashed">
          <color indexed="64"/>
        </top>
      </border>
    </dxf>
  </rfmt>
  <rfmt sheetId="5" sqref="B24" start="0" length="0">
    <dxf>
      <border outline="0">
        <top style="dashed">
          <color indexed="64"/>
        </top>
      </border>
    </dxf>
  </rfmt>
  <rfmt sheetId="5" sqref="B25" start="0" length="0">
    <dxf>
      <border outline="0">
        <top style="dashed">
          <color indexed="64"/>
        </top>
      </border>
    </dxf>
  </rfmt>
  <rfmt sheetId="5" sqref="B26" start="0" length="0">
    <dxf>
      <border outline="0">
        <top style="dashed">
          <color indexed="64"/>
        </top>
      </border>
    </dxf>
  </rfmt>
  <rfmt sheetId="5" sqref="B27" start="0" length="0">
    <dxf>
      <border outline="0">
        <top style="dashed">
          <color indexed="64"/>
        </top>
      </border>
    </dxf>
  </rfmt>
  <rfmt sheetId="5" sqref="B28" start="0" length="0">
    <dxf>
      <border outline="0">
        <top style="dashed">
          <color indexed="64"/>
        </top>
      </border>
    </dxf>
  </rfmt>
  <rfmt sheetId="5" sqref="B29" start="0" length="0">
    <dxf>
      <border outline="0">
        <top style="dashed">
          <color indexed="64"/>
        </top>
      </border>
    </dxf>
  </rfmt>
  <rfmt sheetId="5" sqref="B30" start="0" length="0">
    <dxf>
      <border outline="0">
        <top style="dashed">
          <color indexed="64"/>
        </top>
      </border>
    </dxf>
  </rfmt>
  <rfmt sheetId="5" sqref="B31" start="0" length="0">
    <dxf>
      <border outline="0">
        <top style="dashed">
          <color indexed="64"/>
        </top>
      </border>
    </dxf>
  </rfmt>
  <rfmt sheetId="5" sqref="B32" start="0" length="0">
    <dxf>
      <border outline="0">
        <top style="dashed">
          <color indexed="64"/>
        </top>
      </border>
    </dxf>
  </rfmt>
  <rfmt sheetId="5" sqref="B33" start="0" length="0">
    <dxf>
      <border outline="0">
        <top style="dashed">
          <color indexed="64"/>
        </top>
      </border>
    </dxf>
  </rfmt>
  <rfmt sheetId="5" sqref="B34" start="0" length="0">
    <dxf>
      <border outline="0">
        <top style="dashed">
          <color indexed="64"/>
        </top>
      </border>
    </dxf>
  </rfmt>
  <rfmt sheetId="5" sqref="B35" start="0" length="0">
    <dxf>
      <border outline="0">
        <top style="dashed">
          <color indexed="64"/>
        </top>
      </border>
    </dxf>
  </rfmt>
  <rcc rId="157" sId="5" numFmtId="4">
    <nc r="B10">
      <v>18</v>
    </nc>
  </rcc>
  <rcft rId="55" sheetId="5"/>
  <rcc rId="158" sId="5" numFmtId="4">
    <nc r="C10">
      <v>55</v>
    </nc>
  </rcc>
  <rcc rId="159" sId="5" numFmtId="4">
    <nc r="D10">
      <v>1</v>
    </nc>
  </rcc>
  <rcc rId="160" sId="5" numFmtId="4">
    <nc r="E10">
      <v>3</v>
    </nc>
  </rcc>
  <rcc rId="161" sId="5" numFmtId="4">
    <nc r="F10">
      <v>2</v>
    </nc>
  </rcc>
  <rcc rId="162" sId="5" numFmtId="4">
    <nc r="G10">
      <v>0</v>
    </nc>
  </rcc>
  <rcc rId="163" sId="5" numFmtId="4">
    <nc r="B11">
      <v>18</v>
    </nc>
  </rcc>
  <rcft rId="56" sheetId="5"/>
  <rcc rId="164" sId="5" numFmtId="4">
    <nc r="B12">
      <v>18</v>
    </nc>
  </rcc>
  <rcft rId="57" sheetId="5"/>
  <rcc rId="165" sId="5" numFmtId="4">
    <nc r="B13">
      <v>18</v>
    </nc>
  </rcc>
  <rcft rId="58" sheetId="5"/>
  <rcc rId="166" sId="5" numFmtId="4">
    <nc r="B14">
      <v>18</v>
    </nc>
  </rcc>
  <rcft rId="59" sheetId="5"/>
  <rcc rId="167" sId="5" numFmtId="4">
    <nc r="B15">
      <v>18</v>
    </nc>
  </rcc>
  <rcft rId="60" sheetId="5"/>
  <rcc rId="168" sId="5" numFmtId="4">
    <nc r="B16">
      <v>18</v>
    </nc>
  </rcc>
  <rcft rId="61" sheetId="5"/>
  <rcc rId="169" sId="5" numFmtId="4">
    <nc r="B17">
      <v>18</v>
    </nc>
  </rcc>
  <rcft rId="62" sheetId="5"/>
  <rcc rId="170" sId="5" numFmtId="4">
    <nc r="C11">
      <v>51</v>
    </nc>
  </rcc>
  <rcc rId="171" sId="5" numFmtId="4">
    <nc r="D11">
      <v>1</v>
    </nc>
  </rcc>
  <rcc rId="172" sId="5" numFmtId="4">
    <nc r="D12">
      <v>1</v>
    </nc>
  </rcc>
  <rcc rId="173" sId="5" numFmtId="4">
    <nc r="D13">
      <v>1</v>
    </nc>
  </rcc>
  <rcc rId="174" sId="5" numFmtId="4">
    <nc r="D14">
      <v>1</v>
    </nc>
  </rcc>
  <rcc rId="175" sId="5" numFmtId="4">
    <nc r="D15">
      <v>1</v>
    </nc>
  </rcc>
  <rcc rId="176" sId="5" numFmtId="4">
    <nc r="D16">
      <v>1</v>
    </nc>
  </rcc>
  <rcc rId="177" sId="5" numFmtId="4">
    <nc r="E11">
      <v>5</v>
    </nc>
  </rcc>
  <rcc rId="178" sId="5" numFmtId="4">
    <nc r="F11">
      <v>8</v>
    </nc>
  </rcc>
  <rcc rId="179" sId="5" numFmtId="4">
    <nc r="G11">
      <v>3</v>
    </nc>
  </rcc>
  <rcc rId="180" sId="5" numFmtId="4">
    <nc r="C12">
      <v>39</v>
    </nc>
  </rcc>
  <rcc rId="181" sId="5" numFmtId="4">
    <nc r="E12">
      <v>4</v>
    </nc>
  </rcc>
  <rcc rId="182" sId="5" numFmtId="4">
    <nc r="G12">
      <v>1</v>
    </nc>
  </rcc>
  <rcc rId="183" sId="5" numFmtId="4">
    <nc r="C13">
      <v>38</v>
    </nc>
  </rcc>
  <rcc rId="184" sId="5" numFmtId="4">
    <nc r="E13">
      <v>8</v>
    </nc>
  </rcc>
  <rcc rId="185" sId="5" numFmtId="4">
    <nc r="F13">
      <v>4</v>
    </nc>
  </rcc>
  <rcc rId="186" sId="5" numFmtId="4">
    <nc r="G13">
      <v>2</v>
    </nc>
  </rcc>
  <rcc rId="187" sId="5" numFmtId="4">
    <nc r="C14">
      <v>44</v>
    </nc>
  </rcc>
  <rcc rId="188" sId="5" numFmtId="4">
    <nc r="E14">
      <v>9</v>
    </nc>
  </rcc>
  <rcc rId="189" sId="5" numFmtId="4">
    <nc r="F14">
      <v>9</v>
    </nc>
  </rcc>
  <rcc rId="190" sId="5" numFmtId="4">
    <nc r="G14">
      <v>7</v>
    </nc>
  </rcc>
  <rcc rId="191" sId="8" odxf="1" dxf="1" numFmtId="4">
    <nc r="B10">
      <v>12</v>
    </nc>
    <odxf>
      <border outline="0">
        <top style="dashed">
          <color indexed="64"/>
        </top>
      </border>
    </odxf>
    <ndxf>
      <border outline="0">
        <top/>
      </border>
    </ndxf>
  </rcc>
  <rcft rId="28" sheetId="8"/>
  <rcc rId="192" sId="8" odxf="1" dxf="1" numFmtId="4">
    <nc r="B11">
      <v>12</v>
    </nc>
    <odxf>
      <border outline="0">
        <top style="dashed">
          <color indexed="64"/>
        </top>
      </border>
    </odxf>
    <ndxf>
      <border outline="0">
        <top/>
      </border>
    </ndxf>
  </rcc>
  <rcft rId="29" sheetId="8"/>
  <rcc rId="193" sId="8" odxf="1" dxf="1" numFmtId="4">
    <nc r="B13">
      <v>12</v>
    </nc>
    <odxf>
      <border outline="0">
        <top style="dashed">
          <color indexed="64"/>
        </top>
      </border>
    </odxf>
    <ndxf>
      <border outline="0">
        <top/>
      </border>
    </ndxf>
  </rcc>
  <rcft rId="3" sheetId="8"/>
  <rcc rId="194" sId="8" odxf="1" dxf="1" numFmtId="4">
    <nc r="B14">
      <v>12</v>
    </nc>
    <odxf>
      <border outline="0">
        <top style="dashed">
          <color indexed="64"/>
        </top>
      </border>
    </odxf>
    <ndxf>
      <border outline="0">
        <top/>
      </border>
    </ndxf>
  </rcc>
  <rcft rId="4" sheetId="8"/>
  <rcc rId="195" sId="8" odxf="1" dxf="1" numFmtId="4">
    <nc r="B15">
      <v>12</v>
    </nc>
    <odxf>
      <border outline="0">
        <top style="dashed">
          <color indexed="64"/>
        </top>
      </border>
    </odxf>
    <ndxf>
      <border outline="0">
        <top/>
      </border>
    </ndxf>
  </rcc>
  <rcft rId="5" sheetId="8"/>
  <rcc rId="196" sId="8" odxf="1" dxf="1" numFmtId="4">
    <nc r="B16">
      <v>12</v>
    </nc>
    <odxf>
      <border outline="0">
        <top style="dashed">
          <color indexed="64"/>
        </top>
      </border>
    </odxf>
    <ndxf>
      <border outline="0">
        <top/>
      </border>
    </ndxf>
  </rcc>
  <rcft rId="6" sheetId="8"/>
  <rcc rId="197" sId="8" odxf="1" dxf="1" numFmtId="4">
    <nc r="B17">
      <v>12</v>
    </nc>
    <odxf>
      <border outline="0">
        <top style="dashed">
          <color indexed="64"/>
        </top>
      </border>
    </odxf>
    <ndxf>
      <border outline="0">
        <top/>
      </border>
    </ndxf>
  </rcc>
  <rcft rId="7" sheetId="8"/>
  <rcc rId="198" sId="8" odxf="1" dxf="1" numFmtId="4">
    <nc r="D10">
      <v>1</v>
    </nc>
    <odxf>
      <border outline="0">
        <top style="dashed">
          <color indexed="64"/>
        </top>
      </border>
    </odxf>
    <ndxf>
      <border outline="0">
        <top/>
      </border>
    </ndxf>
  </rcc>
  <rcft rId="138" sheetId="8"/>
  <rcc rId="199" sId="8" odxf="1" dxf="1" numFmtId="4">
    <nc r="D11">
      <v>1</v>
    </nc>
    <odxf>
      <border outline="0">
        <top style="dashed">
          <color indexed="64"/>
        </top>
      </border>
    </odxf>
    <ndxf>
      <border outline="0">
        <top/>
      </border>
    </ndxf>
  </rcc>
  <rcft rId="143" sheetId="8"/>
  <rfmt sheetId="8" sqref="D12" start="0" length="0">
    <dxf>
      <border outline="0">
        <top/>
      </border>
    </dxf>
  </rfmt>
  <rfmt sheetId="8" sqref="D13" start="0" length="0">
    <dxf>
      <border outline="0">
        <top/>
      </border>
    </dxf>
  </rfmt>
  <rfmt sheetId="8" sqref="D14" start="0" length="0">
    <dxf>
      <border outline="0">
        <top/>
      </border>
    </dxf>
  </rfmt>
  <rfmt sheetId="8" sqref="D15" start="0" length="0">
    <dxf>
      <border outline="0">
        <top/>
      </border>
    </dxf>
  </rfmt>
  <rfmt sheetId="8" sqref="D16" start="0" length="0">
    <dxf>
      <border outline="0">
        <top/>
      </border>
    </dxf>
  </rfmt>
  <rfmt sheetId="8" sqref="D17" start="0" length="0">
    <dxf>
      <border outline="0">
        <top/>
      </border>
    </dxf>
  </rfmt>
  <rcc rId="200" sId="8" numFmtId="4">
    <nc r="C10">
      <v>29</v>
    </nc>
  </rcc>
  <rcft rId="137" sheetId="8"/>
  <rcc rId="201" sId="8" numFmtId="4">
    <nc r="E10">
      <v>9</v>
    </nc>
  </rcc>
  <rcft rId="139" sheetId="8"/>
  <rcc rId="202" sId="8" numFmtId="4">
    <nc r="F10">
      <v>15</v>
    </nc>
  </rcc>
  <rcft rId="140" sheetId="8"/>
  <rcc rId="203" sId="8" numFmtId="4">
    <nc r="G10">
      <v>1</v>
    </nc>
  </rcc>
  <rcft rId="141" sheetId="8"/>
  <rcc rId="204" sId="5" numFmtId="4">
    <nc r="C15">
      <v>53</v>
    </nc>
  </rcc>
  <rcc rId="205" sId="5" numFmtId="4">
    <nc r="E15">
      <v>2</v>
    </nc>
  </rcc>
  <rcc rId="206" sId="5" numFmtId="4">
    <nc r="F15">
      <v>6</v>
    </nc>
  </rcc>
  <rcc rId="207" sId="5" numFmtId="4">
    <nc r="G15">
      <v>0</v>
    </nc>
  </rcc>
  <rcc rId="208" sId="5" numFmtId="4">
    <nc r="C16">
      <v>49</v>
    </nc>
  </rcc>
  <rcc rId="209" sId="5" numFmtId="4">
    <nc r="E16">
      <v>4</v>
    </nc>
  </rcc>
  <rcc rId="210" sId="5" numFmtId="4">
    <nc r="F16">
      <v>4</v>
    </nc>
  </rcc>
  <rcc rId="211" sId="5" numFmtId="4">
    <nc r="G16">
      <v>3</v>
    </nc>
  </rcc>
  <rcc rId="212" sId="8" numFmtId="4">
    <nc r="C11">
      <v>34</v>
    </nc>
  </rcc>
  <rcft rId="142" sheetId="8"/>
  <rcc rId="213" sId="8" numFmtId="4">
    <nc r="E11">
      <v>10</v>
    </nc>
  </rcc>
  <rcft rId="144" sheetId="8"/>
  <rcc rId="214" sId="8" numFmtId="4">
    <nc r="F11">
      <v>5</v>
    </nc>
  </rcc>
  <rcft rId="145" sheetId="8"/>
  <rcc rId="215" sId="8" numFmtId="4">
    <nc r="G11">
      <v>0</v>
    </nc>
  </rcc>
  <rcft rId="146" sheetId="8"/>
  <rcc rId="216" sId="11" numFmtId="4">
    <nc r="B10">
      <v>5</v>
    </nc>
  </rcc>
  <rcft rId="36" sheetId="11"/>
  <rcc rId="217" sId="11" numFmtId="4">
    <nc r="B11">
      <v>5</v>
    </nc>
  </rcc>
  <rcft rId="37" sheetId="11"/>
  <rcc rId="218" sId="11" numFmtId="4">
    <nc r="B12">
      <v>5</v>
    </nc>
  </rcc>
  <rcft rId="34" sheetId="11"/>
  <rcc rId="219" sId="11" numFmtId="4">
    <nc r="B13">
      <v>5</v>
    </nc>
  </rcc>
  <rcft rId="35" sheetId="11"/>
  <rcc rId="220" sId="11" numFmtId="4">
    <nc r="B14">
      <v>5</v>
    </nc>
  </rcc>
  <rcft rId="38" sheetId="11"/>
  <rcc rId="221" sId="11" numFmtId="4">
    <nc r="B15">
      <v>5</v>
    </nc>
  </rcc>
  <rcft rId="39" sheetId="11"/>
  <rcc rId="222" sId="11" numFmtId="4">
    <nc r="B16">
      <v>5</v>
    </nc>
  </rcc>
  <rcft rId="40" sheetId="11"/>
  <rcc rId="223" sId="11" odxf="1" dxf="1" numFmtId="4">
    <nc r="B17">
      <v>5</v>
    </nc>
    <odxf>
      <border outline="0">
        <top style="dashed">
          <color indexed="64"/>
        </top>
      </border>
    </odxf>
    <ndxf>
      <border outline="0">
        <top/>
      </border>
    </ndxf>
  </rcc>
  <rcft rId="41" sheetId="11"/>
  <rcc rId="224" sId="11" odxf="1" dxf="1" numFmtId="4">
    <nc r="B18">
      <v>5</v>
    </nc>
    <odxf>
      <border outline="0">
        <top style="dashed">
          <color indexed="64"/>
        </top>
      </border>
    </odxf>
    <ndxf>
      <border outline="0">
        <top/>
      </border>
    </ndxf>
  </rcc>
  <rcft rId="42" sheetId="11"/>
  <rcc rId="225" sId="11" odxf="1" dxf="1" numFmtId="4">
    <nc r="B19">
      <v>5</v>
    </nc>
    <odxf>
      <border outline="0">
        <top style="dashed">
          <color indexed="64"/>
        </top>
      </border>
    </odxf>
    <ndxf>
      <border outline="0">
        <top/>
      </border>
    </ndxf>
  </rcc>
  <rcft rId="43" sheetId="11"/>
  <rcc rId="226" sId="11" odxf="1" dxf="1" numFmtId="4">
    <nc r="B20">
      <v>5</v>
    </nc>
    <odxf>
      <border outline="0">
        <top style="dashed">
          <color indexed="64"/>
        </top>
      </border>
    </odxf>
    <ndxf>
      <border outline="0">
        <top/>
      </border>
    </ndxf>
  </rcc>
  <rcft rId="44" sheetId="11"/>
  <rcc rId="227" sId="11" odxf="1" dxf="1" numFmtId="4">
    <nc r="B21">
      <v>5</v>
    </nc>
    <odxf>
      <border outline="0">
        <top style="dashed">
          <color indexed="64"/>
        </top>
      </border>
    </odxf>
    <ndxf>
      <border outline="0">
        <top/>
      </border>
    </ndxf>
  </rcc>
  <rcft rId="45" sheetId="11"/>
  <rcc rId="228" sId="11" odxf="1" dxf="1" numFmtId="4">
    <nc r="B22">
      <v>5</v>
    </nc>
    <odxf>
      <border outline="0">
        <top style="dashed">
          <color indexed="64"/>
        </top>
      </border>
    </odxf>
    <ndxf>
      <border outline="0">
        <top/>
      </border>
    </ndxf>
  </rcc>
  <rcft rId="46" sheetId="11"/>
  <rcc rId="229" sId="11" odxf="1" dxf="1" numFmtId="4">
    <nc r="B23">
      <v>5</v>
    </nc>
    <odxf>
      <border outline="0">
        <top style="dashed">
          <color indexed="64"/>
        </top>
      </border>
    </odxf>
    <ndxf>
      <border outline="0">
        <top/>
      </border>
    </ndxf>
  </rcc>
  <rcft rId="47" sheetId="11"/>
  <rcc rId="230" sId="11" odxf="1" dxf="1" numFmtId="4">
    <nc r="B24">
      <v>5</v>
    </nc>
    <odxf>
      <border outline="0">
        <top style="dashed">
          <color indexed="64"/>
        </top>
      </border>
    </odxf>
    <ndxf>
      <border outline="0">
        <top/>
      </border>
    </ndxf>
  </rcc>
  <rcft rId="48" sheetId="11"/>
  <rcc rId="231" sId="11" odxf="1" dxf="1" numFmtId="4">
    <nc r="B25">
      <v>5</v>
    </nc>
    <odxf>
      <border outline="0">
        <top style="dashed">
          <color indexed="64"/>
        </top>
      </border>
    </odxf>
    <ndxf>
      <border outline="0">
        <top/>
      </border>
    </ndxf>
  </rcc>
  <rcft rId="49" sheetId="11"/>
  <rcc rId="232" sId="11" odxf="1" dxf="1" numFmtId="4">
    <nc r="B26">
      <v>5</v>
    </nc>
    <odxf>
      <border outline="0">
        <top style="dashed">
          <color indexed="64"/>
        </top>
      </border>
    </odxf>
    <ndxf>
      <border outline="0">
        <top/>
      </border>
    </ndxf>
  </rcc>
  <rcft rId="50" sheetId="11"/>
  <rcc rId="233" sId="11" odxf="1" dxf="1" numFmtId="4">
    <nc r="B27">
      <v>5</v>
    </nc>
    <odxf>
      <border outline="0">
        <top style="dashed">
          <color indexed="64"/>
        </top>
      </border>
    </odxf>
    <ndxf>
      <border outline="0">
        <top/>
      </border>
    </ndxf>
  </rcc>
  <rcft rId="51" sheetId="11"/>
  <rfmt sheetId="11" sqref="D10" start="0" length="0">
    <dxf>
      <border outline="0">
        <top/>
      </border>
    </dxf>
  </rfmt>
  <rfmt sheetId="11" sqref="D11" start="0" length="0">
    <dxf>
      <border outline="0">
        <top/>
      </border>
    </dxf>
  </rfmt>
  <rfmt sheetId="11" sqref="D12" start="0" length="0">
    <dxf>
      <border outline="0">
        <top/>
      </border>
    </dxf>
  </rfmt>
  <rfmt sheetId="11" sqref="D13" start="0" length="0">
    <dxf>
      <border outline="0">
        <top/>
      </border>
    </dxf>
  </rfmt>
  <rfmt sheetId="11" sqref="D14" start="0" length="0">
    <dxf>
      <border outline="0">
        <top/>
      </border>
    </dxf>
  </rfmt>
  <rfmt sheetId="11" sqref="D15" start="0" length="0">
    <dxf>
      <border outline="0">
        <top/>
      </border>
    </dxf>
  </rfmt>
  <rfmt sheetId="11" sqref="D16" start="0" length="0">
    <dxf>
      <border outline="0">
        <top/>
      </border>
    </dxf>
  </rfmt>
  <rfmt sheetId="11" sqref="D17" start="0" length="0">
    <dxf>
      <border outline="0">
        <top/>
      </border>
    </dxf>
  </rfmt>
  <rfmt sheetId="11" sqref="D18" start="0" length="0">
    <dxf>
      <border outline="0">
        <top/>
      </border>
    </dxf>
  </rfmt>
  <rfmt sheetId="11" sqref="D19" start="0" length="0">
    <dxf>
      <border outline="0">
        <top/>
      </border>
    </dxf>
  </rfmt>
  <rfmt sheetId="11" sqref="D20" start="0" length="0">
    <dxf>
      <border outline="0">
        <top/>
      </border>
    </dxf>
  </rfmt>
  <rfmt sheetId="11" sqref="D21" start="0" length="0">
    <dxf>
      <border outline="0">
        <top/>
      </border>
    </dxf>
  </rfmt>
  <rfmt sheetId="11" sqref="D22" start="0" length="0">
    <dxf>
      <border outline="0">
        <top/>
      </border>
    </dxf>
  </rfmt>
  <rfmt sheetId="11" sqref="D23" start="0" length="0">
    <dxf>
      <border outline="0">
        <top/>
      </border>
    </dxf>
  </rfmt>
  <rfmt sheetId="11" sqref="D24" start="0" length="0">
    <dxf>
      <border outline="0">
        <top/>
      </border>
    </dxf>
  </rfmt>
  <rfmt sheetId="11" sqref="D25" start="0" length="0">
    <dxf>
      <border outline="0">
        <top/>
      </border>
    </dxf>
  </rfmt>
  <rfmt sheetId="11" sqref="D26" start="0" length="0">
    <dxf>
      <border outline="0">
        <top/>
      </border>
    </dxf>
  </rfmt>
  <rfmt sheetId="11" sqref="D27" start="0" length="0">
    <dxf>
      <border outline="0">
        <top/>
      </border>
    </dxf>
  </rfmt>
  <rcc rId="234" sId="5" numFmtId="4">
    <nc r="B18">
      <v>18</v>
    </nc>
  </rcc>
  <rcft rId="63" sheetId="5"/>
  <rcc rId="235" sId="5" numFmtId="4">
    <nc r="B19">
      <v>18</v>
    </nc>
  </rcc>
  <rcft rId="64" sheetId="5"/>
  <rcc rId="236" sId="5" numFmtId="4">
    <nc r="B20">
      <v>18</v>
    </nc>
  </rcc>
  <rcft rId="65" sheetId="5"/>
  <rcc rId="237" sId="5" numFmtId="4">
    <nc r="B21">
      <v>18</v>
    </nc>
  </rcc>
  <rcft rId="66" sheetId="5"/>
  <rcc rId="238" sId="5" numFmtId="4">
    <nc r="B22">
      <v>18</v>
    </nc>
  </rcc>
  <rcft rId="67" sheetId="5"/>
  <rcc rId="239" sId="5" numFmtId="4">
    <nc r="B23">
      <v>18</v>
    </nc>
  </rcc>
  <rcft rId="68" sheetId="5"/>
  <rcc rId="240" sId="5" numFmtId="4">
    <nc r="B24">
      <v>18</v>
    </nc>
  </rcc>
  <rcft rId="69" sheetId="5"/>
  <rcc rId="241" sId="5" numFmtId="4">
    <nc r="B25">
      <v>18</v>
    </nc>
  </rcc>
  <rcft rId="70" sheetId="5"/>
  <rcc rId="242" sId="5" numFmtId="4">
    <nc r="B26">
      <v>18</v>
    </nc>
  </rcc>
  <rcft rId="71" sheetId="5"/>
  <rcc rId="243" sId="5" numFmtId="4">
    <nc r="B27">
      <v>18</v>
    </nc>
  </rcc>
  <rcft rId="72" sheetId="5"/>
  <rcc rId="244" sId="2" odxf="1" dxf="1" numFmtId="4">
    <nc r="B10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45" sId="2" odxf="1" dxf="1" numFmtId="4">
    <nc r="B11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46" sId="2" odxf="1" dxf="1" numFmtId="4">
    <nc r="B12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47" sId="2" odxf="1" dxf="1" numFmtId="4">
    <nc r="B13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48" sId="2" odxf="1" dxf="1" numFmtId="4">
    <nc r="B14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49" sId="2" odxf="1" dxf="1" numFmtId="4">
    <nc r="B15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50" sId="2" odxf="1" dxf="1" numFmtId="4">
    <nc r="B16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51" sId="2" odxf="1" dxf="1" numFmtId="4">
    <nc r="B17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52" sId="2" odxf="1" dxf="1" numFmtId="4">
    <nc r="B18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53" sId="2" odxf="1" dxf="1" numFmtId="4">
    <nc r="B19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54" sId="2" odxf="1" dxf="1" numFmtId="4">
    <nc r="B20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55" sId="2" odxf="1" dxf="1" numFmtId="4">
    <nc r="B21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56" sId="2" odxf="1" dxf="1" numFmtId="4">
    <nc r="B22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57" sId="2" odxf="1" dxf="1" numFmtId="4">
    <nc r="B23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58" sId="2" odxf="1" dxf="1" numFmtId="4">
    <nc r="B24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59" sId="2" odxf="1" dxf="1" numFmtId="4">
    <nc r="B25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60" sId="2" odxf="1" dxf="1" numFmtId="4">
    <nc r="B26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61" sId="2" odxf="1" dxf="1" numFmtId="4">
    <nc r="B27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62" sId="2" odxf="1" dxf="1" numFmtId="4">
    <nc r="B28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63" sId="2" odxf="1" dxf="1" numFmtId="4">
    <nc r="B29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64" sId="2" odxf="1" dxf="1" numFmtId="4">
    <nc r="B30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cc rId="265" sId="2" odxf="1" dxf="1" numFmtId="4">
    <nc r="B31">
      <v>19</v>
    </nc>
    <odxf>
      <border outline="0">
        <top style="dashed">
          <color indexed="64"/>
        </top>
      </border>
    </odxf>
    <ndxf>
      <border outline="0">
        <top style="medium">
          <color indexed="64"/>
        </top>
      </border>
    </ndxf>
  </rcc>
  <rfmt sheetId="2" sqref="D10" start="0" length="0">
    <dxf>
      <border outline="0">
        <top style="medium">
          <color indexed="64"/>
        </top>
      </border>
    </dxf>
  </rfmt>
  <rfmt sheetId="2" sqref="D11" start="0" length="0">
    <dxf>
      <border outline="0">
        <top style="medium">
          <color indexed="64"/>
        </top>
      </border>
    </dxf>
  </rfmt>
  <rfmt sheetId="2" sqref="D12" start="0" length="0">
    <dxf>
      <border outline="0">
        <top style="medium">
          <color indexed="64"/>
        </top>
      </border>
    </dxf>
  </rfmt>
  <rfmt sheetId="2" sqref="D13" start="0" length="0">
    <dxf>
      <border outline="0">
        <top style="medium">
          <color indexed="64"/>
        </top>
      </border>
    </dxf>
  </rfmt>
  <rfmt sheetId="2" sqref="D14" start="0" length="0">
    <dxf>
      <border outline="0">
        <top style="medium">
          <color indexed="64"/>
        </top>
      </border>
    </dxf>
  </rfmt>
  <rfmt sheetId="2" sqref="D15" start="0" length="0">
    <dxf>
      <border outline="0">
        <top style="medium">
          <color indexed="64"/>
        </top>
      </border>
    </dxf>
  </rfmt>
  <rfmt sheetId="2" sqref="D16" start="0" length="0">
    <dxf>
      <border outline="0">
        <top style="medium">
          <color indexed="64"/>
        </top>
      </border>
    </dxf>
  </rfmt>
  <rfmt sheetId="2" sqref="D17" start="0" length="0">
    <dxf>
      <border outline="0">
        <top style="medium">
          <color indexed="64"/>
        </top>
      </border>
    </dxf>
  </rfmt>
  <rfmt sheetId="2" sqref="D18" start="0" length="0">
    <dxf>
      <border outline="0">
        <top style="medium">
          <color indexed="64"/>
        </top>
      </border>
    </dxf>
  </rfmt>
  <rfmt sheetId="2" sqref="D19" start="0" length="0">
    <dxf>
      <border outline="0">
        <top style="medium">
          <color indexed="64"/>
        </top>
      </border>
    </dxf>
  </rfmt>
  <rfmt sheetId="2" sqref="D20" start="0" length="0">
    <dxf>
      <border outline="0">
        <top style="medium">
          <color indexed="64"/>
        </top>
      </border>
    </dxf>
  </rfmt>
  <rfmt sheetId="2" sqref="D21" start="0" length="0">
    <dxf>
      <border outline="0">
        <top style="medium">
          <color indexed="64"/>
        </top>
      </border>
    </dxf>
  </rfmt>
  <rfmt sheetId="2" sqref="D22" start="0" length="0">
    <dxf>
      <border outline="0">
        <top style="medium">
          <color indexed="64"/>
        </top>
      </border>
    </dxf>
  </rfmt>
  <rfmt sheetId="2" sqref="D23" start="0" length="0">
    <dxf>
      <border outline="0">
        <top style="medium">
          <color indexed="64"/>
        </top>
      </border>
    </dxf>
  </rfmt>
  <rfmt sheetId="2" sqref="D24" start="0" length="0">
    <dxf>
      <border outline="0">
        <top style="medium">
          <color indexed="64"/>
        </top>
      </border>
    </dxf>
  </rfmt>
  <rfmt sheetId="2" sqref="D25" start="0" length="0">
    <dxf>
      <border outline="0">
        <top style="medium">
          <color indexed="64"/>
        </top>
      </border>
    </dxf>
  </rfmt>
  <rfmt sheetId="2" sqref="D26" start="0" length="0">
    <dxf>
      <border outline="0">
        <top style="medium">
          <color indexed="64"/>
        </top>
      </border>
    </dxf>
  </rfmt>
  <rfmt sheetId="2" sqref="D27" start="0" length="0">
    <dxf>
      <border outline="0">
        <top style="medium">
          <color indexed="64"/>
        </top>
      </border>
    </dxf>
  </rfmt>
  <rfmt sheetId="2" sqref="D28" start="0" length="0">
    <dxf>
      <border outline="0">
        <top style="medium">
          <color indexed="64"/>
        </top>
      </border>
    </dxf>
  </rfmt>
  <rfmt sheetId="2" sqref="D29" start="0" length="0">
    <dxf>
      <border outline="0">
        <top style="medium">
          <color indexed="64"/>
        </top>
      </border>
    </dxf>
  </rfmt>
  <rfmt sheetId="2" sqref="D30" start="0" length="0">
    <dxf>
      <border outline="0">
        <top style="medium">
          <color indexed="64"/>
        </top>
      </border>
    </dxf>
  </rfmt>
  <rcc rId="266" sId="5" numFmtId="4">
    <nc r="F12">
      <v>0</v>
    </nc>
  </rcc>
  <rcc rId="267" sId="5" numFmtId="4">
    <nc r="D17">
      <v>3</v>
    </nc>
  </rcc>
  <rcc rId="268" sId="5" numFmtId="4">
    <nc r="C17">
      <v>39</v>
    </nc>
  </rcc>
  <rcc rId="269" sId="5" numFmtId="4">
    <nc r="E17">
      <v>11</v>
    </nc>
  </rcc>
  <rcc rId="270" sId="5" numFmtId="4">
    <nc r="F17">
      <v>9</v>
    </nc>
  </rcc>
  <rcc rId="271" sId="5" numFmtId="4">
    <nc r="G17">
      <v>5</v>
    </nc>
  </rcc>
  <rcc rId="272" sId="5" numFmtId="4">
    <nc r="C18">
      <v>50</v>
    </nc>
  </rcc>
  <rcc rId="273" sId="5" numFmtId="4">
    <nc r="D18">
      <v>2</v>
    </nc>
  </rcc>
  <rcc rId="274" sId="5" numFmtId="4">
    <nc r="E18">
      <v>3</v>
    </nc>
  </rcc>
  <rcc rId="275" sId="5" numFmtId="4">
    <nc r="F18">
      <v>14</v>
    </nc>
  </rcc>
  <rcc rId="276" sId="5" numFmtId="4">
    <nc r="G18">
      <v>0</v>
    </nc>
  </rcc>
  <rfmt sheetId="8" sqref="D18" start="0" length="0">
    <dxf>
      <border outline="0">
        <top/>
      </border>
    </dxf>
  </rfmt>
  <rcc rId="277" sId="8" numFmtId="4">
    <nc r="C9">
      <v>30</v>
    </nc>
  </rcc>
  <rcft rId="2" sheetId="8"/>
  <rcc rId="278" sId="8" numFmtId="4">
    <nc r="D12">
      <v>1</v>
    </nc>
  </rcc>
  <rcft rId="148" sheetId="8"/>
  <rcc rId="279" sId="8" numFmtId="4">
    <nc r="E12">
      <v>1</v>
    </nc>
  </rcc>
  <rcft rId="149" sheetId="8"/>
  <rcc rId="280" sId="8" numFmtId="4">
    <nc r="F12">
      <v>11</v>
    </nc>
  </rcc>
  <rcft rId="150" sheetId="8"/>
  <rcc rId="281" sId="8" numFmtId="4">
    <nc r="G12">
      <v>0</v>
    </nc>
  </rcc>
  <rcft rId="151" sheetId="8"/>
  <rcc rId="282" sId="8" numFmtId="4">
    <nc r="C13">
      <v>27</v>
    </nc>
  </rcc>
  <rcft rId="152" sheetId="8"/>
  <rcc rId="283" sId="8" numFmtId="4">
    <nc r="D13">
      <v>1</v>
    </nc>
  </rcc>
  <rcft rId="153" sheetId="8"/>
  <rcc rId="284" sId="8" numFmtId="4">
    <nc r="E13">
      <v>5</v>
    </nc>
  </rcc>
  <rcft rId="154" sheetId="8"/>
  <rcc rId="285" sId="8" numFmtId="4">
    <nc r="F13">
      <v>3</v>
    </nc>
  </rcc>
  <rcft rId="155" sheetId="8"/>
  <rcc rId="286" sId="8" numFmtId="4">
    <nc r="G13">
      <v>0</v>
    </nc>
  </rcc>
  <rcft rId="156" sheetId="8"/>
  <rcc rId="287" sId="5" numFmtId="4">
    <nc r="C19">
      <v>43</v>
    </nc>
  </rcc>
  <rcc rId="288" sId="5" numFmtId="4">
    <nc r="D19">
      <v>2</v>
    </nc>
  </rcc>
  <rcc rId="289" sId="5" numFmtId="4">
    <nc r="E19">
      <v>3</v>
    </nc>
  </rcc>
  <rcc rId="290" sId="5" numFmtId="4">
    <nc r="F19">
      <v>9</v>
    </nc>
  </rcc>
  <rcc rId="291" sId="5" numFmtId="4">
    <nc r="G19">
      <v>2</v>
    </nc>
  </rcc>
  <rcc rId="292" sId="8" numFmtId="4">
    <nc r="C14">
      <v>18</v>
    </nc>
  </rcc>
  <rcc rId="293" sId="8" numFmtId="4">
    <nc r="D14">
      <v>2</v>
    </nc>
  </rcc>
  <rcc rId="294" sId="8" numFmtId="4">
    <nc r="E14">
      <v>2</v>
    </nc>
  </rcc>
  <rcc rId="295" sId="8" numFmtId="4">
    <nc r="F14">
      <v>19</v>
    </nc>
  </rcc>
  <rcc rId="296" sId="8" numFmtId="4">
    <nc r="G14">
      <v>0</v>
    </nc>
  </rcc>
  <rcc rId="297" sId="5" numFmtId="4">
    <nc r="C20">
      <v>55</v>
    </nc>
  </rcc>
  <rcc rId="298" sId="5" numFmtId="4">
    <nc r="D20">
      <v>2</v>
    </nc>
  </rcc>
  <rcc rId="299" sId="5" numFmtId="4">
    <nc r="E20">
      <v>10</v>
    </nc>
  </rcc>
  <rcc rId="300" sId="5" numFmtId="4">
    <nc r="F20">
      <v>5</v>
    </nc>
  </rcc>
  <rcc rId="301" sId="5" numFmtId="4">
    <nc r="G20">
      <v>1</v>
    </nc>
  </rcc>
  <rcc rId="302" sId="5" numFmtId="4">
    <nc r="C21">
      <v>49</v>
    </nc>
  </rcc>
  <rcc rId="303" sId="5" numFmtId="4">
    <nc r="D21">
      <v>2</v>
    </nc>
  </rcc>
  <rcc rId="304" sId="5" numFmtId="4">
    <nc r="E21">
      <v>7</v>
    </nc>
  </rcc>
  <rcc rId="305" sId="5" numFmtId="4">
    <nc r="F21">
      <v>1</v>
    </nc>
  </rcc>
  <rcc rId="306" sId="5" numFmtId="4">
    <nc r="G21">
      <v>1</v>
    </nc>
  </rcc>
  <rcc rId="307" sId="5" numFmtId="4">
    <nc r="C22">
      <v>51</v>
    </nc>
  </rcc>
  <rcc rId="308" sId="5" numFmtId="4">
    <nc r="D22">
      <v>2</v>
    </nc>
  </rcc>
  <rcc rId="309" sId="5" numFmtId="4">
    <nc r="E22">
      <v>5</v>
    </nc>
  </rcc>
  <rcc rId="310" sId="5" numFmtId="4">
    <nc r="F22">
      <v>10</v>
    </nc>
  </rcc>
  <rcc rId="311" sId="5" numFmtId="4">
    <nc r="G22">
      <v>5</v>
    </nc>
  </rcc>
  <rcc rId="312" sId="8" numFmtId="4">
    <nc r="C15">
      <v>23</v>
    </nc>
  </rcc>
  <rcc rId="313" sId="8" numFmtId="4">
    <nc r="D15">
      <v>3</v>
    </nc>
  </rcc>
  <rcc rId="314" sId="8" numFmtId="4">
    <nc r="E15">
      <v>9</v>
    </nc>
  </rcc>
  <rcc rId="315" sId="8" numFmtId="4">
    <nc r="F15">
      <v>10</v>
    </nc>
  </rcc>
  <rcc rId="316" sId="8" numFmtId="4">
    <nc r="G15">
      <v>6</v>
    </nc>
  </rcc>
  <rcc rId="317" sId="5" numFmtId="4">
    <nc r="C23">
      <v>62</v>
    </nc>
  </rcc>
  <rcc rId="318" sId="5" numFmtId="4">
    <nc r="D23">
      <v>2</v>
    </nc>
  </rcc>
  <rcc rId="319" sId="5" numFmtId="4">
    <nc r="E23">
      <v>13</v>
    </nc>
  </rcc>
  <rcc rId="320" sId="5" numFmtId="4">
    <nc r="F23">
      <v>14</v>
    </nc>
  </rcc>
  <rcc rId="321" sId="5" numFmtId="4">
    <nc r="G23">
      <v>0</v>
    </nc>
  </rcc>
  <rcc rId="322" sId="8" numFmtId="4">
    <nc r="C16">
      <v>25</v>
    </nc>
  </rcc>
  <rcc rId="323" sId="8" numFmtId="4">
    <nc r="D16">
      <v>1</v>
    </nc>
  </rcc>
  <rcc rId="324" sId="8" numFmtId="4">
    <nc r="E16">
      <v>10</v>
    </nc>
  </rcc>
  <rcc rId="325" sId="8" numFmtId="4">
    <nc r="F16">
      <v>8</v>
    </nc>
  </rcc>
  <rcc rId="326" sId="8" numFmtId="4">
    <nc r="G16">
      <v>0</v>
    </nc>
  </rcc>
  <rcc rId="327" sId="8" numFmtId="4">
    <nc r="C17">
      <v>34</v>
    </nc>
  </rcc>
  <rcc rId="328" sId="8" numFmtId="4">
    <nc r="D17">
      <v>3</v>
    </nc>
  </rcc>
  <rcc rId="329" sId="8" numFmtId="4">
    <nc r="E17">
      <v>6</v>
    </nc>
  </rcc>
  <rcc rId="330" sId="8" numFmtId="4">
    <nc r="F17">
      <v>10</v>
    </nc>
  </rcc>
  <rcc rId="331" sId="8" numFmtId="4">
    <nc r="G17">
      <v>0</v>
    </nc>
  </rcc>
  <rcc rId="332" sId="5" numFmtId="4">
    <nc r="C24">
      <v>60</v>
    </nc>
  </rcc>
  <rcc rId="333" sId="5" numFmtId="4">
    <nc r="D24">
      <v>3</v>
    </nc>
  </rcc>
  <rcc rId="334" sId="5" numFmtId="4">
    <nc r="E24">
      <v>16</v>
    </nc>
  </rcc>
  <rcc rId="335" sId="5" numFmtId="4">
    <nc r="F24">
      <v>14</v>
    </nc>
  </rcc>
  <rcc rId="336" sId="5" numFmtId="4">
    <nc r="G24">
      <v>0</v>
    </nc>
  </rcc>
  <rcc rId="337" sId="5" numFmtId="4">
    <nc r="C25">
      <v>44</v>
    </nc>
  </rcc>
  <rcc rId="338" sId="5" numFmtId="4">
    <nc r="D25">
      <v>2</v>
    </nc>
  </rcc>
  <rcc rId="339" sId="5" numFmtId="4">
    <nc r="E25">
      <v>9</v>
    </nc>
  </rcc>
  <rcc rId="340" sId="5" numFmtId="4">
    <nc r="F25">
      <v>6</v>
    </nc>
  </rcc>
  <rcc rId="341" sId="5" numFmtId="4">
    <nc r="G25">
      <v>3</v>
    </nc>
  </rcc>
  <rcc rId="342" sId="8" numFmtId="4">
    <nc r="B18">
      <v>12</v>
    </nc>
  </rcc>
  <rcft rId="8" sheetId="8"/>
  <rcc rId="343" sId="8" numFmtId="4">
    <nc r="C18">
      <v>28</v>
    </nc>
  </rcc>
  <rcc rId="344" sId="8" numFmtId="4">
    <nc r="D18">
      <v>2</v>
    </nc>
  </rcc>
  <rcc rId="345" sId="8" numFmtId="4">
    <nc r="E18">
      <v>0</v>
    </nc>
  </rcc>
  <rcc rId="346" sId="8" numFmtId="4">
    <nc r="F18">
      <v>25</v>
    </nc>
  </rcc>
  <rcc rId="347" sId="8" numFmtId="4">
    <nc r="G18">
      <v>0</v>
    </nc>
  </rcc>
  <rcc rId="348" sId="5" numFmtId="4">
    <nc r="C26">
      <v>49</v>
    </nc>
  </rcc>
  <rcc rId="349" sId="5" numFmtId="4">
    <nc r="D26">
      <v>3</v>
    </nc>
  </rcc>
  <rcc rId="350" sId="5" numFmtId="4">
    <nc r="E26">
      <v>6</v>
    </nc>
  </rcc>
  <rcc rId="351" sId="5" numFmtId="4">
    <nc r="F26">
      <v>4</v>
    </nc>
  </rcc>
  <rcc rId="352" sId="5" numFmtId="4">
    <nc r="G26">
      <v>2</v>
    </nc>
  </rcc>
  <rcc rId="353" sId="5" numFmtId="4">
    <nc r="C27">
      <v>48</v>
    </nc>
  </rcc>
  <rcc rId="354" sId="5" numFmtId="4">
    <nc r="D27">
      <v>3</v>
    </nc>
  </rcc>
  <rcc rId="355" sId="5" numFmtId="4">
    <nc r="E27">
      <v>1</v>
    </nc>
  </rcc>
  <rcc rId="356" sId="5" numFmtId="4">
    <nc r="F27">
      <v>8</v>
    </nc>
  </rcc>
  <rcc rId="357" sId="5" numFmtId="4">
    <nc r="G27">
      <v>0</v>
    </nc>
  </rcc>
  <rcc rId="358" sId="5" numFmtId="4">
    <nc r="B28">
      <v>18</v>
    </nc>
  </rcc>
  <rcft rId="73" sheetId="5"/>
  <rcc rId="359" sId="5" numFmtId="4">
    <nc r="C28">
      <v>45</v>
    </nc>
  </rcc>
  <rcc rId="360" sId="5" numFmtId="4">
    <nc r="D28">
      <v>1</v>
    </nc>
  </rcc>
  <rcc rId="361" sId="5" numFmtId="4">
    <nc r="E28">
      <v>3</v>
    </nc>
  </rcc>
  <rcc rId="362" sId="5" numFmtId="4">
    <nc r="F28">
      <v>4</v>
    </nc>
  </rcc>
  <rcc rId="363" sId="5" numFmtId="4">
    <nc r="G28">
      <v>1</v>
    </nc>
  </rcc>
  <rcc rId="364" sId="8" numFmtId="4">
    <nc r="B19">
      <v>12</v>
    </nc>
  </rcc>
  <rcft rId="9" sheetId="8"/>
  <rcc rId="365" sId="8" numFmtId="4">
    <nc r="C19">
      <v>26</v>
    </nc>
  </rcc>
  <rcc rId="366" sId="8" numFmtId="4">
    <nc r="D19">
      <v>4</v>
    </nc>
  </rcc>
  <rcc rId="367" sId="8" numFmtId="4">
    <nc r="E19">
      <v>7</v>
    </nc>
  </rcc>
  <rcc rId="368" sId="8" numFmtId="4">
    <nc r="F19">
      <v>18</v>
    </nc>
  </rcc>
  <rcc rId="369" sId="8" numFmtId="4">
    <nc r="G19">
      <v>0</v>
    </nc>
  </rcc>
  <rcc rId="370" sId="8" numFmtId="4">
    <nc r="B20">
      <v>12</v>
    </nc>
  </rcc>
  <rcft rId="10" sheetId="8"/>
  <rcc rId="371" sId="8" numFmtId="4">
    <nc r="C20">
      <v>30</v>
    </nc>
  </rcc>
  <rcc rId="372" sId="8" numFmtId="4">
    <nc r="D20">
      <v>2</v>
    </nc>
  </rcc>
  <rcc rId="373" sId="8" numFmtId="4">
    <nc r="E20">
      <v>4</v>
    </nc>
  </rcc>
  <rcc rId="374" sId="8" numFmtId="4">
    <nc r="F20">
      <v>8</v>
    </nc>
  </rcc>
  <rcc rId="375" sId="8" numFmtId="4">
    <nc r="G20">
      <v>0</v>
    </nc>
  </rcc>
  <rcc rId="376" sId="5" numFmtId="4">
    <nc r="B29">
      <v>18</v>
    </nc>
  </rcc>
  <rcft rId="74" sheetId="5"/>
  <rcc rId="377" sId="5" numFmtId="4">
    <nc r="C29">
      <v>53</v>
    </nc>
  </rcc>
  <rcc rId="378" sId="5" numFmtId="4">
    <nc r="D29">
      <v>2</v>
    </nc>
  </rcc>
  <rcc rId="379" sId="5" numFmtId="4">
    <nc r="E29">
      <v>10</v>
    </nc>
  </rcc>
  <rcc rId="380" sId="5" numFmtId="4">
    <nc r="F29">
      <v>18</v>
    </nc>
  </rcc>
  <rcc rId="381" sId="5" numFmtId="4">
    <nc r="G29">
      <v>1</v>
    </nc>
  </rcc>
  <rcc rId="382" sId="5" numFmtId="4">
    <nc r="B30">
      <v>18</v>
    </nc>
  </rcc>
  <rcft rId="75" sheetId="5"/>
  <rcc rId="383" sId="5" numFmtId="4">
    <nc r="C30">
      <v>60</v>
    </nc>
  </rcc>
  <rcc rId="384" sId="5" numFmtId="4">
    <nc r="D30">
      <v>2</v>
    </nc>
  </rcc>
  <rcc rId="385" sId="5" numFmtId="4">
    <nc r="E30">
      <v>4</v>
    </nc>
  </rcc>
  <rcc rId="386" sId="5" numFmtId="4">
    <nc r="F30">
      <v>20</v>
    </nc>
  </rcc>
  <rcc rId="387" sId="5" numFmtId="4">
    <nc r="G30">
      <v>1</v>
    </nc>
  </rcc>
  <rcc rId="388" sId="5" numFmtId="4">
    <nc r="B31">
      <v>18</v>
    </nc>
  </rcc>
  <rcft rId="76" sheetId="5"/>
  <rcc rId="389" sId="5" numFmtId="4">
    <nc r="C31">
      <v>53</v>
    </nc>
  </rcc>
  <rcc rId="390" sId="5" numFmtId="4">
    <nc r="D31">
      <v>1</v>
    </nc>
  </rcc>
  <rcc rId="391" sId="5" numFmtId="4">
    <nc r="E31">
      <v>9</v>
    </nc>
  </rcc>
  <rcc rId="392" sId="5" numFmtId="4">
    <nc r="F31">
      <v>16</v>
    </nc>
  </rcc>
  <rcc rId="393" sId="5" numFmtId="4">
    <nc r="G31">
      <v>0</v>
    </nc>
  </rcc>
  <rcc rId="394" sId="5" numFmtId="4">
    <nc r="B32">
      <v>18</v>
    </nc>
  </rcc>
  <rcft rId="77" sheetId="5"/>
  <rcc rId="395" sId="5" numFmtId="4">
    <nc r="C32">
      <v>60</v>
    </nc>
  </rcc>
  <rcc rId="396" sId="5" numFmtId="4">
    <nc r="D32">
      <v>3</v>
    </nc>
  </rcc>
  <rcc rId="397" sId="5" numFmtId="4">
    <nc r="E32">
      <v>10</v>
    </nc>
  </rcc>
  <rcc rId="398" sId="5" numFmtId="4">
    <nc r="F32">
      <v>15</v>
    </nc>
  </rcc>
  <rcc rId="399" sId="5" numFmtId="4">
    <nc r="G32">
      <v>0</v>
    </nc>
  </rcc>
  <rcc rId="400" sId="5" numFmtId="4">
    <nc r="B33">
      <v>18</v>
    </nc>
  </rcc>
  <rcft rId="78" sheetId="5"/>
  <rcc rId="401" sId="5" numFmtId="4">
    <nc r="C33">
      <v>60</v>
    </nc>
  </rcc>
  <rcc rId="402" sId="5" numFmtId="4">
    <nc r="D33">
      <v>1</v>
    </nc>
  </rcc>
  <rcc rId="403" sId="5" numFmtId="4">
    <nc r="E33">
      <v>6</v>
    </nc>
  </rcc>
  <rcc rId="404" sId="5" numFmtId="4">
    <nc r="F33">
      <v>19</v>
    </nc>
  </rcc>
  <rcc rId="405" sId="5" numFmtId="4">
    <nc r="G33">
      <v>0</v>
    </nc>
  </rcc>
  <rcc rId="406" sId="5" numFmtId="4">
    <nc r="B34">
      <v>18</v>
    </nc>
  </rcc>
  <rcft rId="79" sheetId="5"/>
  <rcc rId="407" sId="5" numFmtId="4">
    <nc r="C34">
      <v>39</v>
    </nc>
  </rcc>
  <rcc rId="408" sId="5" numFmtId="4">
    <nc r="D34">
      <v>4</v>
    </nc>
  </rcc>
  <rcc rId="409" sId="5" numFmtId="4">
    <nc r="E34">
      <v>14</v>
    </nc>
  </rcc>
  <rcc rId="410" sId="5" numFmtId="4">
    <nc r="F34">
      <v>8</v>
    </nc>
  </rcc>
  <rcc rId="411" sId="5" numFmtId="4">
    <nc r="G34">
      <v>1</v>
    </nc>
  </rcc>
  <rcc rId="412" sId="5" numFmtId="4">
    <nc r="B35">
      <v>18</v>
    </nc>
  </rcc>
  <rcft rId="80" sheetId="5"/>
  <rcc rId="413" sId="5" numFmtId="4">
    <nc r="C35">
      <v>48</v>
    </nc>
  </rcc>
  <rcc rId="414" sId="5" numFmtId="4">
    <nc r="D35">
      <v>4</v>
    </nc>
  </rcc>
  <rcc rId="415" sId="5" numFmtId="4">
    <nc r="E35">
      <v>8</v>
    </nc>
  </rcc>
  <rcc rId="416" sId="5" numFmtId="4">
    <nc r="F35">
      <v>7</v>
    </nc>
  </rcc>
  <rcc rId="417" sId="5" numFmtId="4">
    <nc r="G35">
      <v>1</v>
    </nc>
  </rcc>
  <rcc rId="418" sId="8" numFmtId="4">
    <nc r="B21">
      <v>12</v>
    </nc>
  </rcc>
  <rcft rId="11" sheetId="8"/>
  <rcc rId="419" sId="8" numFmtId="4">
    <nc r="C21">
      <v>34</v>
    </nc>
  </rcc>
  <rcc rId="420" sId="8" numFmtId="4">
    <nc r="D21">
      <v>4</v>
    </nc>
  </rcc>
  <rcc rId="421" sId="8" numFmtId="4">
    <nc r="E21">
      <v>3</v>
    </nc>
  </rcc>
  <rcc rId="422" sId="8" numFmtId="4">
    <nc r="F21">
      <v>3</v>
    </nc>
  </rcc>
  <rcc rId="423" sId="8" numFmtId="4">
    <nc r="G21">
      <v>0</v>
    </nc>
  </rcc>
  <rcc rId="424" sId="8" numFmtId="4">
    <nc r="B22">
      <v>12</v>
    </nc>
  </rcc>
  <rcft rId="12" sheetId="8"/>
  <rcc rId="425" sId="8" numFmtId="4">
    <nc r="C22">
      <v>25</v>
    </nc>
  </rcc>
  <rcc rId="426" sId="8" numFmtId="4">
    <nc r="D22">
      <v>2</v>
    </nc>
  </rcc>
  <rcc rId="427" sId="8" numFmtId="4">
    <nc r="E22">
      <v>8</v>
    </nc>
  </rcc>
  <rcc rId="428" sId="8" numFmtId="4">
    <nc r="F22">
      <v>11</v>
    </nc>
  </rcc>
  <rcc rId="429" sId="8" numFmtId="4">
    <nc r="G22">
      <v>4</v>
    </nc>
  </rcc>
  <rcc rId="430" sId="8" numFmtId="4">
    <nc r="B23">
      <v>12</v>
    </nc>
  </rcc>
  <rcft rId="13" sheetId="8"/>
  <rcc rId="431" sId="8" numFmtId="4">
    <nc r="C23">
      <v>21</v>
    </nc>
  </rcc>
  <rcc rId="432" sId="8" numFmtId="4">
    <nc r="D23">
      <v>1</v>
    </nc>
  </rcc>
  <rcc rId="433" sId="8" numFmtId="4">
    <nc r="E23">
      <v>5</v>
    </nc>
  </rcc>
  <rcc rId="434" sId="8" numFmtId="4">
    <nc r="F23">
      <v>20</v>
    </nc>
  </rcc>
  <rcc rId="435" sId="8" numFmtId="4">
    <nc r="G23">
      <v>0</v>
    </nc>
  </rcc>
  <rcc rId="436" sId="8" numFmtId="4">
    <nc r="B24">
      <v>12</v>
    </nc>
  </rcc>
  <rcft rId="14" sheetId="8"/>
  <rcc rId="437" sId="8" numFmtId="4">
    <nc r="C24">
      <v>21</v>
    </nc>
  </rcc>
  <rcc rId="438" sId="8" numFmtId="4">
    <nc r="D24">
      <v>2</v>
    </nc>
  </rcc>
  <rcc rId="439" sId="8" numFmtId="4">
    <nc r="E24">
      <v>10</v>
    </nc>
  </rcc>
  <rcc rId="440" sId="8" numFmtId="4">
    <nc r="F24">
      <v>15</v>
    </nc>
  </rcc>
  <rcc rId="441" sId="8" numFmtId="4">
    <nc r="G24">
      <v>0</v>
    </nc>
  </rcc>
  <rcc rId="442" sId="8" numFmtId="4">
    <nc r="B25">
      <v>12</v>
    </nc>
  </rcc>
  <rcft rId="15" sheetId="8"/>
  <rcc rId="443" sId="8" numFmtId="4">
    <nc r="C25">
      <v>21</v>
    </nc>
  </rcc>
  <rcc rId="444" sId="8" numFmtId="4">
    <nc r="D25">
      <v>3</v>
    </nc>
  </rcc>
  <rcc rId="445" sId="8" numFmtId="4">
    <nc r="E25">
      <v>8</v>
    </nc>
  </rcc>
  <rcc rId="446" sId="8" numFmtId="4">
    <nc r="F25">
      <v>17</v>
    </nc>
  </rcc>
  <rcc rId="447" sId="8" numFmtId="4">
    <nc r="G25">
      <v>0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448" sId="8" numFmtId="4">
    <nc r="C26">
      <v>18</v>
    </nc>
  </rcc>
  <rcc rId="449" sId="8" numFmtId="4">
    <nc r="D26">
      <v>3</v>
    </nc>
  </rcc>
  <rcc rId="450" sId="8" numFmtId="4">
    <nc r="E26">
      <v>10</v>
    </nc>
  </rcc>
  <rcc rId="451" sId="8" numFmtId="4">
    <nc r="F26">
      <v>7</v>
    </nc>
  </rcc>
  <rcc rId="452" sId="8" numFmtId="4">
    <nc r="G26">
      <v>0</v>
    </nc>
  </rcc>
  <rcc rId="453" sId="8" numFmtId="4">
    <nc r="C27">
      <v>25</v>
    </nc>
  </rcc>
  <rcc rId="454" sId="8" numFmtId="4">
    <nc r="D27">
      <v>4</v>
    </nc>
  </rcc>
  <rcc rId="455" sId="8" numFmtId="4">
    <nc r="E27">
      <v>5</v>
    </nc>
  </rcc>
  <rcc rId="456" sId="8" numFmtId="4">
    <nc r="F27">
      <v>14</v>
    </nc>
  </rcc>
  <rcc rId="457" sId="8" numFmtId="4">
    <nc r="G27">
      <v>6</v>
    </nc>
  </rcc>
  <rcc rId="458" sId="8" numFmtId="4">
    <nc r="C28">
      <v>24</v>
    </nc>
  </rcc>
  <rcc rId="459" sId="8" numFmtId="4">
    <nc r="D28">
      <v>3</v>
    </nc>
  </rcc>
  <rcc rId="460" sId="8" numFmtId="4">
    <nc r="E28">
      <v>6</v>
    </nc>
  </rcc>
  <rcc rId="461" sId="8" numFmtId="4">
    <nc r="F28">
      <v>19</v>
    </nc>
  </rcc>
  <rcc rId="462" sId="8" numFmtId="4">
    <nc r="G28">
      <v>1</v>
    </nc>
  </rcc>
  <rcc rId="463" sId="8" numFmtId="4">
    <nc r="C29">
      <v>19</v>
    </nc>
  </rcc>
  <rcc rId="464" sId="8" numFmtId="4">
    <nc r="D29">
      <v>4</v>
    </nc>
  </rcc>
  <rcc rId="465" sId="8" numFmtId="4">
    <nc r="E29">
      <v>2</v>
    </nc>
  </rcc>
  <rcc rId="466" sId="8" numFmtId="4">
    <nc r="F29">
      <v>5</v>
    </nc>
  </rcc>
  <rcc rId="467" sId="8" numFmtId="4">
    <nc r="G29">
      <v>0</v>
    </nc>
  </rcc>
  <rcc rId="468" sId="8" numFmtId="4">
    <nc r="C30">
      <v>35</v>
    </nc>
  </rcc>
  <rcc rId="469" sId="8" numFmtId="4">
    <nc r="D30">
      <v>1</v>
    </nc>
  </rcc>
  <rcc rId="470" sId="8" numFmtId="4">
    <nc r="E30">
      <v>9</v>
    </nc>
  </rcc>
  <rcc rId="471" sId="8" numFmtId="4">
    <nc r="F30">
      <v>16</v>
    </nc>
  </rcc>
  <rcc rId="472" sId="8" numFmtId="4">
    <nc r="G30">
      <v>5</v>
    </nc>
  </rcc>
  <rcc rId="473" sId="8" numFmtId="4">
    <nc r="C31">
      <v>23</v>
    </nc>
  </rcc>
  <rcc rId="474" sId="8" numFmtId="4">
    <nc r="D31">
      <v>4</v>
    </nc>
  </rcc>
  <rcc rId="475" sId="8" numFmtId="4">
    <nc r="E31">
      <v>18</v>
    </nc>
  </rcc>
  <rcc rId="476" sId="8" numFmtId="4">
    <nc r="F31">
      <v>6</v>
    </nc>
  </rcc>
  <rcc rId="477" sId="8" numFmtId="4">
    <nc r="G31">
      <v>1</v>
    </nc>
  </rcc>
  <rcc rId="478" sId="5" numFmtId="4">
    <nc r="C36">
      <v>43</v>
    </nc>
  </rcc>
  <rcc rId="479" sId="5" numFmtId="4">
    <nc r="D36">
      <v>4</v>
    </nc>
  </rcc>
  <rcc rId="480" sId="5" numFmtId="4">
    <nc r="E36">
      <v>2</v>
    </nc>
  </rcc>
  <rcc rId="481" sId="5" numFmtId="4">
    <nc r="F36">
      <v>3</v>
    </nc>
  </rcc>
  <rcc rId="482" sId="5" numFmtId="4">
    <nc r="G36">
      <v>1</v>
    </nc>
  </rcc>
  <rcc rId="483" sId="5" numFmtId="4">
    <nc r="C37">
      <v>43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484" sId="5" numFmtId="4">
    <nc r="D37">
      <v>3</v>
    </nc>
  </rcc>
  <rcc rId="485" sId="5" numFmtId="4">
    <nc r="E37">
      <v>5</v>
    </nc>
  </rcc>
  <rcc rId="486" sId="5" numFmtId="4">
    <nc r="F37">
      <v>7</v>
    </nc>
  </rcc>
  <rcc rId="487" sId="5" numFmtId="4">
    <nc r="G37">
      <v>3</v>
    </nc>
  </rcc>
  <rcc rId="488" sId="5" numFmtId="4">
    <nc r="C38">
      <v>55</v>
    </nc>
  </rcc>
  <rcc rId="489" sId="5" numFmtId="4">
    <nc r="D38">
      <v>3</v>
    </nc>
  </rcc>
  <rcc rId="490" sId="5" numFmtId="4">
    <nc r="E38">
      <v>24</v>
    </nc>
  </rcc>
  <rcc rId="491" sId="5" numFmtId="4">
    <nc r="F38">
      <v>20</v>
    </nc>
  </rcc>
  <rcc rId="492" sId="5" numFmtId="4">
    <nc r="G38">
      <v>1</v>
    </nc>
  </rcc>
  <rcc rId="493" sId="5" numFmtId="4">
    <nc r="C39">
      <v>51</v>
    </nc>
  </rcc>
  <rcc rId="494" sId="5" numFmtId="4">
    <nc r="D39">
      <v>4</v>
    </nc>
  </rcc>
  <rcc rId="495" sId="5" numFmtId="4">
    <nc r="E39">
      <v>10</v>
    </nc>
  </rcc>
  <rcc rId="496" sId="5" numFmtId="4">
    <nc r="F39">
      <v>13</v>
    </nc>
  </rcc>
  <rcc rId="497" sId="5" numFmtId="4">
    <nc r="G39">
      <v>2</v>
    </nc>
  </rcc>
  <rcc rId="498" sId="5" numFmtId="4">
    <nc r="C40">
      <v>51</v>
    </nc>
  </rcc>
  <rcc rId="499" sId="5" numFmtId="4">
    <nc r="D40">
      <v>3</v>
    </nc>
  </rcc>
  <rcc rId="500" sId="5" numFmtId="4">
    <nc r="E40">
      <v>4</v>
    </nc>
  </rcc>
  <rcc rId="501" sId="5" numFmtId="4">
    <nc r="F40">
      <v>20</v>
    </nc>
  </rcc>
  <rcc rId="502" sId="5" numFmtId="4">
    <nc r="G40">
      <v>1</v>
    </nc>
  </rcc>
  <rcc rId="503" sId="5" numFmtId="4">
    <nc r="C41">
      <v>45</v>
    </nc>
  </rcc>
  <rcc rId="504" sId="5" numFmtId="4">
    <nc r="D41">
      <v>2</v>
    </nc>
  </rcc>
  <rcc rId="505" sId="5" numFmtId="4">
    <nc r="E41">
      <v>4</v>
    </nc>
  </rcc>
  <rcc rId="506" sId="5" numFmtId="4">
    <nc r="F41">
      <v>2</v>
    </nc>
  </rcc>
  <rcc rId="507" sId="5" numFmtId="4">
    <nc r="G41">
      <v>2</v>
    </nc>
  </rcc>
  <rcc rId="508" sId="5" numFmtId="4">
    <nc r="C42">
      <v>38</v>
    </nc>
  </rcc>
  <rcc rId="509" sId="5" numFmtId="4">
    <nc r="D42">
      <v>4</v>
    </nc>
  </rcc>
  <rcc rId="510" sId="5" numFmtId="4">
    <nc r="E42">
      <v>4</v>
    </nc>
  </rcc>
  <rcc rId="511" sId="5" numFmtId="4">
    <nc r="F42">
      <v>9</v>
    </nc>
  </rcc>
  <rcc rId="512" sId="5" numFmtId="4">
    <nc r="G42">
      <v>7</v>
    </nc>
  </rcc>
  <rcc rId="513" sId="5" numFmtId="4">
    <nc r="C43">
      <v>38</v>
    </nc>
  </rcc>
  <rcc rId="514" sId="5" numFmtId="4">
    <nc r="D43">
      <v>3</v>
    </nc>
  </rcc>
  <rcc rId="515" sId="5" numFmtId="4">
    <nc r="E43">
      <v>9</v>
    </nc>
  </rcc>
  <rcc rId="516" sId="5" numFmtId="4">
    <nc r="F43">
      <v>6</v>
    </nc>
  </rcc>
  <rcc rId="517" sId="5" numFmtId="4">
    <nc r="G43">
      <v>4</v>
    </nc>
  </rcc>
  <rcc rId="518" sId="5" numFmtId="4">
    <nc r="B44">
      <v>18</v>
    </nc>
  </rcc>
  <rcc rId="519" sId="5" numFmtId="4">
    <nc r="C44">
      <v>49</v>
    </nc>
  </rcc>
  <rcc rId="520" sId="5" numFmtId="4">
    <nc r="D44">
      <v>4</v>
    </nc>
  </rcc>
  <rcc rId="521" sId="5" numFmtId="4">
    <nc r="E44">
      <v>12</v>
    </nc>
  </rcc>
  <rcc rId="522" sId="5" numFmtId="4">
    <nc r="F44">
      <v>4</v>
    </nc>
  </rcc>
  <rcc rId="523" sId="5" numFmtId="4">
    <nc r="G44">
      <v>3</v>
    </nc>
  </rcc>
  <rcc rId="524" sId="8" numFmtId="4">
    <nc r="C32">
      <v>27</v>
    </nc>
  </rcc>
  <rcc rId="525" sId="8" numFmtId="4">
    <nc r="D32">
      <v>2</v>
    </nc>
  </rcc>
  <rcc rId="526" sId="8" numFmtId="4">
    <nc r="E32">
      <v>8</v>
    </nc>
  </rcc>
  <rcc rId="527" sId="8" numFmtId="4">
    <nc r="F32">
      <v>6</v>
    </nc>
  </rcc>
  <rcc rId="528" sId="8" numFmtId="4">
    <nc r="G32">
      <v>0</v>
    </nc>
  </rcc>
  <rcc rId="529" sId="8" numFmtId="4">
    <nc r="C33">
      <v>35</v>
    </nc>
  </rcc>
  <rcc rId="530" sId="8" numFmtId="4">
    <nc r="D33">
      <v>3</v>
    </nc>
  </rcc>
  <rcc rId="531" sId="8" numFmtId="4">
    <nc r="E33">
      <v>13</v>
    </nc>
  </rcc>
  <rcc rId="532" sId="8" numFmtId="4">
    <nc r="F33">
      <v>12</v>
    </nc>
  </rcc>
  <rcc rId="533" sId="8" numFmtId="4">
    <nc r="G33">
      <v>0</v>
    </nc>
  </rcc>
  <rcc rId="534" sId="8" numFmtId="4">
    <nc r="C34">
      <v>29</v>
    </nc>
  </rcc>
  <rcc rId="535" sId="8" numFmtId="4">
    <nc r="D34">
      <v>3</v>
    </nc>
  </rcc>
  <rcc rId="536" sId="8" numFmtId="4">
    <nc r="E34">
      <v>10</v>
    </nc>
  </rcc>
  <rcc rId="537" sId="8" numFmtId="4">
    <nc r="F34">
      <v>14</v>
    </nc>
  </rcc>
  <rcc rId="538" sId="8" numFmtId="4">
    <nc r="G34">
      <v>1</v>
    </nc>
  </rcc>
  <rcc rId="539" sId="8" numFmtId="4">
    <nc r="C35">
      <v>29</v>
    </nc>
  </rcc>
  <rcc rId="540" sId="8" numFmtId="4">
    <nc r="D35">
      <v>4</v>
    </nc>
  </rcc>
  <rcc rId="541" sId="8" numFmtId="4">
    <nc r="E35">
      <v>9</v>
    </nc>
  </rcc>
  <rcc rId="542" sId="8" numFmtId="4">
    <nc r="F35">
      <v>15</v>
    </nc>
  </rcc>
  <rcc rId="543" sId="8" numFmtId="4">
    <nc r="G35">
      <v>1</v>
    </nc>
  </rcc>
  <rcc rId="544" sId="8" numFmtId="4">
    <nc r="C36">
      <v>33</v>
    </nc>
  </rcc>
  <rcc rId="545" sId="8" numFmtId="4">
    <nc r="D36">
      <v>5</v>
    </nc>
  </rcc>
  <rcc rId="546" sId="8" numFmtId="4">
    <nc r="E36">
      <v>1</v>
    </nc>
  </rcc>
  <rcc rId="547" sId="8" numFmtId="4">
    <nc r="F36">
      <v>16</v>
    </nc>
  </rcc>
  <rcc rId="548" sId="8" numFmtId="4">
    <nc r="G36">
      <v>0</v>
    </nc>
  </rcc>
  <rcc rId="549" sId="8" numFmtId="4">
    <nc r="C37">
      <v>23</v>
    </nc>
  </rcc>
  <rcc rId="550" sId="8" numFmtId="4">
    <nc r="D37">
      <v>5</v>
    </nc>
  </rcc>
  <rcc rId="551" sId="8" numFmtId="4">
    <nc r="E37">
      <v>15</v>
    </nc>
  </rcc>
  <rcc rId="552" sId="8" numFmtId="4">
    <nc r="F37">
      <v>7</v>
    </nc>
  </rcc>
  <rcc rId="553" sId="8" numFmtId="4">
    <nc r="G37">
      <v>3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c rId="554" sId="5" numFmtId="4">
    <oc r="D9">
      <v>18</v>
    </oc>
    <nc r="D9">
      <v>1</v>
    </nc>
  </rcc>
  <rcv guid="{2EA3A6B8-61D5-4EF1-87B1-B14945A241CD}" action="delete"/>
  <rcv guid="{2EA3A6B8-61D5-4EF1-87B1-B14945A241CD}" action="add"/>
</revisions>
</file>

<file path=xl/revisions/revisionLog12.xml><?xml version="1.0" encoding="utf-8"?>
<revisions xmlns="http://schemas.openxmlformats.org/spreadsheetml/2006/main" xmlns:r="http://schemas.openxmlformats.org/officeDocument/2006/relationships">
  <rcc rId="1327" sId="11" numFmtId="4">
    <nc r="E52">
      <v>0</v>
    </nc>
  </rcc>
  <rcc rId="1328" sId="11" numFmtId="4">
    <nc r="F52">
      <v>0</v>
    </nc>
  </rcc>
  <rcc rId="1329" sId="11" numFmtId="4">
    <nc r="G52">
      <v>3</v>
    </nc>
  </rcc>
  <rcc rId="1330" sId="11" numFmtId="4">
    <nc r="H52">
      <v>0</v>
    </nc>
  </rcc>
  <rcc rId="1331" sId="11" numFmtId="4">
    <nc r="C53">
      <v>15</v>
    </nc>
  </rcc>
  <rcc rId="1332" sId="11" numFmtId="4">
    <nc r="D53">
      <v>3</v>
    </nc>
  </rcc>
  <rcc rId="1333" sId="11" numFmtId="4">
    <nc r="E53">
      <v>8</v>
    </nc>
  </rcc>
  <rcc rId="1334" sId="11" numFmtId="4">
    <nc r="F53">
      <v>1</v>
    </nc>
  </rcc>
  <rcc rId="1335" sId="11" numFmtId="4">
    <nc r="G53">
      <v>10</v>
    </nc>
  </rcc>
  <rcc rId="1336" sId="11" numFmtId="4">
    <nc r="H53">
      <v>1</v>
    </nc>
  </rcc>
  <rcc rId="1337" sId="11" numFmtId="4">
    <nc r="C54">
      <v>3</v>
    </nc>
  </rcc>
  <rcc rId="1338" sId="11" numFmtId="4">
    <nc r="D54">
      <v>6</v>
    </nc>
  </rcc>
  <rcc rId="1339" sId="11" numFmtId="4">
    <nc r="E54">
      <v>3</v>
    </nc>
  </rcc>
  <rcc rId="1340" sId="11" numFmtId="4">
    <nc r="F54">
      <v>0</v>
    </nc>
  </rcc>
  <rcc rId="1341" sId="11" numFmtId="4">
    <nc r="G54">
      <v>1</v>
    </nc>
  </rcc>
  <rcc rId="1342" sId="11" numFmtId="4">
    <nc r="H54">
      <v>1</v>
    </nc>
  </rcc>
  <rcv guid="{2EA3A6B8-61D5-4EF1-87B1-B14945A241CD}" action="delete"/>
  <rcv guid="{2EA3A6B8-61D5-4EF1-87B1-B14945A241CD}" action="add"/>
</revisions>
</file>

<file path=xl/revisions/revisionLog13.xml><?xml version="1.0" encoding="utf-8"?>
<revisions xmlns="http://schemas.openxmlformats.org/spreadsheetml/2006/main" xmlns:r="http://schemas.openxmlformats.org/officeDocument/2006/relationships">
  <rcv guid="{2EA3A6B8-61D5-4EF1-87B1-B14945A241CD}" action="delete"/>
  <rcv guid="{2EA3A6B8-61D5-4EF1-87B1-B14945A241CD}" action="add"/>
</revisions>
</file>

<file path=xl/revisions/revisionLog14.xml><?xml version="1.0" encoding="utf-8"?>
<revisions xmlns="http://schemas.openxmlformats.org/spreadsheetml/2006/main" xmlns:r="http://schemas.openxmlformats.org/officeDocument/2006/relationships">
  <rcv guid="{2EA3A6B8-61D5-4EF1-87B1-B14945A241CD}" action="delete"/>
  <rcv guid="{2EA3A6B8-61D5-4EF1-87B1-B14945A241CD}" action="add"/>
</revisions>
</file>

<file path=xl/revisions/revisionLog15.xml><?xml version="1.0" encoding="utf-8"?>
<revisions xmlns="http://schemas.openxmlformats.org/spreadsheetml/2006/main" xmlns:r="http://schemas.openxmlformats.org/officeDocument/2006/relationships">
  <rcc rId="613" sId="11" numFmtId="4">
    <nc r="B31">
      <v>5</v>
    </nc>
  </rcc>
  <rcc rId="614" sId="11" numFmtId="4">
    <nc r="B32">
      <v>5</v>
    </nc>
  </rcc>
  <rcc rId="615" sId="11" numFmtId="4">
    <nc r="B33">
      <v>5</v>
    </nc>
  </rcc>
  <rcc rId="616" sId="11" numFmtId="4">
    <nc r="B34">
      <v>5</v>
    </nc>
  </rcc>
  <rcc rId="617" sId="11" numFmtId="4">
    <nc r="B35">
      <v>5</v>
    </nc>
  </rcc>
  <rcc rId="618" sId="11" numFmtId="4">
    <nc r="B36">
      <v>5</v>
    </nc>
  </rcc>
  <rcc rId="619" sId="11" numFmtId="4">
    <nc r="B37">
      <v>5</v>
    </nc>
  </rcc>
  <rcc rId="620" sId="11" numFmtId="4">
    <nc r="B38">
      <v>5</v>
    </nc>
  </rcc>
  <rcc rId="621" sId="11" numFmtId="4">
    <nc r="B39">
      <v>5</v>
    </nc>
  </rcc>
  <rcc rId="622" sId="11" numFmtId="4">
    <nc r="B40">
      <v>5</v>
    </nc>
  </rcc>
  <rcc rId="623" sId="11" numFmtId="4">
    <nc r="B41">
      <v>5</v>
    </nc>
  </rcc>
  <rcc rId="624" sId="11" numFmtId="4">
    <nc r="B42">
      <v>5</v>
    </nc>
  </rcc>
  <rcc rId="625" sId="11" numFmtId="4">
    <nc r="B43">
      <v>5</v>
    </nc>
  </rcc>
  <rcc rId="626" sId="11" numFmtId="4">
    <nc r="B44">
      <v>5</v>
    </nc>
  </rcc>
  <rcc rId="627" sId="11" numFmtId="4">
    <nc r="B45">
      <v>5</v>
    </nc>
  </rcc>
  <rcc rId="628" sId="11" numFmtId="4">
    <nc r="B46">
      <v>5</v>
    </nc>
  </rcc>
  <rcc rId="629" sId="11" numFmtId="4">
    <nc r="B47">
      <v>5</v>
    </nc>
  </rcc>
  <rcc rId="630" sId="11" numFmtId="4">
    <nc r="B48">
      <v>5</v>
    </nc>
  </rcc>
  <rcc rId="631" sId="11" numFmtId="4">
    <nc r="B49">
      <v>5</v>
    </nc>
  </rcc>
  <rcc rId="632" sId="11" numFmtId="4">
    <nc r="B50">
      <v>5</v>
    </nc>
  </rcc>
  <rcc rId="633" sId="11" numFmtId="4">
    <nc r="B51">
      <v>5</v>
    </nc>
  </rcc>
  <rcc rId="634" sId="11" numFmtId="4">
    <nc r="B52">
      <v>5</v>
    </nc>
  </rcc>
  <rcc rId="635" sId="11" numFmtId="4">
    <nc r="B53">
      <v>5</v>
    </nc>
  </rcc>
  <rcc rId="636" sId="11" numFmtId="4">
    <nc r="B54">
      <v>5</v>
    </nc>
  </rcc>
  <rcc rId="637" sId="11" numFmtId="4">
    <nc r="B55">
      <v>5</v>
    </nc>
  </rcc>
  <rcc rId="638" sId="11" numFmtId="4">
    <nc r="C24">
      <v>1</v>
    </nc>
  </rcc>
  <rcc rId="639" sId="11" numFmtId="4">
    <nc r="D24">
      <v>5</v>
    </nc>
  </rcc>
  <rcc rId="640" sId="11" numFmtId="4">
    <nc r="E24">
      <v>7</v>
    </nc>
  </rcc>
  <rcc rId="641" sId="11" numFmtId="4">
    <nc r="F24">
      <v>1</v>
    </nc>
  </rcc>
  <rcc rId="642" sId="11" numFmtId="4">
    <nc r="G24">
      <v>8</v>
    </nc>
  </rcc>
  <rcc rId="643" sId="11" numFmtId="4">
    <nc r="H24">
      <v>1</v>
    </nc>
  </rcc>
  <rcc rId="644" sId="11" numFmtId="4">
    <nc r="C25">
      <v>1</v>
    </nc>
  </rcc>
  <rcc rId="645" sId="11" numFmtId="4">
    <nc r="D25">
      <v>3</v>
    </nc>
  </rcc>
  <rcc rId="646" sId="11" numFmtId="4">
    <nc r="E25">
      <v>10</v>
    </nc>
  </rcc>
  <rcc rId="647" sId="11" numFmtId="4">
    <nc r="F25">
      <v>1</v>
    </nc>
  </rcc>
  <rcc rId="648" sId="11" numFmtId="4">
    <nc r="G25">
      <v>5</v>
    </nc>
  </rcc>
  <rcc rId="649" sId="11" numFmtId="4">
    <nc r="H25">
      <v>0</v>
    </nc>
  </rcc>
  <rcc rId="650" sId="11" numFmtId="4">
    <nc r="C26">
      <v>1</v>
    </nc>
  </rcc>
  <rcc rId="651" sId="11" numFmtId="4">
    <nc r="F26">
      <v>3</v>
    </nc>
  </rcc>
  <rcc rId="652" sId="11" numFmtId="4">
    <nc r="D26">
      <v>4</v>
    </nc>
  </rcc>
  <rcc rId="653" sId="11" numFmtId="4">
    <nc r="E26">
      <v>8</v>
    </nc>
  </rcc>
  <rcc rId="654" sId="11" numFmtId="4">
    <nc r="G26">
      <v>3</v>
    </nc>
  </rcc>
  <rcc rId="655" sId="11" numFmtId="4">
    <nc r="H26">
      <v>0</v>
    </nc>
  </rcc>
  <rcc rId="656" sId="11" numFmtId="4">
    <nc r="C27">
      <v>11</v>
    </nc>
  </rcc>
  <rcc rId="657" sId="11" numFmtId="4">
    <nc r="D27">
      <v>6</v>
    </nc>
  </rcc>
  <rcc rId="658" sId="11" numFmtId="4">
    <nc r="E27">
      <v>4</v>
    </nc>
  </rcc>
  <rcc rId="659" sId="11" numFmtId="4">
    <nc r="F27">
      <v>0</v>
    </nc>
  </rcc>
  <rcc rId="660" sId="11" numFmtId="4">
    <nc r="G27">
      <v>11</v>
    </nc>
  </rcc>
  <rcc rId="661" sId="11" numFmtId="4">
    <nc r="H27">
      <v>0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>
  <rcc rId="662" sId="5" numFmtId="4">
    <nc r="C47">
      <v>61</v>
    </nc>
  </rcc>
  <rcc rId="663" sId="5" numFmtId="4">
    <nc r="E47">
      <v>2</v>
    </nc>
  </rcc>
  <rcc rId="664" sId="5" numFmtId="4">
    <nc r="D47">
      <v>1</v>
    </nc>
  </rcc>
  <rcc rId="665" sId="5" numFmtId="4">
    <nc r="F47">
      <v>2</v>
    </nc>
  </rcc>
  <rcc rId="666" sId="5" numFmtId="4">
    <nc r="G47">
      <v>0</v>
    </nc>
  </rcc>
  <rcc rId="667" sId="5" numFmtId="4">
    <nc r="C48">
      <v>61</v>
    </nc>
  </rcc>
  <rcc rId="668" sId="5" numFmtId="4">
    <nc r="D48">
      <v>3</v>
    </nc>
  </rcc>
  <rcc rId="669" sId="5" numFmtId="4">
    <nc r="E48">
      <v>6</v>
    </nc>
  </rcc>
  <rcc rId="670" sId="5" numFmtId="4">
    <nc r="F48">
      <v>9</v>
    </nc>
  </rcc>
  <rcc rId="671" sId="5" numFmtId="4">
    <nc r="G48">
      <v>0</v>
    </nc>
  </rcc>
  <rcc rId="672" sId="5" numFmtId="4">
    <nc r="C49">
      <v>39</v>
    </nc>
  </rcc>
  <rcc rId="673" sId="5" numFmtId="4">
    <nc r="D49">
      <v>5</v>
    </nc>
  </rcc>
  <rcc rId="674" sId="5" numFmtId="4">
    <nc r="E49">
      <v>13</v>
    </nc>
  </rcc>
  <rcc rId="675" sId="5" numFmtId="4">
    <nc r="F49">
      <v>7</v>
    </nc>
  </rcc>
  <rcc rId="676" sId="5" numFmtId="4">
    <nc r="G49">
      <v>5</v>
    </nc>
  </rcc>
  <rcc rId="677" sId="5" numFmtId="4">
    <nc r="B50">
      <v>18</v>
    </nc>
  </rcc>
  <rcc rId="678" sId="5" numFmtId="4">
    <nc r="B51">
      <v>18</v>
    </nc>
  </rcc>
  <rcc rId="679" sId="5" numFmtId="4">
    <nc r="B52">
      <v>18</v>
    </nc>
  </rcc>
  <rcc rId="680" sId="5" numFmtId="4">
    <nc r="B53">
      <v>18</v>
    </nc>
  </rcc>
  <rcc rId="681" sId="5" numFmtId="4">
    <nc r="B54">
      <v>18</v>
    </nc>
  </rcc>
  <rcc rId="682" sId="5" numFmtId="4">
    <nc r="C50">
      <v>44</v>
    </nc>
  </rcc>
  <rcc rId="683" sId="5" numFmtId="4">
    <nc r="D50">
      <v>5</v>
    </nc>
  </rcc>
  <rcc rId="684" sId="5" numFmtId="4">
    <nc r="E50">
      <v>6</v>
    </nc>
  </rcc>
  <rcc rId="685" sId="5" numFmtId="4">
    <nc r="F50">
      <v>3</v>
    </nc>
  </rcc>
  <rcc rId="686" sId="5" numFmtId="4">
    <nc r="G50">
      <v>0</v>
    </nc>
  </rcc>
  <rcc rId="687" sId="5" numFmtId="4">
    <nc r="C51">
      <v>44</v>
    </nc>
  </rcc>
  <rcc rId="688" sId="5" numFmtId="4">
    <nc r="D51">
      <v>3</v>
    </nc>
  </rcc>
  <rcc rId="689" sId="5" numFmtId="4">
    <nc r="E51">
      <v>7</v>
    </nc>
  </rcc>
  <rcc rId="690" sId="5" numFmtId="4">
    <nc r="F51">
      <v>6</v>
    </nc>
  </rcc>
  <rcc rId="691" sId="5" numFmtId="4">
    <nc r="G51">
      <v>1</v>
    </nc>
  </rcc>
  <rcc rId="692" sId="5" numFmtId="4">
    <nc r="C52">
      <v>44</v>
    </nc>
  </rcc>
  <rcc rId="693" sId="5" numFmtId="4">
    <nc r="D52">
      <v>4</v>
    </nc>
  </rcc>
  <rcc rId="694" sId="5" numFmtId="4">
    <nc r="E52">
      <v>8</v>
    </nc>
  </rcc>
  <rcc rId="695" sId="5" numFmtId="4">
    <nc r="F52">
      <v>4</v>
    </nc>
  </rcc>
  <rcc rId="696" sId="5" numFmtId="4">
    <nc r="G52">
      <v>2</v>
    </nc>
  </rcc>
  <rcc rId="697" sId="5" numFmtId="4">
    <nc r="C53">
      <v>60</v>
    </nc>
  </rcc>
  <rcc rId="698" sId="5" numFmtId="4">
    <nc r="D53">
      <v>4</v>
    </nc>
  </rcc>
  <rcc rId="699" sId="5" numFmtId="4">
    <nc r="E53">
      <v>8</v>
    </nc>
  </rcc>
  <rcc rId="700" sId="5" numFmtId="4">
    <nc r="F53">
      <v>16</v>
    </nc>
  </rcc>
  <rcc rId="701" sId="5" numFmtId="4">
    <nc r="G53">
      <v>0</v>
    </nc>
  </rcc>
  <rcc rId="702" sId="5" numFmtId="4">
    <nc r="C54">
      <v>48</v>
    </nc>
  </rcc>
  <rcc rId="703" sId="5" numFmtId="4">
    <nc r="D54">
      <v>1</v>
    </nc>
  </rcc>
  <rcc rId="704" sId="5" numFmtId="4">
    <nc r="E54">
      <v>5</v>
    </nc>
  </rcc>
  <rcc rId="705" sId="5" numFmtId="4">
    <nc r="F54">
      <v>10</v>
    </nc>
  </rcc>
  <rcc rId="706" sId="5" numFmtId="4">
    <nc r="G54">
      <v>4</v>
    </nc>
  </rcc>
  <rcc rId="707" sId="5" numFmtId="4">
    <nc r="B55">
      <v>18</v>
    </nc>
  </rcc>
  <rcc rId="708" sId="5" numFmtId="4">
    <nc r="B56">
      <v>18</v>
    </nc>
  </rcc>
  <rcc rId="709" sId="5" numFmtId="4">
    <nc r="C55">
      <v>50</v>
    </nc>
  </rcc>
  <rcc rId="710" sId="5" numFmtId="4">
    <nc r="D55">
      <v>5</v>
    </nc>
  </rcc>
  <rcc rId="711" sId="5" numFmtId="4">
    <nc r="E55">
      <v>10</v>
    </nc>
  </rcc>
  <rcc rId="712" sId="5" numFmtId="4">
    <nc r="F55">
      <v>14</v>
    </nc>
  </rcc>
  <rcc rId="713" sId="5" numFmtId="4">
    <nc r="G55">
      <v>0</v>
    </nc>
  </rcc>
  <rcc rId="714" sId="5" numFmtId="4">
    <nc r="C56">
      <v>49</v>
    </nc>
  </rcc>
  <rcc rId="715" sId="5" numFmtId="4">
    <nc r="D56">
      <v>5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>
  <rcc rId="716" sId="2" numFmtId="4">
    <nc r="C10">
      <v>70</v>
    </nc>
  </rcc>
  <rcc rId="717" sId="2" numFmtId="4">
    <nc r="D10">
      <v>1</v>
    </nc>
  </rcc>
  <rcc rId="718" sId="2" numFmtId="4">
    <nc r="E10">
      <v>53</v>
    </nc>
  </rcc>
  <rcc rId="719" sId="2" numFmtId="4">
    <nc r="D11">
      <v>2</v>
    </nc>
  </rcc>
  <rcc rId="720" sId="2" numFmtId="4">
    <nc r="D12">
      <v>3</v>
    </nc>
  </rcc>
  <rcc rId="721" sId="2" numFmtId="4">
    <nc r="E11">
      <v>53</v>
    </nc>
  </rcc>
  <rcc rId="722" sId="2" numFmtId="4">
    <nc r="E12">
      <v>53</v>
    </nc>
  </rcc>
  <rcc rId="723" sId="2" numFmtId="4">
    <nc r="C11">
      <v>70</v>
    </nc>
  </rcc>
  <rcc rId="724" sId="2" numFmtId="4">
    <nc r="C12">
      <v>70</v>
    </nc>
  </rcc>
  <rcc rId="725" sId="2" numFmtId="4">
    <nc r="F10">
      <v>26</v>
    </nc>
  </rcc>
  <rcc rId="726" sId="2" numFmtId="4">
    <nc r="F11">
      <v>26</v>
    </nc>
  </rcc>
  <rcc rId="727" sId="2" numFmtId="4">
    <nc r="F12">
      <v>26</v>
    </nc>
  </rcc>
  <rcc rId="728" sId="2" numFmtId="4">
    <nc r="G10">
      <v>19</v>
    </nc>
  </rcc>
  <rcc rId="729" sId="2" numFmtId="4">
    <nc r="G11">
      <v>19</v>
    </nc>
  </rcc>
  <rcc rId="730" sId="2" numFmtId="4">
    <nc r="G12">
      <v>19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>
  <rcc rId="731" sId="5" numFmtId="4">
    <nc r="E56">
      <v>5</v>
    </nc>
  </rcc>
  <rcc rId="732" sId="5" numFmtId="4">
    <nc r="F56">
      <v>3</v>
    </nc>
  </rcc>
  <rcc rId="733" sId="5" numFmtId="4">
    <nc r="G56">
      <v>2</v>
    </nc>
  </rcc>
  <rcc rId="734" sId="8" numFmtId="4">
    <nc r="B38">
      <v>12</v>
    </nc>
  </rcc>
  <rcc rId="735" sId="8" numFmtId="4">
    <nc r="B39">
      <v>12</v>
    </nc>
  </rcc>
  <rcc rId="736" sId="8" numFmtId="4">
    <nc r="B40">
      <v>12</v>
    </nc>
  </rcc>
  <rcc rId="737" sId="8" numFmtId="4">
    <nc r="B41">
      <v>12</v>
    </nc>
  </rcc>
  <rcc rId="738" sId="8" numFmtId="4">
    <nc r="B42">
      <v>12</v>
    </nc>
  </rcc>
  <rcc rId="739" sId="8" numFmtId="4">
    <nc r="B43">
      <v>12</v>
    </nc>
  </rcc>
  <rcc rId="740" sId="8" numFmtId="4">
    <nc r="B44">
      <v>12</v>
    </nc>
  </rcc>
  <rcc rId="741" sId="8" numFmtId="4">
    <nc r="B45">
      <v>12</v>
    </nc>
  </rcc>
  <rcc rId="742" sId="8" numFmtId="4">
    <nc r="B46">
      <v>12</v>
    </nc>
  </rcc>
  <rcc rId="743" sId="8" numFmtId="4">
    <nc r="B47">
      <v>12</v>
    </nc>
  </rcc>
  <rcc rId="744" sId="8" numFmtId="4">
    <nc r="B48">
      <v>12</v>
    </nc>
  </rcc>
  <rcc rId="745" sId="8" numFmtId="4">
    <nc r="B49">
      <v>12</v>
    </nc>
  </rcc>
  <rcc rId="746" sId="8" numFmtId="4">
    <nc r="C38">
      <v>23</v>
    </nc>
  </rcc>
  <rcc rId="747" sId="8" numFmtId="4">
    <nc r="D38">
      <v>6</v>
    </nc>
  </rcc>
  <rcc rId="748" sId="8" numFmtId="4">
    <nc r="E38">
      <v>14</v>
    </nc>
  </rcc>
  <rcc rId="749" sId="8" numFmtId="4">
    <nc r="F38">
      <v>8</v>
    </nc>
  </rcc>
  <rcc rId="750" sId="8" numFmtId="4">
    <nc r="G38">
      <v>3</v>
    </nc>
  </rcc>
  <rcc rId="751" sId="8" numFmtId="4">
    <nc r="C39">
      <v>24</v>
    </nc>
  </rcc>
  <rcc rId="752" sId="8" numFmtId="4">
    <nc r="D39">
      <v>6</v>
    </nc>
  </rcc>
  <rcc rId="753" sId="8" numFmtId="4">
    <nc r="E39">
      <v>7</v>
    </nc>
  </rcc>
  <rcc rId="754" sId="8" numFmtId="4">
    <nc r="F39">
      <v>18</v>
    </nc>
  </rcc>
  <rcc rId="755" sId="8" numFmtId="4">
    <nc r="G39">
      <v>0</v>
    </nc>
  </rcc>
  <rcc rId="756" sId="8" numFmtId="4">
    <nc r="C40">
      <v>24</v>
    </nc>
  </rcc>
  <rcc rId="757" sId="8" numFmtId="4">
    <nc r="D40">
      <v>7</v>
    </nc>
  </rcc>
  <rcc rId="758" sId="8" numFmtId="4">
    <nc r="E40">
      <v>21</v>
    </nc>
  </rcc>
  <rcc rId="759" sId="8" numFmtId="4">
    <nc r="F40">
      <v>3</v>
    </nc>
  </rcc>
  <rcc rId="760" sId="8" numFmtId="4">
    <nc r="G40">
      <v>1</v>
    </nc>
  </rcc>
  <rcc rId="761" sId="8" numFmtId="4">
    <nc r="C41">
      <v>34</v>
    </nc>
  </rcc>
  <rcc rId="762" sId="8" numFmtId="4">
    <nc r="D41">
      <v>2</v>
    </nc>
  </rcc>
  <rcc rId="763" sId="8" numFmtId="4">
    <nc r="E41">
      <v>4</v>
    </nc>
  </rcc>
  <rcc rId="764" sId="8" numFmtId="4">
    <nc r="F41">
      <v>14</v>
    </nc>
  </rcc>
  <rcc rId="765" sId="8" numFmtId="4">
    <nc r="G41">
      <v>0</v>
    </nc>
  </rcc>
  <rcc rId="766" sId="8" numFmtId="4">
    <nc r="C42">
      <v>18</v>
    </nc>
  </rcc>
  <rcc rId="767" sId="8" numFmtId="4">
    <nc r="D42">
      <v>4</v>
    </nc>
  </rcc>
  <rcc rId="768" sId="8" numFmtId="4">
    <nc r="E42">
      <v>6</v>
    </nc>
  </rcc>
  <rcc rId="769" sId="8" numFmtId="4">
    <nc r="F42">
      <v>5</v>
    </nc>
  </rcc>
  <rcc rId="770" sId="8" numFmtId="4">
    <nc r="G42">
      <v>0</v>
    </nc>
  </rcc>
  <rcc rId="771" sId="8" numFmtId="4">
    <nc r="C43">
      <v>18</v>
    </nc>
  </rcc>
  <rcc rId="772" sId="8" numFmtId="4">
    <nc r="D43">
      <v>5</v>
    </nc>
  </rcc>
  <rcc rId="773" sId="8" numFmtId="4">
    <nc r="E43">
      <v>1</v>
    </nc>
  </rcc>
  <rcc rId="774" sId="8" numFmtId="4">
    <nc r="F43">
      <v>0</v>
    </nc>
  </rcc>
  <rcc rId="775" sId="8" numFmtId="4">
    <nc r="G43">
      <v>0</v>
    </nc>
  </rcc>
  <rcc rId="776" sId="8" numFmtId="4">
    <nc r="C44">
      <v>33</v>
    </nc>
  </rcc>
  <rcc rId="777" sId="8" numFmtId="4">
    <nc r="D44">
      <v>6</v>
    </nc>
  </rcc>
  <rcc rId="778" sId="8" numFmtId="4">
    <nc r="E44">
      <v>2</v>
    </nc>
  </rcc>
  <rcc rId="779" sId="8" numFmtId="4">
    <nc r="F44">
      <v>20</v>
    </nc>
  </rcc>
  <rcc rId="780" sId="8" numFmtId="4">
    <nc r="G44">
      <v>3</v>
    </nc>
  </rcc>
  <rcc rId="781" sId="8" numFmtId="4">
    <nc r="C45">
      <v>19</v>
    </nc>
  </rcc>
  <rcc rId="782" sId="8" numFmtId="4">
    <nc r="D45">
      <v>6</v>
    </nc>
  </rcc>
  <rcc rId="783" sId="8" numFmtId="4">
    <nc r="E45">
      <v>4</v>
    </nc>
  </rcc>
  <rcc rId="784" sId="8" numFmtId="4">
    <nc r="F45">
      <v>5</v>
    </nc>
  </rcc>
  <rcc rId="785" sId="8" numFmtId="4">
    <nc r="G45">
      <v>0</v>
    </nc>
  </rcc>
  <rcc rId="786" sId="8" numFmtId="4">
    <nc r="C46">
      <v>30</v>
    </nc>
  </rcc>
  <rcc rId="787" sId="8" numFmtId="4">
    <nc r="D46">
      <v>3</v>
    </nc>
  </rcc>
  <rcc rId="788" sId="8" numFmtId="4">
    <nc r="E46">
      <v>7</v>
    </nc>
  </rcc>
  <rcc rId="789" sId="8" numFmtId="4">
    <nc r="F46">
      <v>15</v>
    </nc>
  </rcc>
  <rcc rId="790" sId="8" numFmtId="4">
    <nc r="G46">
      <v>0</v>
    </nc>
  </rcc>
  <rcc rId="791" sId="8" numFmtId="4">
    <nc r="C47">
      <v>30</v>
    </nc>
  </rcc>
  <rcc rId="792" sId="8" numFmtId="4">
    <nc r="D47">
      <v>4</v>
    </nc>
  </rcc>
  <rcc rId="793" sId="8" numFmtId="4">
    <nc r="E47">
      <v>2</v>
    </nc>
  </rcc>
  <rcc rId="794" sId="8" numFmtId="4">
    <nc r="F47">
      <v>11</v>
    </nc>
  </rcc>
  <rcc rId="795" sId="8" numFmtId="4">
    <nc r="G47">
      <v>0</v>
    </nc>
  </rcc>
  <rcc rId="796" sId="8" numFmtId="4">
    <nc r="C48">
      <v>27</v>
    </nc>
  </rcc>
  <rcc rId="797" sId="8" numFmtId="4">
    <nc r="D48">
      <v>3</v>
    </nc>
  </rcc>
  <rcc rId="798" sId="8" numFmtId="4">
    <nc r="E48">
      <v>11</v>
    </nc>
  </rcc>
  <rcc rId="799" sId="8" numFmtId="4">
    <nc r="F48">
      <v>5</v>
    </nc>
  </rcc>
  <rcc rId="800" sId="8" numFmtId="4">
    <nc r="G48">
      <v>0</v>
    </nc>
  </rcc>
  <rcc rId="801" sId="8" numFmtId="4">
    <nc r="B50">
      <v>12</v>
    </nc>
  </rcc>
  <rcc rId="802" sId="8" numFmtId="4">
    <nc r="B51">
      <v>12</v>
    </nc>
  </rcc>
  <rcc rId="803" sId="8" numFmtId="4">
    <nc r="C49">
      <v>25</v>
    </nc>
  </rcc>
  <rcc rId="804" sId="8" numFmtId="4">
    <nc r="D49">
      <v>3</v>
    </nc>
  </rcc>
  <rcc rId="805" sId="8" numFmtId="4">
    <nc r="E49">
      <v>9</v>
    </nc>
  </rcc>
  <rcc rId="806" sId="8" numFmtId="4">
    <nc r="F49">
      <v>12</v>
    </nc>
  </rcc>
  <rcc rId="807" sId="8" numFmtId="4">
    <nc r="G49">
      <v>5</v>
    </nc>
  </rcc>
  <rcc rId="808" sId="8" numFmtId="4">
    <nc r="C50">
      <v>28</v>
    </nc>
  </rcc>
  <rcc rId="809" sId="8" numFmtId="4">
    <nc r="D50">
      <v>3</v>
    </nc>
  </rcc>
  <rcc rId="810" sId="8" numFmtId="4">
    <nc r="E50">
      <v>1</v>
    </nc>
  </rcc>
  <rcc rId="811" sId="8" numFmtId="4">
    <nc r="F50">
      <v>24</v>
    </nc>
  </rcc>
  <rcc rId="812" sId="8" numFmtId="4">
    <nc r="G50">
      <v>0</v>
    </nc>
  </rcc>
  <rcc rId="813" sId="8" numFmtId="4">
    <nc r="C51">
      <v>28</v>
    </nc>
  </rcc>
  <rcc rId="814" sId="8" numFmtId="4">
    <nc r="D51">
      <v>5</v>
    </nc>
  </rcc>
  <rcc rId="815" sId="8" numFmtId="4">
    <nc r="E51">
      <v>1</v>
    </nc>
  </rcc>
  <rcc rId="816" sId="8" numFmtId="4">
    <nc r="F51">
      <v>18</v>
    </nc>
  </rcc>
  <rcc rId="817" sId="8" numFmtId="4">
    <nc r="G51">
      <v>1</v>
    </nc>
  </rcc>
  <rcc rId="818" sId="8" numFmtId="4">
    <nc r="B52">
      <v>12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>
  <rcc rId="555" sId="8" numFmtId="4">
    <oc r="C12">
      <v>19</v>
    </oc>
    <nc r="C12"/>
  </rcc>
  <rcc rId="556" sId="11" numFmtId="4">
    <nc r="C17">
      <v>12</v>
    </nc>
  </rcc>
  <rcc rId="557" sId="11" numFmtId="4">
    <nc r="D17">
      <v>2</v>
    </nc>
  </rcc>
  <rcc rId="558" sId="11" numFmtId="4">
    <nc r="E17">
      <v>14</v>
    </nc>
  </rcc>
  <rcc rId="559" sId="11" numFmtId="4">
    <nc r="F17">
      <v>0</v>
    </nc>
  </rcc>
  <rcc rId="560" sId="11" numFmtId="4">
    <nc r="G17">
      <v>8</v>
    </nc>
  </rcc>
  <rcc rId="561" sId="11" numFmtId="4">
    <nc r="H17">
      <v>0</v>
    </nc>
  </rcc>
  <rcc rId="562" sId="11" numFmtId="4">
    <nc r="C18">
      <v>15</v>
    </nc>
  </rcc>
  <rcc rId="563" sId="11" numFmtId="4">
    <nc r="D18">
      <v>2</v>
    </nc>
  </rcc>
  <rcc rId="564" sId="11" numFmtId="4">
    <nc r="E18">
      <v>8</v>
    </nc>
  </rcc>
  <rcc rId="565" sId="11" numFmtId="4">
    <nc r="F18">
      <v>3</v>
    </nc>
  </rcc>
  <rcc rId="566" sId="11" numFmtId="4">
    <nc r="G18">
      <v>3</v>
    </nc>
  </rcc>
  <rcc rId="567" sId="11" numFmtId="4">
    <nc r="H18">
      <v>0</v>
    </nc>
  </rcc>
  <rcc rId="568" sId="11" numFmtId="4">
    <nc r="C19">
      <v>17</v>
    </nc>
  </rcc>
  <rcc rId="569" sId="11" numFmtId="4">
    <nc r="D19">
      <v>2</v>
    </nc>
  </rcc>
  <rcc rId="570" sId="11" numFmtId="4">
    <nc r="E19">
      <v>11</v>
    </nc>
  </rcc>
  <rcc rId="571" sId="11" numFmtId="4">
    <nc r="F19">
      <v>3</v>
    </nc>
  </rcc>
  <rcc rId="572" sId="11" numFmtId="4">
    <nc r="G19">
      <v>11</v>
    </nc>
  </rcc>
  <rcc rId="573" sId="11" numFmtId="4">
    <nc r="H19">
      <v>0</v>
    </nc>
  </rcc>
  <rcc rId="574" sId="11" numFmtId="4">
    <nc r="C20">
      <v>8</v>
    </nc>
  </rcc>
  <rcc rId="575" sId="11" numFmtId="4">
    <nc r="D20">
      <v>3</v>
    </nc>
  </rcc>
  <rcc rId="576" sId="11" numFmtId="4">
    <nc r="E20">
      <v>4</v>
    </nc>
  </rcc>
  <rcc rId="577" sId="11" numFmtId="4">
    <nc r="F20">
      <v>1</v>
    </nc>
  </rcc>
  <rcc rId="578" sId="11" numFmtId="4">
    <nc r="G20">
      <v>4</v>
    </nc>
  </rcc>
  <rcc rId="579" sId="11" numFmtId="4">
    <nc r="H20">
      <v>0</v>
    </nc>
  </rcc>
  <rcv guid="{2EA3A6B8-61D5-4EF1-87B1-B14945A241CD}" action="delete"/>
  <rcv guid="{2EA3A6B8-61D5-4EF1-87B1-B14945A241CD}" action="add"/>
  <rcv guid="{2EA3A6B8-61D5-4EF1-87B1-B14945A241CD}" action="add"/>
</revisions>
</file>

<file path=xl/revisions/revisionLog20.xml><?xml version="1.0" encoding="utf-8"?>
<revisions xmlns="http://schemas.openxmlformats.org/spreadsheetml/2006/main" xmlns:r="http://schemas.openxmlformats.org/officeDocument/2006/relationships">
  <rcc rId="843" sId="8" numFmtId="4">
    <nc r="B53">
      <v>12</v>
    </nc>
  </rcc>
  <rcc rId="844" sId="8" numFmtId="4">
    <nc r="B54">
      <v>12</v>
    </nc>
  </rcc>
  <rcc rId="845" sId="8" numFmtId="4">
    <nc r="B55">
      <v>12</v>
    </nc>
  </rcc>
  <rcc rId="846" sId="8" numFmtId="4">
    <nc r="B56">
      <v>12</v>
    </nc>
  </rcc>
  <rcc rId="847" sId="8" numFmtId="4">
    <nc r="B57">
      <v>12</v>
    </nc>
  </rcc>
  <rcc rId="848" sId="8" numFmtId="4">
    <nc r="B58">
      <v>12</v>
    </nc>
  </rcc>
  <rcc rId="849" sId="8" numFmtId="4">
    <nc r="B59">
      <v>12</v>
    </nc>
  </rcc>
  <rcc rId="850" sId="8" numFmtId="4">
    <nc r="B60">
      <v>12</v>
    </nc>
  </rcc>
  <rcc rId="851" sId="8" numFmtId="4">
    <nc r="B61">
      <v>12</v>
    </nc>
  </rcc>
  <rcc rId="852" sId="8" numFmtId="4">
    <nc r="B62">
      <v>12</v>
    </nc>
  </rcc>
  <rcc rId="853" sId="8" numFmtId="4">
    <nc r="C52">
      <v>31</v>
    </nc>
  </rcc>
  <rcc rId="854" sId="8" numFmtId="4">
    <nc r="D52">
      <v>1</v>
    </nc>
  </rcc>
  <rcc rId="855" sId="8" numFmtId="4">
    <nc r="E52">
      <v>17</v>
    </nc>
  </rcc>
  <rcc rId="856" sId="8" numFmtId="4">
    <nc r="F52">
      <v>8</v>
    </nc>
  </rcc>
  <rcc rId="857" sId="8" numFmtId="4">
    <nc r="G52">
      <v>0</v>
    </nc>
  </rcc>
  <rcc rId="858" sId="8" numFmtId="4">
    <nc r="C53">
      <v>35</v>
    </nc>
  </rcc>
  <rcc rId="859" sId="8" numFmtId="4">
    <nc r="D53">
      <v>5</v>
    </nc>
  </rcc>
  <rcc rId="860" sId="8" numFmtId="4">
    <nc r="E53">
      <v>13</v>
    </nc>
  </rcc>
  <rcc rId="861" sId="8" numFmtId="4">
    <nc r="F53">
      <v>12</v>
    </nc>
  </rcc>
  <rcc rId="862" sId="8" numFmtId="4">
    <nc r="G53">
      <v>0</v>
    </nc>
  </rcc>
  <rcc rId="863" sId="8" numFmtId="4">
    <nc r="C54">
      <v>35</v>
    </nc>
  </rcc>
  <rcc rId="864" sId="8" numFmtId="4">
    <nc r="D54">
      <v>4</v>
    </nc>
  </rcc>
  <rcc rId="865" sId="8" numFmtId="4">
    <nc r="E54">
      <v>16</v>
    </nc>
  </rcc>
  <rcc rId="866" sId="8" numFmtId="4">
    <nc r="F54">
      <v>9</v>
    </nc>
  </rcc>
  <rcc rId="867" sId="8" numFmtId="4">
    <nc r="G54">
      <v>0</v>
    </nc>
  </rcc>
  <rcc rId="868" sId="8" numFmtId="4">
    <nc r="C55">
      <v>35</v>
    </nc>
  </rcc>
  <rcc rId="869" sId="8" numFmtId="4">
    <nc r="D55">
      <v>3</v>
    </nc>
  </rcc>
  <rcc rId="870" sId="8" numFmtId="4">
    <nc r="E55">
      <v>13</v>
    </nc>
  </rcc>
  <rcc rId="871" sId="8" numFmtId="4">
    <nc r="F55">
      <v>2</v>
    </nc>
  </rcc>
  <rcc rId="872" sId="8" numFmtId="4">
    <nc r="G55">
      <v>0</v>
    </nc>
  </rcc>
  <rcc rId="873" sId="8" numFmtId="4">
    <nc r="C56">
      <v>26</v>
    </nc>
  </rcc>
  <rcc rId="874" sId="8" numFmtId="4">
    <nc r="D56">
      <v>5</v>
    </nc>
  </rcc>
  <rcc rId="875" sId="8" numFmtId="4">
    <nc r="E56">
      <v>18</v>
    </nc>
  </rcc>
  <rcc rId="876" sId="8" numFmtId="4">
    <nc r="F56">
      <v>79</v>
    </nc>
  </rcc>
  <rcc rId="877" sId="8" numFmtId="4">
    <nc r="G56">
      <v>3</v>
    </nc>
  </rcc>
  <rcc rId="878" sId="8" numFmtId="4">
    <nc r="C57">
      <v>32</v>
    </nc>
  </rcc>
  <rcc rId="879" sId="8" numFmtId="4">
    <nc r="D57">
      <v>1</v>
    </nc>
  </rcc>
  <rcc rId="880" sId="8" numFmtId="4">
    <nc r="E57">
      <v>12</v>
    </nc>
  </rcc>
  <rcc rId="881" sId="8" numFmtId="4">
    <nc r="F57">
      <v>7</v>
    </nc>
  </rcc>
  <rcc rId="882" sId="8" numFmtId="4">
    <nc r="G57">
      <v>8</v>
    </nc>
  </rcc>
  <rcc rId="883" sId="8" numFmtId="4">
    <nc r="C58">
      <v>32</v>
    </nc>
  </rcc>
  <rcc rId="884" sId="8" numFmtId="4">
    <nc r="D58">
      <v>2</v>
    </nc>
  </rcc>
  <rcc rId="885" sId="8" numFmtId="4">
    <nc r="E58">
      <v>32</v>
    </nc>
  </rcc>
  <rcc rId="886" sId="8" numFmtId="4">
    <nc r="F58">
      <v>16</v>
    </nc>
  </rcc>
  <rcc rId="887" sId="8" numFmtId="4">
    <nc r="G58">
      <v>12</v>
    </nc>
  </rcc>
  <rcc rId="888" sId="8" numFmtId="4">
    <nc r="C59">
      <v>26</v>
    </nc>
  </rcc>
  <rcc rId="889" sId="8" numFmtId="4">
    <nc r="D59">
      <v>2</v>
    </nc>
  </rcc>
  <rcc rId="890" sId="8" numFmtId="4">
    <nc r="E59">
      <v>3</v>
    </nc>
  </rcc>
  <rcc rId="891" sId="8" numFmtId="4">
    <nc r="F59">
      <v>22</v>
    </nc>
  </rcc>
  <rcc rId="892" sId="8" numFmtId="4">
    <nc r="G59">
      <v>0</v>
    </nc>
  </rcc>
  <rcc rId="893" sId="8" numFmtId="4">
    <nc r="C60">
      <v>26</v>
    </nc>
  </rcc>
  <rcc rId="894" sId="8" numFmtId="4">
    <nc r="D60">
      <v>1</v>
    </nc>
  </rcc>
  <rcc rId="895" sId="8" numFmtId="4">
    <nc r="E60">
      <v>8</v>
    </nc>
  </rcc>
  <rcc rId="896" sId="8" numFmtId="4">
    <nc r="F60">
      <v>18</v>
    </nc>
  </rcc>
  <rcc rId="897" sId="8" numFmtId="4">
    <nc r="G60">
      <v>0</v>
    </nc>
  </rcc>
  <rcc rId="898" sId="8" numFmtId="4">
    <nc r="C61">
      <v>34</v>
    </nc>
  </rcc>
  <rcc rId="899" sId="8" numFmtId="4">
    <nc r="D61">
      <v>5</v>
    </nc>
  </rcc>
  <rcc rId="900" sId="8" numFmtId="4">
    <nc r="E61">
      <v>4</v>
    </nc>
  </rcc>
  <rcc rId="901" sId="8" numFmtId="4">
    <nc r="F61">
      <v>19</v>
    </nc>
  </rcc>
  <rcc rId="902" sId="8" numFmtId="4">
    <nc r="G61">
      <v>0</v>
    </nc>
  </rcc>
  <rcc rId="903" sId="5" numFmtId="4">
    <nc r="B57">
      <v>18</v>
    </nc>
  </rcc>
  <rcc rId="904" sId="5" numFmtId="4">
    <nc r="B58">
      <v>18</v>
    </nc>
  </rcc>
  <rcc rId="905" sId="5" numFmtId="4">
    <nc r="B59">
      <v>18</v>
    </nc>
  </rcc>
  <rcc rId="906" sId="5" numFmtId="4">
    <nc r="B60">
      <v>18</v>
    </nc>
  </rcc>
  <rcc rId="907" sId="5" numFmtId="4">
    <nc r="B61">
      <v>18</v>
    </nc>
  </rcc>
  <rcc rId="908" sId="5" numFmtId="4">
    <nc r="B62">
      <v>18</v>
    </nc>
  </rcc>
  <rcc rId="909" sId="5" numFmtId="4">
    <nc r="B63">
      <v>18</v>
    </nc>
  </rcc>
  <rcc rId="910" sId="5" numFmtId="4">
    <nc r="B64">
      <v>18</v>
    </nc>
  </rcc>
  <rcc rId="911" sId="5" numFmtId="4">
    <nc r="B65">
      <v>18</v>
    </nc>
  </rcc>
  <rcc rId="912" sId="5" numFmtId="4">
    <nc r="C57">
      <v>43</v>
    </nc>
  </rcc>
  <rcc rId="913" sId="5" numFmtId="4">
    <nc r="D57">
      <v>5</v>
    </nc>
  </rcc>
  <rcc rId="914" sId="5" numFmtId="4">
    <nc r="E57">
      <v>5</v>
    </nc>
  </rcc>
  <rcc rId="915" sId="5" numFmtId="4">
    <nc r="F57">
      <v>4</v>
    </nc>
  </rcc>
  <rcc rId="916" sId="5" numFmtId="4">
    <nc r="G57">
      <v>2</v>
    </nc>
  </rcc>
  <rcc rId="917" sId="5" numFmtId="4">
    <nc r="C58">
      <v>55</v>
    </nc>
  </rcc>
  <rcc rId="918" sId="5" numFmtId="4">
    <nc r="D58">
      <v>4</v>
    </nc>
  </rcc>
  <rcc rId="919" sId="5" numFmtId="4">
    <nc r="E58">
      <v>10</v>
    </nc>
  </rcc>
  <rcc rId="920" sId="5" numFmtId="4">
    <nc r="F58">
      <v>7</v>
    </nc>
  </rcc>
  <rcc rId="921" sId="5" numFmtId="4">
    <nc r="G58">
      <v>0</v>
    </nc>
  </rcc>
  <rcc rId="922" sId="5" numFmtId="4">
    <nc r="C59">
      <v>62</v>
    </nc>
  </rcc>
  <rcc rId="923" sId="5" numFmtId="4">
    <nc r="D59">
      <v>5</v>
    </nc>
  </rcc>
  <rcc rId="924" sId="5" numFmtId="4">
    <nc r="E59">
      <v>16</v>
    </nc>
  </rcc>
  <rcc rId="925" sId="5" numFmtId="4">
    <nc r="F59">
      <v>12</v>
    </nc>
  </rcc>
  <rcc rId="926" sId="5" numFmtId="4">
    <nc r="G59">
      <v>0</v>
    </nc>
  </rcc>
  <rcc rId="927" sId="5" numFmtId="4">
    <nc r="C60">
      <v>51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>
  <rcc rId="928" sId="11" numFmtId="4">
    <nc r="C32">
      <v>5</v>
    </nc>
  </rcc>
  <rcc rId="929" sId="11" numFmtId="4">
    <nc r="D32">
      <v>3</v>
    </nc>
  </rcc>
  <rcc rId="930" sId="11" numFmtId="4">
    <nc r="E32">
      <v>5</v>
    </nc>
  </rcc>
  <rcc rId="931" sId="11" numFmtId="4">
    <nc r="F32">
      <v>2</v>
    </nc>
  </rcc>
  <rcc rId="932" sId="11" numFmtId="4">
    <nc r="G32">
      <v>13</v>
    </nc>
  </rcc>
  <rcc rId="933" sId="11" numFmtId="4">
    <nc r="H32">
      <v>0</v>
    </nc>
  </rcc>
  <rcc rId="934" sId="11" numFmtId="4">
    <nc r="C33">
      <v>14</v>
    </nc>
  </rcc>
  <rcc rId="935" sId="11" numFmtId="4">
    <nc r="D33">
      <v>3</v>
    </nc>
  </rcc>
  <rcc rId="936" sId="11" numFmtId="4">
    <nc r="E33">
      <v>4</v>
    </nc>
  </rcc>
  <rcc rId="937" sId="11" numFmtId="4">
    <nc r="F33">
      <v>4</v>
    </nc>
  </rcc>
  <rcc rId="938" sId="11" numFmtId="4">
    <nc r="G33">
      <v>1</v>
    </nc>
  </rcc>
  <rcc rId="939" sId="11" numFmtId="4">
    <nc r="H33">
      <v>1</v>
    </nc>
  </rcc>
  <rcc rId="940" sId="11" numFmtId="4">
    <nc r="C34">
      <v>14</v>
    </nc>
  </rcc>
  <rcc rId="941" sId="11" numFmtId="4">
    <nc r="D34">
      <v>2</v>
    </nc>
  </rcc>
  <rcc rId="942" sId="11" numFmtId="4">
    <nc r="E34">
      <v>12</v>
    </nc>
  </rcc>
  <rcc rId="943" sId="11" numFmtId="4">
    <nc r="F34">
      <v>3</v>
    </nc>
  </rcc>
  <rcc rId="944" sId="11" numFmtId="4">
    <nc r="G34">
      <v>13</v>
    </nc>
  </rcc>
  <rcc rId="945" sId="11" numFmtId="4">
    <nc r="H34">
      <v>0</v>
    </nc>
  </rcc>
  <rcc rId="946" sId="11" numFmtId="4">
    <nc r="C35">
      <v>14</v>
    </nc>
  </rcc>
  <rcc rId="947" sId="11" numFmtId="4">
    <nc r="D35">
      <v>1</v>
    </nc>
  </rcc>
  <rcc rId="948" sId="11" numFmtId="4">
    <nc r="E35">
      <v>29</v>
    </nc>
  </rcc>
  <rcc rId="949" sId="11" numFmtId="4">
    <nc r="F35">
      <v>9</v>
    </nc>
  </rcc>
  <rcc rId="950" sId="11" numFmtId="4">
    <nc r="G35">
      <v>30</v>
    </nc>
  </rcc>
  <rcc rId="951" sId="11" numFmtId="4">
    <nc r="H35">
      <v>0</v>
    </nc>
  </rcc>
  <rcc rId="952" sId="11" numFmtId="4">
    <nc r="C36">
      <v>7</v>
    </nc>
  </rcc>
  <rcc rId="953" sId="11" numFmtId="4">
    <nc r="D36">
      <v>4</v>
    </nc>
  </rcc>
  <rcc rId="954" sId="11" numFmtId="4">
    <nc r="E36">
      <v>16</v>
    </nc>
  </rcc>
  <rcc rId="955" sId="11" numFmtId="4">
    <nc r="F36">
      <v>6</v>
    </nc>
  </rcc>
  <rcc rId="956" sId="11" numFmtId="4">
    <nc r="G36">
      <v>12</v>
    </nc>
  </rcc>
  <rcc rId="957" sId="11" numFmtId="4">
    <nc r="H36">
      <v>2</v>
    </nc>
  </rcc>
  <rcc rId="958" sId="11" numFmtId="4">
    <nc r="C37">
      <v>7</v>
    </nc>
  </rcc>
  <rcc rId="959" sId="11" numFmtId="4">
    <nc r="D37">
      <v>3</v>
    </nc>
  </rcc>
  <rcc rId="960" sId="11" numFmtId="4">
    <nc r="E37">
      <v>11</v>
    </nc>
  </rcc>
  <rcc rId="961" sId="11" numFmtId="4">
    <nc r="F37">
      <v>4</v>
    </nc>
  </rcc>
  <rcc rId="962" sId="11" numFmtId="4">
    <nc r="G37">
      <v>15</v>
    </nc>
  </rcc>
  <rcc rId="963" sId="11" numFmtId="4">
    <nc r="H37">
      <v>4</v>
    </nc>
  </rcc>
  <rcc rId="964" sId="11" numFmtId="4">
    <nc r="C38">
      <v>7</v>
    </nc>
  </rcc>
  <rcc rId="965" sId="11" numFmtId="4">
    <nc r="D38">
      <v>2</v>
    </nc>
  </rcc>
  <rcc rId="966" sId="11" numFmtId="4">
    <nc r="E38">
      <v>9</v>
    </nc>
  </rcc>
  <rcc rId="967" sId="11" numFmtId="4">
    <nc r="F38">
      <v>2</v>
    </nc>
  </rcc>
  <rcc rId="968" sId="11" numFmtId="4">
    <nc r="G38">
      <v>10</v>
    </nc>
  </rcc>
  <rcc rId="969" sId="11" numFmtId="4">
    <nc r="H38">
      <v>6</v>
    </nc>
  </rcc>
</revisions>
</file>

<file path=xl/revisions/revisionLog22.xml><?xml version="1.0" encoding="utf-8"?>
<revisions xmlns="http://schemas.openxmlformats.org/spreadsheetml/2006/main" xmlns:r="http://schemas.openxmlformats.org/officeDocument/2006/relationships">
  <rcc rId="970" sId="5" numFmtId="4">
    <nc r="D60">
      <v>5</v>
    </nc>
  </rcc>
  <rcc rId="971" sId="5" numFmtId="4">
    <nc r="E60">
      <v>6</v>
    </nc>
  </rcc>
  <rcc rId="972" sId="5" numFmtId="4">
    <nc r="F60">
      <v>16</v>
    </nc>
  </rcc>
  <rcc rId="973" sId="5" numFmtId="4">
    <nc r="G60">
      <v>3</v>
    </nc>
  </rcc>
  <rcc rId="974" sId="5" numFmtId="4">
    <nc r="C61">
      <v>50</v>
    </nc>
  </rcc>
  <rcc rId="975" sId="5" numFmtId="4">
    <nc r="D61">
      <v>2</v>
    </nc>
  </rcc>
  <rcc rId="976" sId="5" numFmtId="4">
    <nc r="E61">
      <v>15</v>
    </nc>
  </rcc>
  <rcc rId="977" sId="5" numFmtId="4">
    <nc r="F61">
      <v>8</v>
    </nc>
  </rcc>
  <rcc rId="978" sId="5" numFmtId="4">
    <nc r="G61">
      <v>0</v>
    </nc>
  </rcc>
  <rcc rId="979" sId="5" numFmtId="4">
    <nc r="C62">
      <v>61</v>
    </nc>
  </rcc>
  <rcc rId="980" sId="5" numFmtId="4">
    <nc r="C63">
      <v>61</v>
    </nc>
  </rcc>
  <rcc rId="981" sId="5" numFmtId="4">
    <nc r="C64">
      <v>61</v>
    </nc>
  </rcc>
  <rcc rId="982" sId="5" numFmtId="4">
    <nc r="C65">
      <v>61</v>
    </nc>
  </rcc>
  <rcc rId="983" sId="5" numFmtId="4">
    <nc r="D62">
      <v>2</v>
    </nc>
  </rcc>
  <rcc rId="984" sId="5" numFmtId="4">
    <nc r="E62">
      <v>4</v>
    </nc>
  </rcc>
  <rcc rId="985" sId="5" numFmtId="4">
    <nc r="F62">
      <v>3</v>
    </nc>
  </rcc>
  <rcc rId="986" sId="5" numFmtId="4">
    <nc r="G62">
      <v>0</v>
    </nc>
  </rcc>
  <rcc rId="987" sId="5" numFmtId="4">
    <nc r="D63">
      <v>3</v>
    </nc>
  </rcc>
  <rcc rId="988" sId="5" numFmtId="4">
    <nc r="E63">
      <v>6</v>
    </nc>
  </rcc>
  <rcc rId="989" sId="5" numFmtId="4">
    <nc r="F63">
      <v>9</v>
    </nc>
  </rcc>
  <rcc rId="990" sId="5" numFmtId="4">
    <nc r="G63">
      <v>0</v>
    </nc>
  </rcc>
  <rcc rId="991" sId="5" numFmtId="4">
    <nc r="D64">
      <v>4</v>
    </nc>
  </rcc>
  <rcc rId="992" sId="5" numFmtId="4">
    <nc r="E64">
      <v>10</v>
    </nc>
  </rcc>
  <rcc rId="993" sId="5" numFmtId="4">
    <nc r="F64">
      <v>6</v>
    </nc>
  </rcc>
  <rcc rId="994" sId="5" numFmtId="4">
    <nc r="G64">
      <v>0</v>
    </nc>
  </rcc>
  <rcc rId="995" sId="5" numFmtId="4">
    <nc r="D65">
      <v>5</v>
    </nc>
  </rcc>
  <rcc rId="996" sId="5" numFmtId="4">
    <nc r="E65">
      <v>6</v>
    </nc>
  </rcc>
  <rcc rId="997" sId="5" numFmtId="4">
    <nc r="F65">
      <v>10</v>
    </nc>
  </rcc>
  <rcc rId="998" sId="5" numFmtId="4">
    <nc r="G65">
      <v>0</v>
    </nc>
  </rcc>
  <rcc rId="999" sId="5" numFmtId="4">
    <nc r="B66">
      <v>18</v>
    </nc>
  </rcc>
  <rcc rId="1000" sId="5" numFmtId="4">
    <nc r="B67">
      <v>18</v>
    </nc>
  </rcc>
  <rcc rId="1001" sId="5" numFmtId="4">
    <nc r="B68">
      <v>18</v>
    </nc>
  </rcc>
  <rcc rId="1002" sId="5" numFmtId="4">
    <nc r="C66">
      <v>61</v>
    </nc>
  </rcc>
  <rcc rId="1003" sId="5" numFmtId="4">
    <nc r="D66">
      <v>6</v>
    </nc>
  </rcc>
  <rcc rId="1004" sId="5" numFmtId="4">
    <nc r="E66">
      <v>3</v>
    </nc>
  </rcc>
  <rcc rId="1005" sId="5" numFmtId="4">
    <nc r="F66">
      <v>14</v>
    </nc>
  </rcc>
  <rcc rId="1006" sId="5" numFmtId="4">
    <nc r="G66">
      <v>0</v>
    </nc>
  </rcc>
  <rcc rId="1007" sId="5" numFmtId="4">
    <nc r="C67">
      <v>45</v>
    </nc>
  </rcc>
  <rcc rId="1008" sId="5" numFmtId="4">
    <nc r="D67">
      <v>3</v>
    </nc>
  </rcc>
  <rcc rId="1009" sId="5" numFmtId="4">
    <nc r="E67">
      <v>6</v>
    </nc>
  </rcc>
  <rcc rId="1010" sId="5" numFmtId="4">
    <nc r="F67">
      <v>10</v>
    </nc>
  </rcc>
  <rcc rId="1011" sId="5" numFmtId="4">
    <nc r="G67">
      <v>0</v>
    </nc>
  </rcc>
  <rcc rId="1012" sId="5" numFmtId="4">
    <nc r="C68">
      <v>44</v>
    </nc>
  </rcc>
  <rcc rId="1013" sId="5" numFmtId="4">
    <nc r="C69">
      <v>44</v>
    </nc>
  </rcc>
  <rcc rId="1014" sId="5" numFmtId="4">
    <nc r="C70">
      <v>44</v>
    </nc>
  </rcc>
  <rcc rId="1015" sId="5" numFmtId="4">
    <nc r="B69">
      <v>18</v>
    </nc>
  </rcc>
  <rcc rId="1016" sId="5" numFmtId="4">
    <nc r="B70">
      <v>18</v>
    </nc>
  </rcc>
  <rcc rId="1017" sId="5" numFmtId="4">
    <nc r="D68">
      <v>3</v>
    </nc>
  </rcc>
  <rcc rId="1018" sId="5" numFmtId="4">
    <nc r="E68">
      <v>7</v>
    </nc>
  </rcc>
  <rcc rId="1019" sId="5" numFmtId="4">
    <nc r="F68">
      <v>6</v>
    </nc>
  </rcc>
  <rcc rId="1020" sId="5" numFmtId="4">
    <nc r="G68">
      <v>1</v>
    </nc>
  </rcc>
  <rcc rId="1021" sId="5" numFmtId="4">
    <nc r="D69">
      <v>4</v>
    </nc>
  </rcc>
  <rcc rId="1022" sId="5" numFmtId="4">
    <nc r="E69">
      <v>8</v>
    </nc>
  </rcc>
  <rcc rId="1023" sId="5" numFmtId="4">
    <nc r="F69">
      <v>4</v>
    </nc>
  </rcc>
  <rcc rId="1024" sId="5" numFmtId="4">
    <nc r="G69">
      <v>2</v>
    </nc>
  </rcc>
  <rcc rId="1025" sId="5" numFmtId="4">
    <nc r="D70">
      <v>5</v>
    </nc>
  </rcc>
  <rcc rId="1026" sId="5" numFmtId="4">
    <nc r="E70">
      <v>6</v>
    </nc>
  </rcc>
  <rcc rId="1027" sId="5" numFmtId="4">
    <nc r="F70">
      <v>3</v>
    </nc>
  </rcc>
  <rcc rId="1028" sId="5" numFmtId="4">
    <nc r="G70">
      <v>0</v>
    </nc>
  </rcc>
  <rcc rId="1029" sId="5" numFmtId="4">
    <nc r="B71">
      <v>18</v>
    </nc>
  </rcc>
  <rcc rId="1030" sId="5" numFmtId="4">
    <nc r="B72">
      <v>18</v>
    </nc>
  </rcc>
  <rcc rId="1031" sId="5" numFmtId="4">
    <nc r="B73">
      <v>18</v>
    </nc>
  </rcc>
  <rcc rId="1032" sId="5" numFmtId="4">
    <nc r="B74">
      <v>18</v>
    </nc>
  </rcc>
  <rcc rId="1033" sId="5" numFmtId="4">
    <nc r="B75">
      <v>18</v>
    </nc>
  </rcc>
  <rcc rId="1034" sId="5" numFmtId="4">
    <nc r="B76">
      <v>18</v>
    </nc>
  </rcc>
  <rcc rId="1035" sId="5" numFmtId="4">
    <nc r="C71">
      <v>39</v>
    </nc>
  </rcc>
  <rcc rId="1036" sId="5" numFmtId="4">
    <nc r="D71">
      <v>7</v>
    </nc>
  </rcc>
  <rcc rId="1037" sId="5" numFmtId="4">
    <nc r="E71">
      <v>12</v>
    </nc>
  </rcc>
  <rcc rId="1038" sId="5" numFmtId="4">
    <nc r="F71">
      <v>5</v>
    </nc>
  </rcc>
  <rcc rId="1039" sId="5" numFmtId="4">
    <nc r="G71">
      <v>8</v>
    </nc>
  </rcc>
  <rcc rId="1040" sId="5" numFmtId="4">
    <nc r="C72">
      <v>49</v>
    </nc>
  </rcc>
  <rcc rId="1041" sId="5" numFmtId="4">
    <nc r="D72">
      <v>6</v>
    </nc>
  </rcc>
  <rcc rId="1042" sId="5" numFmtId="4">
    <nc r="E72">
      <v>6</v>
    </nc>
  </rcc>
  <rcc rId="1043" sId="5" numFmtId="4">
    <nc r="F72">
      <v>3</v>
    </nc>
  </rcc>
  <rcc rId="1044" sId="5" numFmtId="4">
    <nc r="G72">
      <v>1</v>
    </nc>
  </rcc>
  <rcc rId="1045" sId="5" numFmtId="4">
    <nc r="C73">
      <v>48</v>
    </nc>
  </rcc>
  <rcc rId="1046" sId="5" numFmtId="4">
    <nc r="D73">
      <v>5</v>
    </nc>
  </rcc>
  <rcc rId="1047" sId="5" numFmtId="4">
    <nc r="E73">
      <v>7</v>
    </nc>
  </rcc>
  <rcc rId="1048" sId="5" numFmtId="4">
    <nc r="F73">
      <v>10</v>
    </nc>
  </rcc>
  <rcc rId="1049" sId="5" numFmtId="4">
    <nc r="G73">
      <v>6</v>
    </nc>
  </rcc>
  <rcc rId="1050" sId="5" numFmtId="4">
    <nc r="C74">
      <v>38</v>
    </nc>
  </rcc>
  <rcc rId="1051" sId="5" numFmtId="4">
    <nc r="D74">
      <v>5</v>
    </nc>
  </rcc>
  <rcc rId="1052" sId="5" numFmtId="4">
    <nc r="E74">
      <v>6</v>
    </nc>
  </rcc>
  <rcc rId="1053" sId="5" numFmtId="4">
    <nc r="F74">
      <v>10</v>
    </nc>
  </rcc>
  <rcc rId="1054" sId="5" numFmtId="4">
    <nc r="G74">
      <v>4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>
  <rcc rId="1055" sId="11" numFmtId="4">
    <nc r="C39">
      <v>7</v>
    </nc>
  </rcc>
  <rcc rId="1056" sId="11" numFmtId="4">
    <nc r="D39">
      <v>1</v>
    </nc>
  </rcc>
  <rcc rId="1057" sId="11" numFmtId="4">
    <nc r="E39">
      <v>8</v>
    </nc>
  </rcc>
  <rcc rId="1058" sId="11" numFmtId="4">
    <nc r="F39">
      <v>1</v>
    </nc>
  </rcc>
  <rcc rId="1059" sId="11" numFmtId="4">
    <nc r="G39">
      <v>8</v>
    </nc>
  </rcc>
  <rcc rId="1060" sId="11" numFmtId="4">
    <nc r="H39">
      <v>5</v>
    </nc>
  </rcc>
  <rcc rId="1061" sId="11" numFmtId="4">
    <nc r="C40">
      <v>4</v>
    </nc>
  </rcc>
  <rcc rId="1062" sId="11" numFmtId="4">
    <nc r="D40">
      <v>4</v>
    </nc>
  </rcc>
  <rcc rId="1063" sId="11" numFmtId="4">
    <nc r="E40">
      <v>3</v>
    </nc>
  </rcc>
  <rcc rId="1064" sId="11" numFmtId="4">
    <nc r="F40">
      <v>3</v>
    </nc>
  </rcc>
  <rcc rId="1065" sId="11" numFmtId="4">
    <nc r="G40">
      <v>10</v>
    </nc>
  </rcc>
  <rcc rId="1066" sId="11" numFmtId="4">
    <nc r="H40">
      <v>0</v>
    </nc>
  </rcc>
  <rcc rId="1067" sId="11" numFmtId="4">
    <nc r="C41">
      <v>4</v>
    </nc>
  </rcc>
  <rcc rId="1068" sId="11" numFmtId="4">
    <nc r="D41">
      <v>3</v>
    </nc>
  </rcc>
  <rcc rId="1069" sId="11" numFmtId="4">
    <nc r="E41">
      <v>2</v>
    </nc>
  </rcc>
  <rcc rId="1070" sId="11" numFmtId="4">
    <nc r="F41">
      <v>4</v>
    </nc>
  </rcc>
  <rcc rId="1071" sId="11" numFmtId="4">
    <nc r="G41">
      <v>10</v>
    </nc>
  </rcc>
  <rcc rId="1072" sId="11" numFmtId="4">
    <nc r="H41">
      <v>0</v>
    </nc>
  </rcc>
  <rcc rId="1073" sId="11" numFmtId="4">
    <nc r="C42">
      <v>4</v>
    </nc>
  </rcc>
  <rcc rId="1074" sId="11" numFmtId="4">
    <nc r="D42">
      <v>2</v>
    </nc>
  </rcc>
  <rcc rId="1075" sId="11" numFmtId="4">
    <nc r="E42">
      <v>3</v>
    </nc>
  </rcc>
  <rcc rId="1076" sId="11" numFmtId="4">
    <nc r="F42">
      <v>2</v>
    </nc>
  </rcc>
  <rcc rId="1077" sId="11" numFmtId="4">
    <nc r="G42">
      <v>15</v>
    </nc>
  </rcc>
  <rcc rId="1078" sId="11" numFmtId="4">
    <nc r="H42">
      <v>2</v>
    </nc>
  </rcc>
  <rcc rId="1079" sId="11" numFmtId="4">
    <nc r="C43">
      <v>4</v>
    </nc>
  </rcc>
  <rcc rId="1080" sId="11" numFmtId="4">
    <nc r="D43">
      <v>5</v>
    </nc>
  </rcc>
  <rcc rId="1081" sId="11" numFmtId="4">
    <nc r="E43">
      <v>3</v>
    </nc>
  </rcc>
  <rcc rId="1082" sId="11" numFmtId="4">
    <nc r="F43">
      <v>5</v>
    </nc>
  </rcc>
  <rcc rId="1083" sId="11" numFmtId="4">
    <nc r="G43">
      <v>15</v>
    </nc>
  </rcc>
  <rcc rId="1084" sId="11" numFmtId="4">
    <nc r="H43">
      <v>0</v>
    </nc>
  </rcc>
  <rcc rId="1085" sId="11" numFmtId="4">
    <nc r="C44">
      <v>4</v>
    </nc>
  </rcc>
  <rcc rId="1086" sId="11" numFmtId="4">
    <nc r="D44">
      <v>1</v>
    </nc>
  </rcc>
  <rcc rId="1087" sId="11" numFmtId="4">
    <nc r="E44">
      <v>2</v>
    </nc>
  </rcc>
  <rcc rId="1088" sId="11" numFmtId="4">
    <nc r="F44">
      <v>3</v>
    </nc>
  </rcc>
  <rcc rId="1089" sId="11" numFmtId="4">
    <nc r="G44">
      <v>17</v>
    </nc>
  </rcc>
  <rcc rId="1090" sId="11" numFmtId="4">
    <nc r="H44">
      <v>0</v>
    </nc>
  </rcc>
  <rcc rId="1091" sId="11" numFmtId="4">
    <nc r="C45">
      <v>10</v>
    </nc>
  </rcc>
  <rcc rId="1092" sId="11" numFmtId="4">
    <nc r="D45">
      <v>2</v>
    </nc>
  </rcc>
  <rcc rId="1093" sId="11" numFmtId="4">
    <nc r="E45">
      <v>3</v>
    </nc>
  </rcc>
  <rcc rId="1094" sId="11" numFmtId="4">
    <nc r="F45">
      <v>16</v>
    </nc>
  </rcc>
  <rcc rId="1095" sId="11" numFmtId="4">
    <nc r="G45">
      <v>12</v>
    </nc>
  </rcc>
  <rcc rId="1096" sId="11" numFmtId="4">
    <nc r="H45">
      <v>0</v>
    </nc>
  </rcc>
  <rcc rId="1097" sId="11" numFmtId="4">
    <nc r="C46">
      <v>10</v>
    </nc>
  </rcc>
  <rcc rId="1098" sId="11" numFmtId="4">
    <nc r="D46">
      <v>1</v>
    </nc>
  </rcc>
  <rcc rId="1099" sId="11" numFmtId="4">
    <nc r="E46">
      <v>0</v>
    </nc>
  </rcc>
  <rcc rId="1100" sId="11" numFmtId="4">
    <nc r="F46">
      <v>1</v>
    </nc>
  </rcc>
  <rcc rId="1101" sId="11" numFmtId="4">
    <nc r="G46">
      <v>9</v>
    </nc>
  </rcc>
  <rcc rId="1102" sId="11" numFmtId="4">
    <nc r="H46">
      <v>1</v>
    </nc>
  </rcc>
  <rcc rId="1103" sId="11" numFmtId="4">
    <nc r="C47">
      <v>6</v>
    </nc>
  </rcc>
  <rcc rId="1104" sId="11" numFmtId="4">
    <nc r="D47">
      <v>6</v>
    </nc>
  </rcc>
  <rcc rId="1105" sId="11" numFmtId="4">
    <nc r="E47">
      <v>6</v>
    </nc>
  </rcc>
  <rcc rId="1106" sId="11" numFmtId="4">
    <nc r="F47">
      <v>0</v>
    </nc>
  </rcc>
  <rcc rId="1107" sId="11" numFmtId="4">
    <nc r="G47">
      <v>10</v>
    </nc>
  </rcc>
  <rcc rId="1108" sId="11" numFmtId="4">
    <nc r="H47">
      <v>10</v>
    </nc>
  </rcc>
  <rcc rId="1109" sId="11" numFmtId="4">
    <nc r="C48">
      <v>6</v>
    </nc>
  </rcc>
  <rcc rId="1110" sId="11" numFmtId="4">
    <nc r="D48">
      <v>5</v>
    </nc>
  </rcc>
  <rcc rId="1111" sId="11" numFmtId="4">
    <nc r="E48">
      <v>11</v>
    </nc>
  </rcc>
  <rcc rId="1112" sId="11" numFmtId="4">
    <nc r="F48">
      <v>0</v>
    </nc>
  </rcc>
  <rcc rId="1113" sId="11" numFmtId="4">
    <nc r="G48">
      <v>13</v>
    </nc>
  </rcc>
  <rcc rId="1114" sId="11" numFmtId="4">
    <nc r="H48">
      <v>8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>
  <rcc rId="1115" sId="11" numFmtId="4">
    <nc r="B56">
      <v>5</v>
    </nc>
  </rcc>
  <rcc rId="1116" sId="11" numFmtId="4">
    <nc r="B57">
      <v>5</v>
    </nc>
  </rcc>
  <rcc rId="1117" sId="11" numFmtId="4">
    <nc r="B58">
      <v>5</v>
    </nc>
  </rcc>
  <rcc rId="1118" sId="11" numFmtId="4">
    <nc r="B59">
      <v>5</v>
    </nc>
  </rcc>
  <rcc rId="1119" sId="11" numFmtId="4">
    <nc r="B60">
      <v>5</v>
    </nc>
  </rcc>
  <rcc rId="1120" sId="11" numFmtId="4">
    <nc r="B61">
      <v>5</v>
    </nc>
  </rcc>
  <rcc rId="1121" sId="11" numFmtId="4">
    <nc r="B62">
      <v>5</v>
    </nc>
  </rcc>
  <rcc rId="1122" sId="11" numFmtId="4">
    <nc r="B63">
      <v>5</v>
    </nc>
  </rcc>
  <rcc rId="1123" sId="11" numFmtId="4">
    <nc r="B64">
      <v>5</v>
    </nc>
  </rcc>
  <rcc rId="1124" sId="11" numFmtId="4">
    <nc r="B65">
      <v>5</v>
    </nc>
  </rcc>
  <rcc rId="1125" sId="11" numFmtId="4">
    <nc r="B66">
      <v>5</v>
    </nc>
  </rcc>
  <rcc rId="1126" sId="11" numFmtId="4">
    <nc r="B67">
      <v>5</v>
    </nc>
  </rcc>
  <rcc rId="1127" sId="11" numFmtId="4">
    <nc r="B68">
      <v>5</v>
    </nc>
  </rcc>
  <rcc rId="1128" sId="11" numFmtId="4">
    <nc r="B69">
      <v>5</v>
    </nc>
  </rcc>
  <rcc rId="1129" sId="11" numFmtId="4">
    <nc r="B70">
      <v>5</v>
    </nc>
  </rcc>
  <rcc rId="1130" sId="11" numFmtId="4">
    <nc r="B71">
      <v>5</v>
    </nc>
  </rcc>
  <rcc rId="1131" sId="11" numFmtId="4">
    <nc r="B72">
      <v>5</v>
    </nc>
  </rcc>
  <rcc rId="1132" sId="11" numFmtId="4">
    <nc r="B73">
      <v>5</v>
    </nc>
  </rcc>
  <rcc rId="1133" sId="11" numFmtId="4">
    <nc r="B74">
      <v>5</v>
    </nc>
  </rcc>
  <rcc rId="1134" sId="11" numFmtId="4">
    <nc r="B75">
      <v>5</v>
    </nc>
  </rcc>
  <rcc rId="1135" sId="11" numFmtId="4">
    <nc r="B76">
      <v>5</v>
    </nc>
  </rcc>
  <rcc rId="1136" sId="11" numFmtId="4">
    <nc r="B77">
      <v>5</v>
    </nc>
  </rcc>
  <rcc rId="1137" sId="11" numFmtId="4">
    <nc r="B78">
      <v>5</v>
    </nc>
  </rcc>
  <rcc rId="1138" sId="11" numFmtId="4">
    <nc r="B79">
      <v>5</v>
    </nc>
  </rcc>
  <rcc rId="1139" sId="11" numFmtId="4">
    <nc r="B80">
      <v>5</v>
    </nc>
  </rcc>
  <rcc rId="1140" sId="11" numFmtId="4">
    <nc r="B81">
      <v>5</v>
    </nc>
  </rcc>
  <rcc rId="1141" sId="11" numFmtId="4">
    <nc r="B82">
      <v>5</v>
    </nc>
  </rcc>
  <rcc rId="1142" sId="11" numFmtId="4">
    <nc r="B83">
      <v>5</v>
    </nc>
  </rcc>
  <rcc rId="1143" sId="11" numFmtId="4">
    <nc r="B84">
      <v>5</v>
    </nc>
  </rcc>
  <rcc rId="1144" sId="11" numFmtId="4">
    <nc r="B85">
      <v>5</v>
    </nc>
  </rcc>
  <rcc rId="1145" sId="11" numFmtId="4">
    <nc r="B86">
      <v>5</v>
    </nc>
  </rcc>
  <rcc rId="1146" sId="11" numFmtId="4">
    <nc r="B87">
      <v>5</v>
    </nc>
  </rcc>
  <rcc rId="1147" sId="11" numFmtId="4">
    <nc r="B88">
      <v>5</v>
    </nc>
  </rcc>
  <rcc rId="1148" sId="11" numFmtId="4">
    <nc r="B89">
      <v>5</v>
    </nc>
  </rcc>
  <rcc rId="1149" sId="11" numFmtId="4">
    <nc r="B90">
      <v>5</v>
    </nc>
  </rcc>
  <rcc rId="1150" sId="11" numFmtId="4">
    <nc r="B91">
      <v>5</v>
    </nc>
  </rcc>
  <rcc rId="1151" sId="11" numFmtId="4">
    <nc r="B92">
      <v>5</v>
    </nc>
  </rcc>
  <rcc rId="1152" sId="11" numFmtId="4">
    <nc r="B93">
      <v>5</v>
    </nc>
  </rcc>
  <rcc rId="1153" sId="11" numFmtId="4">
    <nc r="B94">
      <v>5</v>
    </nc>
  </rcc>
  <rcc rId="1154" sId="11" numFmtId="4">
    <nc r="B95">
      <v>5</v>
    </nc>
  </rcc>
  <rcc rId="1155" sId="11" numFmtId="4">
    <nc r="B96">
      <v>5</v>
    </nc>
  </rcc>
  <rcc rId="1156" sId="11" numFmtId="4">
    <nc r="B97">
      <v>5</v>
    </nc>
  </rcc>
  <rcc rId="1157" sId="11" numFmtId="4">
    <nc r="B98">
      <v>5</v>
    </nc>
  </rcc>
  <rcc rId="1158" sId="11" numFmtId="4">
    <nc r="B99">
      <v>5</v>
    </nc>
  </rcc>
  <rcc rId="1159" sId="11" numFmtId="4">
    <nc r="B100">
      <v>5</v>
    </nc>
  </rcc>
  <rcc rId="1160" sId="11" numFmtId="4">
    <nc r="B101">
      <v>5</v>
    </nc>
  </rcc>
</revisions>
</file>

<file path=xl/revisions/revisionLog25.xml><?xml version="1.0" encoding="utf-8"?>
<revisions xmlns="http://schemas.openxmlformats.org/spreadsheetml/2006/main" xmlns:r="http://schemas.openxmlformats.org/officeDocument/2006/relationships">
  <rcc rId="1161" sId="5" numFmtId="4">
    <nc r="C75">
      <v>38</v>
    </nc>
  </rcc>
  <rcc rId="1162" sId="5" numFmtId="4">
    <nc r="D75">
      <v>6</v>
    </nc>
  </rcc>
  <rcc rId="1163" sId="5" numFmtId="4">
    <nc r="E75">
      <v>7</v>
    </nc>
  </rcc>
  <rcc rId="1164" sId="5" numFmtId="4">
    <nc r="F75">
      <v>8</v>
    </nc>
  </rcc>
  <rcc rId="1165" sId="5" numFmtId="4">
    <nc r="G75">
      <v>10</v>
    </nc>
  </rcc>
  <rcc rId="1166" sId="5" numFmtId="4">
    <nc r="C76">
      <v>62</v>
    </nc>
  </rcc>
  <rcc rId="1167" sId="5" numFmtId="4">
    <nc r="D76">
      <v>5</v>
    </nc>
  </rcc>
  <rcc rId="1168" sId="5" numFmtId="4">
    <nc r="E76">
      <v>16</v>
    </nc>
  </rcc>
  <rcc rId="1169" sId="5" numFmtId="4">
    <nc r="F76">
      <v>12</v>
    </nc>
  </rcc>
  <rcc rId="1170" sId="5" numFmtId="4">
    <nc r="G76">
      <v>0</v>
    </nc>
  </rcc>
  <rcc rId="1171" sId="8" numFmtId="4">
    <nc r="B63">
      <v>12</v>
    </nc>
  </rcc>
  <rcc rId="1172" sId="8" numFmtId="4">
    <nc r="B64">
      <v>12</v>
    </nc>
  </rcc>
  <rcc rId="1173" sId="8" numFmtId="4">
    <nc r="B65">
      <v>12</v>
    </nc>
  </rcc>
  <rcc rId="1174" sId="8" numFmtId="4">
    <nc r="B66">
      <v>12</v>
    </nc>
  </rcc>
  <rcc rId="1175" sId="8" numFmtId="4">
    <nc r="C62">
      <v>29</v>
    </nc>
  </rcc>
  <rcc rId="1176" sId="8" numFmtId="4">
    <nc r="D62">
      <v>6</v>
    </nc>
  </rcc>
  <rcc rId="1177" sId="8" numFmtId="4">
    <nc r="E62">
      <v>11</v>
    </nc>
  </rcc>
  <rcc rId="1178" sId="8" numFmtId="4">
    <nc r="F62">
      <v>14</v>
    </nc>
  </rcc>
  <rcc rId="1179" sId="8" numFmtId="4">
    <nc r="G62">
      <v>0</v>
    </nc>
  </rcc>
  <rcc rId="1180" sId="8" numFmtId="4">
    <nc r="C63">
      <v>29</v>
    </nc>
  </rcc>
  <rcc rId="1181" sId="8" numFmtId="4">
    <nc r="D63">
      <v>5</v>
    </nc>
  </rcc>
  <rcc rId="1182" sId="8" numFmtId="4">
    <nc r="E63">
      <v>13</v>
    </nc>
  </rcc>
  <rcc rId="1183" sId="8" numFmtId="4">
    <nc r="F63">
      <v>12</v>
    </nc>
  </rcc>
  <rcc rId="1184" sId="8" numFmtId="4">
    <nc r="G63">
      <v>0</v>
    </nc>
  </rcc>
  <rcc rId="1185" sId="8" numFmtId="4">
    <nc r="C64">
      <v>30</v>
    </nc>
  </rcc>
  <rcc rId="1186" sId="8" numFmtId="4">
    <nc r="D64">
      <v>5</v>
    </nc>
  </rcc>
  <rcc rId="1187" sId="8" numFmtId="4">
    <nc r="E64">
      <v>8</v>
    </nc>
  </rcc>
  <rcc rId="1188" sId="8" numFmtId="4">
    <nc r="F64">
      <v>13</v>
    </nc>
  </rcc>
  <rcc rId="1189" sId="8" numFmtId="4">
    <nc r="G64">
      <v>0</v>
    </nc>
  </rcc>
</revisions>
</file>

<file path=xl/revisions/revisionLog26.xml><?xml version="1.0" encoding="utf-8"?>
<revisions xmlns="http://schemas.openxmlformats.org/spreadsheetml/2006/main" xmlns:r="http://schemas.openxmlformats.org/officeDocument/2006/relationships">
  <rcc rId="1190" sId="11" numFmtId="4">
    <nc r="C49">
      <v>13</v>
    </nc>
  </rcc>
  <rcc rId="1191" sId="11" numFmtId="4">
    <nc r="D49">
      <v>7</v>
    </nc>
  </rcc>
  <rcc rId="1192" sId="11" numFmtId="4">
    <nc r="E49">
      <v>4</v>
    </nc>
  </rcc>
  <rcc rId="1193" sId="11" numFmtId="4">
    <nc r="F49">
      <v>0</v>
    </nc>
  </rcc>
  <rcc rId="1194" sId="11" numFmtId="4">
    <nc r="G49">
      <v>1</v>
    </nc>
  </rcc>
  <rcc rId="1195" sId="11" numFmtId="4">
    <nc r="H49">
      <v>0</v>
    </nc>
  </rcc>
</revisions>
</file>

<file path=xl/revisions/revisionLog27.xml><?xml version="1.0" encoding="utf-8"?>
<revisions xmlns="http://schemas.openxmlformats.org/spreadsheetml/2006/main" xmlns:r="http://schemas.openxmlformats.org/officeDocument/2006/relationships">
  <rcc rId="1196" sId="8" numFmtId="4">
    <nc r="C12">
      <v>19</v>
    </nc>
  </rcc>
  <rcc rId="1197" sId="8" numFmtId="4">
    <nc r="C65">
      <v>19</v>
    </nc>
  </rcc>
  <rcc rId="1198" sId="8" numFmtId="4">
    <nc r="D65">
      <v>7</v>
    </nc>
  </rcc>
  <rcc rId="1199" sId="8" numFmtId="4">
    <nc r="E65">
      <v>6</v>
    </nc>
  </rcc>
  <rcc rId="1200" sId="8" numFmtId="4">
    <nc r="F65">
      <v>4</v>
    </nc>
  </rcc>
  <rcc rId="1201" sId="8" numFmtId="4">
    <nc r="G65">
      <v>0</v>
    </nc>
  </rcc>
  <rcc rId="1202" sId="8" numFmtId="4">
    <nc r="C66">
      <v>23</v>
    </nc>
  </rcc>
  <rcc rId="1203" sId="8" numFmtId="4">
    <nc r="D66">
      <v>7</v>
    </nc>
  </rcc>
  <rcc rId="1204" sId="8" numFmtId="4">
    <nc r="E66">
      <v>11</v>
    </nc>
  </rcc>
  <rcc rId="1205" sId="8" numFmtId="4">
    <nc r="F66">
      <v>11</v>
    </nc>
  </rcc>
  <rcc rId="1206" sId="8" numFmtId="4">
    <nc r="G66">
      <v>3</v>
    </nc>
  </rcc>
  <rcc rId="1207" sId="8" numFmtId="4">
    <nc r="B67">
      <v>12</v>
    </nc>
  </rcc>
  <rcc rId="1208" sId="8" numFmtId="4">
    <nc r="B68">
      <v>12</v>
    </nc>
  </rcc>
  <rcc rId="1209" sId="8" numFmtId="4">
    <nc r="B69">
      <v>12</v>
    </nc>
  </rcc>
  <rcc rId="1210" sId="8" numFmtId="4">
    <nc r="B70">
      <v>12</v>
    </nc>
  </rcc>
  <rcc rId="1211" sId="8" numFmtId="4">
    <nc r="B71">
      <v>12</v>
    </nc>
  </rcc>
  <rcc rId="1212" sId="8" numFmtId="4">
    <nc r="B72">
      <v>12</v>
    </nc>
  </rcc>
  <rcc rId="1213" sId="8" numFmtId="4">
    <nc r="B73">
      <v>12</v>
    </nc>
  </rcc>
  <rcc rId="1214" sId="8" numFmtId="4">
    <nc r="B74">
      <v>12</v>
    </nc>
  </rcc>
  <rcc rId="1215" sId="8" numFmtId="4">
    <nc r="B75">
      <v>12</v>
    </nc>
  </rcc>
  <rcc rId="1216" sId="8" numFmtId="4">
    <nc r="B76">
      <v>12</v>
    </nc>
  </rcc>
  <rcc rId="1217" sId="8" numFmtId="4">
    <nc r="B77">
      <v>12</v>
    </nc>
  </rcc>
  <rcc rId="1218" sId="8" numFmtId="4">
    <nc r="B78">
      <v>12</v>
    </nc>
  </rcc>
  <rcc rId="1219" sId="8" numFmtId="4">
    <nc r="B79">
      <v>12</v>
    </nc>
  </rcc>
  <rcc rId="1220" sId="8" numFmtId="4">
    <nc r="B80">
      <v>12</v>
    </nc>
  </rcc>
  <rcc rId="1221" sId="8" numFmtId="4">
    <nc r="B81">
      <v>12</v>
    </nc>
  </rcc>
  <rcc rId="1222" sId="8" numFmtId="4">
    <nc r="B82">
      <v>12</v>
    </nc>
  </rcc>
  <rcc rId="1223" sId="8" numFmtId="4">
    <nc r="C67">
      <v>32</v>
    </nc>
  </rcc>
  <rcc rId="1224" sId="8" numFmtId="4">
    <nc r="D67">
      <v>3</v>
    </nc>
  </rcc>
  <rcc rId="1225" sId="8" numFmtId="4">
    <nc r="E67">
      <v>25</v>
    </nc>
  </rcc>
  <rcc rId="1226" sId="8" numFmtId="4">
    <nc r="F67">
      <v>23</v>
    </nc>
  </rcc>
  <rcc rId="1227" sId="8" numFmtId="4">
    <nc r="G67">
      <v>2</v>
    </nc>
  </rcc>
  <rcc rId="1228" sId="8" numFmtId="4">
    <nc r="C68">
      <v>26</v>
    </nc>
  </rcc>
  <rcc rId="1229" sId="8" numFmtId="4">
    <nc r="D68">
      <v>6</v>
    </nc>
  </rcc>
  <rcc rId="1230" sId="8" numFmtId="4">
    <nc r="E68">
      <v>11</v>
    </nc>
  </rcc>
  <rcc rId="1231" sId="8" numFmtId="4">
    <nc r="F68">
      <v>28</v>
    </nc>
  </rcc>
  <rcc rId="1232" sId="8" numFmtId="4">
    <nc r="G68">
      <v>0</v>
    </nc>
  </rcc>
  <rcc rId="1233" sId="8" numFmtId="4">
    <nc r="C69">
      <v>27</v>
    </nc>
  </rcc>
  <rcc rId="1234" sId="8" numFmtId="4">
    <nc r="D69">
      <v>5</v>
    </nc>
  </rcc>
  <rcc rId="1235" sId="8" numFmtId="4">
    <nc r="E69">
      <v>4</v>
    </nc>
  </rcc>
  <rcc rId="1236" sId="8" numFmtId="4">
    <nc r="F69">
      <v>5</v>
    </nc>
  </rcc>
  <rcc rId="1237" sId="8" numFmtId="4">
    <nc r="G69">
      <v>0</v>
    </nc>
  </rcc>
  <rcc rId="1238" sId="8" numFmtId="4">
    <nc r="C70">
      <v>27</v>
    </nc>
  </rcc>
  <rcc rId="1239" sId="8" numFmtId="4">
    <nc r="D70">
      <v>4</v>
    </nc>
  </rcc>
  <rcc rId="1240" sId="8" numFmtId="4">
    <nc r="E70">
      <v>5</v>
    </nc>
  </rcc>
  <rcc rId="1241" sId="8" numFmtId="4">
    <nc r="F70">
      <v>3</v>
    </nc>
  </rcc>
  <rcc rId="1242" sId="8" numFmtId="4">
    <nc r="G70">
      <v>0</v>
    </nc>
  </rcc>
  <rcc rId="1243" sId="8" numFmtId="4">
    <nc r="C71">
      <v>25</v>
    </nc>
  </rcc>
  <rcc rId="1244" sId="8" numFmtId="4">
    <nc r="D71">
      <v>4</v>
    </nc>
  </rcc>
  <rcc rId="1245" sId="8" numFmtId="4">
    <nc r="E71">
      <v>8</v>
    </nc>
  </rcc>
  <rcc rId="1246" sId="8" numFmtId="4">
    <nc r="F71">
      <v>11</v>
    </nc>
  </rcc>
  <rcc rId="1247" sId="8" numFmtId="4">
    <nc r="G71">
      <v>4</v>
    </nc>
  </rcc>
  <rcc rId="1248" sId="5" numFmtId="4">
    <nc r="C77">
      <v>50</v>
    </nc>
  </rcc>
  <rcc rId="1249" sId="5" numFmtId="4">
    <nc r="D77">
      <v>6</v>
    </nc>
  </rcc>
  <rcc rId="1250" sId="5" numFmtId="4">
    <nc r="E77">
      <v>13</v>
    </nc>
  </rcc>
  <rcc rId="1251" sId="5" numFmtId="4">
    <nc r="F77">
      <v>12</v>
    </nc>
  </rcc>
  <rcc rId="1252" sId="5" numFmtId="4">
    <nc r="G77">
      <v>0</v>
    </nc>
  </rcc>
  <rcc rId="1253" sId="5" numFmtId="4">
    <nc r="B77">
      <v>18</v>
    </nc>
  </rcc>
  <rcc rId="1254" sId="5" numFmtId="4">
    <nc r="B78">
      <v>18</v>
    </nc>
  </rcc>
  <rcc rId="1255" sId="5" numFmtId="4">
    <nc r="B79">
      <v>18</v>
    </nc>
  </rcc>
  <rcc rId="1256" sId="5" numFmtId="4">
    <nc r="B80">
      <v>18</v>
    </nc>
  </rcc>
  <rcc rId="1257" sId="5" numFmtId="4">
    <nc r="B81">
      <v>18</v>
    </nc>
  </rcc>
  <rcc rId="1258" sId="5" numFmtId="4">
    <nc r="B82">
      <v>18</v>
    </nc>
  </rcc>
  <rcc rId="1259" sId="5" numFmtId="4">
    <nc r="B83">
      <v>18</v>
    </nc>
  </rcc>
  <rcc rId="1260" sId="5" numFmtId="4">
    <nc r="B84">
      <v>18</v>
    </nc>
  </rcc>
  <rcc rId="1261" sId="5" numFmtId="4">
    <nc r="B85">
      <v>18</v>
    </nc>
  </rcc>
  <rcc rId="1262" sId="5" numFmtId="4">
    <nc r="B86">
      <v>18</v>
    </nc>
  </rcc>
  <rcc rId="1263" sId="5" numFmtId="4">
    <nc r="B87">
      <v>18</v>
    </nc>
  </rcc>
  <rcc rId="1264" sId="5" numFmtId="4">
    <nc r="B88">
      <v>18</v>
    </nc>
  </rcc>
  <rcc rId="1265" sId="5" numFmtId="4">
    <nc r="B89">
      <v>18</v>
    </nc>
  </rcc>
  <rcc rId="1266" sId="5" numFmtId="4">
    <nc r="B90">
      <v>18</v>
    </nc>
  </rcc>
  <rcc rId="1267" sId="5" numFmtId="4">
    <nc r="B91">
      <v>18</v>
    </nc>
  </rcc>
  <rcc rId="1268" sId="5" numFmtId="4">
    <nc r="B92">
      <v>18</v>
    </nc>
  </rcc>
  <rcc rId="1269" sId="5" numFmtId="4">
    <nc r="B93">
      <v>18</v>
    </nc>
  </rcc>
  <rcc rId="1270" sId="5" numFmtId="4">
    <nc r="B94">
      <v>18</v>
    </nc>
  </rcc>
  <rcc rId="1271" sId="5" numFmtId="4">
    <nc r="B95">
      <v>18</v>
    </nc>
  </rcc>
  <rcc rId="1272" sId="5" numFmtId="4">
    <nc r="B96">
      <v>18</v>
    </nc>
  </rcc>
  <rcc rId="1273" sId="5" numFmtId="4">
    <nc r="B97">
      <v>18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>
  <rcc rId="1274" sId="11" numFmtId="4">
    <nc r="C50">
      <v>3</v>
    </nc>
  </rcc>
  <rcc rId="1275" sId="11" numFmtId="4">
    <nc r="D50">
      <v>5</v>
    </nc>
  </rcc>
  <rcc rId="1276" sId="11" numFmtId="4">
    <nc r="E50">
      <v>3</v>
    </nc>
  </rcc>
  <rcc rId="1277" sId="11" numFmtId="4">
    <nc r="F50">
      <v>1</v>
    </nc>
  </rcc>
  <rcc rId="1278" sId="11" numFmtId="4">
    <nc r="G50">
      <v>9</v>
    </nc>
  </rcc>
  <rcc rId="1279" sId="11" numFmtId="4">
    <nc r="H50">
      <v>1</v>
    </nc>
  </rcc>
  <rcc rId="1280" sId="11" numFmtId="4">
    <nc r="C51">
      <v>3</v>
    </nc>
  </rcc>
  <rcc rId="1281" sId="11" numFmtId="4">
    <nc r="D51">
      <v>4</v>
    </nc>
  </rcc>
  <rcc rId="1282" sId="11" numFmtId="4">
    <nc r="E51">
      <v>0</v>
    </nc>
  </rcc>
  <rcc rId="1283" sId="11" numFmtId="4">
    <nc r="F51">
      <v>0</v>
    </nc>
  </rcc>
  <rcc rId="1284" sId="11" numFmtId="4">
    <nc r="G51">
      <v>3</v>
    </nc>
  </rcc>
  <rcc rId="1285" sId="11" numFmtId="4">
    <nc r="H51">
      <v>0</v>
    </nc>
  </rcc>
  <rcc rId="1286" sId="11" numFmtId="4">
    <nc r="C52">
      <v>3</v>
    </nc>
  </rcc>
  <rcc rId="1287" sId="11" numFmtId="4">
    <nc r="D52">
      <v>3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>
  <rcc rId="1288" sId="5" numFmtId="4">
    <nc r="C78">
      <v>43</v>
    </nc>
  </rcc>
  <rcc rId="1289" sId="5" numFmtId="4">
    <nc r="D78">
      <v>6</v>
    </nc>
  </rcc>
  <rcc rId="1290" sId="5" numFmtId="4">
    <nc r="E78">
      <v>8</v>
    </nc>
  </rcc>
  <rcc rId="1291" sId="5" numFmtId="4">
    <nc r="F78">
      <v>4</v>
    </nc>
  </rcc>
  <rcc rId="1292" sId="5" numFmtId="4">
    <nc r="G78">
      <v>2</v>
    </nc>
  </rcc>
  <rcc rId="1293" sId="5" numFmtId="4">
    <nc r="C79">
      <v>48</v>
    </nc>
  </rcc>
  <rcc rId="1294" sId="5" numFmtId="4">
    <nc r="D79">
      <v>6</v>
    </nc>
  </rcc>
  <rcc rId="1295" sId="5" numFmtId="4">
    <nc r="E79">
      <v>6</v>
    </nc>
  </rcc>
  <rcc rId="1296" sId="5" numFmtId="4">
    <nc r="F79">
      <v>12</v>
    </nc>
  </rcc>
  <rcc rId="1297" sId="5" numFmtId="4">
    <nc r="G79">
      <v>4</v>
    </nc>
  </rcc>
  <rcc rId="1298" sId="8" numFmtId="4">
    <nc r="C72">
      <v>18</v>
    </nc>
  </rcc>
  <rcc rId="1299" sId="8" numFmtId="4">
    <nc r="D72">
      <v>6</v>
    </nc>
  </rcc>
  <rcc rId="1300" sId="8" numFmtId="4">
    <nc r="E72">
      <v>10</v>
    </nc>
  </rcc>
  <rcc rId="1301" sId="8" numFmtId="4">
    <nc r="F72">
      <v>8</v>
    </nc>
  </rcc>
  <rcc rId="1302" sId="8" numFmtId="4">
    <nc r="G72">
      <v>0</v>
    </nc>
  </rcc>
  <rcc rId="1303" sId="8" numFmtId="4">
    <nc r="C73">
      <v>34</v>
    </nc>
  </rcc>
  <rcc rId="1304" sId="8" numFmtId="4">
    <nc r="D73">
      <v>6</v>
    </nc>
  </rcc>
  <rcc rId="1305" sId="8" numFmtId="4">
    <nc r="E73">
      <v>11</v>
    </nc>
  </rcc>
  <rcc rId="1306" sId="8" numFmtId="4">
    <nc r="F73">
      <v>34</v>
    </nc>
  </rcc>
  <rcc rId="1307" sId="8" numFmtId="4">
    <nc r="G73">
      <v>0</v>
    </nc>
  </rcc>
  <rcc rId="1308" sId="8" numFmtId="4">
    <nc r="C74">
      <v>21</v>
    </nc>
  </rcc>
  <rcc rId="1309" sId="8" numFmtId="4">
    <nc r="D74">
      <v>6</v>
    </nc>
  </rcc>
  <rcc rId="1310" sId="8" numFmtId="4">
    <nc r="E74">
      <v>4</v>
    </nc>
  </rcc>
  <rcc rId="1311" sId="8" numFmtId="4">
    <nc r="F74">
      <v>12</v>
    </nc>
  </rcc>
  <rcc rId="1312" sId="8" numFmtId="4">
    <nc r="G74">
      <v>1</v>
    </nc>
  </rcc>
  <rcc rId="1313" sId="5" numFmtId="4">
    <nc r="C80">
      <v>55</v>
    </nc>
  </rcc>
  <rcc rId="1314" sId="5" numFmtId="4">
    <nc r="D80">
      <v>6</v>
    </nc>
  </rcc>
  <rcc rId="1315" sId="5" numFmtId="4">
    <nc r="E80">
      <v>7</v>
    </nc>
  </rcc>
  <rcc rId="1316" sId="5" numFmtId="4">
    <nc r="F80">
      <v>11</v>
    </nc>
  </rcc>
  <rcc rId="1317" sId="5" numFmtId="4">
    <nc r="G80">
      <v>0</v>
    </nc>
  </rcc>
  <rcc rId="1318" sId="5" numFmtId="4">
    <nc r="C81">
      <v>39</v>
    </nc>
  </rcc>
  <rcc rId="1319" sId="5" numFmtId="4">
    <nc r="D81">
      <v>8</v>
    </nc>
  </rcc>
  <rcc rId="1320" sId="5" numFmtId="4">
    <nc r="E81">
      <v>10</v>
    </nc>
  </rcc>
  <rcc rId="1321" sId="5" numFmtId="4">
    <nc r="F81">
      <v>6</v>
    </nc>
  </rcc>
  <rcc rId="1322" sId="5" numFmtId="4">
    <nc r="G81">
      <v>9</v>
    </nc>
  </rcc>
  <rcc rId="1323" sId="8" numFmtId="4">
    <nc r="C75">
      <v>24</v>
    </nc>
  </rcc>
  <rcc rId="1324" sId="8" numFmtId="4">
    <nc r="D75">
      <v>7</v>
    </nc>
  </rcc>
  <rcc rId="1325" sId="8" numFmtId="4">
    <nc r="E75">
      <v>14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>
  <rcc rId="1343" sId="11" numFmtId="4">
    <nc r="C55">
      <v>8</v>
    </nc>
  </rcc>
  <rcc rId="1344" sId="11" numFmtId="4">
    <nc r="D55">
      <v>5</v>
    </nc>
  </rcc>
  <rcc rId="1345" sId="11" numFmtId="4">
    <nc r="E55">
      <v>13</v>
    </nc>
  </rcc>
  <rcc rId="1346" sId="11" numFmtId="4">
    <nc r="F55">
      <v>0</v>
    </nc>
  </rcc>
  <rcc rId="1347" sId="11" numFmtId="4">
    <nc r="G55">
      <v>15</v>
    </nc>
  </rcc>
  <rcc rId="1348" sId="11" numFmtId="4">
    <nc r="H55">
      <v>0</v>
    </nc>
  </rcc>
  <rcc rId="1349" sId="11" numFmtId="4">
    <nc r="C56">
      <v>1</v>
    </nc>
  </rcc>
  <rcc rId="1350" sId="11" numFmtId="4">
    <nc r="D56">
      <v>6</v>
    </nc>
  </rcc>
  <rcc rId="1351" sId="11" numFmtId="4">
    <nc r="E56">
      <v>8</v>
    </nc>
  </rcc>
  <rcc rId="1352" sId="11" numFmtId="4">
    <nc r="F56">
      <v>1</v>
    </nc>
  </rcc>
  <rcc rId="1353" sId="11" numFmtId="4">
    <nc r="G56">
      <v>10</v>
    </nc>
  </rcc>
  <rcc rId="1354" sId="11" numFmtId="4">
    <nc r="H56">
      <v>1</v>
    </nc>
  </rcc>
  <rcc rId="1355" sId="11" numFmtId="4">
    <nc r="C57">
      <v>7</v>
    </nc>
  </rcc>
  <rcc rId="1356" sId="11" numFmtId="4">
    <nc r="D57">
      <v>5</v>
    </nc>
  </rcc>
  <rcc rId="1357" sId="11" numFmtId="4">
    <nc r="E57">
      <v>16</v>
    </nc>
  </rcc>
  <rcc rId="1358" sId="11" numFmtId="4">
    <nc r="F57">
      <v>6</v>
    </nc>
  </rcc>
  <rcc rId="1359" sId="11" numFmtId="4">
    <nc r="G57">
      <v>12</v>
    </nc>
  </rcc>
  <rcc rId="1360" sId="11" numFmtId="4">
    <nc r="H57">
      <v>2</v>
    </nc>
  </rcc>
  <rcc rId="1361" sId="11" numFmtId="4">
    <nc r="C58">
      <v>7</v>
    </nc>
  </rcc>
  <rcc rId="1362" sId="11" numFmtId="4">
    <nc r="D58">
      <v>6</v>
    </nc>
  </rcc>
  <rcc rId="1363" sId="11" numFmtId="4">
    <nc r="E58">
      <v>9</v>
    </nc>
  </rcc>
  <rcc rId="1364" sId="11" numFmtId="4">
    <nc r="F58">
      <v>3</v>
    </nc>
  </rcc>
  <rcc rId="1365" sId="11" numFmtId="4">
    <nc r="G58">
      <v>12</v>
    </nc>
  </rcc>
  <rcc rId="1366" sId="11" numFmtId="4">
    <nc r="H58">
      <v>7</v>
    </nc>
  </rcc>
  <rcc rId="1367" sId="11" numFmtId="4">
    <nc r="C59">
      <v>7</v>
    </nc>
  </rcc>
  <rcc rId="1368" sId="11" numFmtId="4">
    <nc r="D59">
      <v>7</v>
    </nc>
  </rcc>
  <rcc rId="1369" sId="11" numFmtId="4">
    <nc r="E59">
      <v>12</v>
    </nc>
  </rcc>
  <rcc rId="1370" sId="11" numFmtId="4">
    <nc r="F59">
      <v>2</v>
    </nc>
  </rcc>
  <rcc rId="1371" sId="11" numFmtId="4">
    <nc r="G59">
      <v>10</v>
    </nc>
  </rcc>
  <rcc rId="1372" sId="11" numFmtId="4">
    <nc r="H59">
      <v>3</v>
    </nc>
  </rcc>
  <rcc rId="1373" sId="11" numFmtId="4">
    <nc r="C60">
      <v>6</v>
    </nc>
  </rcc>
  <rcc rId="1374" sId="11" numFmtId="4">
    <nc r="D60">
      <v>6</v>
    </nc>
  </rcc>
  <rcc rId="1375" sId="11" numFmtId="4">
    <nc r="E60">
      <v>6</v>
    </nc>
  </rcc>
  <rcc rId="1376" sId="11" numFmtId="4">
    <nc r="F60">
      <v>0</v>
    </nc>
  </rcc>
  <rcc rId="1377" sId="11" numFmtId="4">
    <nc r="G60">
      <v>10</v>
    </nc>
  </rcc>
  <rcc rId="1378" sId="11" numFmtId="4">
    <nc r="H60">
      <v>10</v>
    </nc>
  </rcc>
  <rcc rId="1379" sId="11" numFmtId="4">
    <nc r="C61">
      <v>6</v>
    </nc>
  </rcc>
  <rcc rId="1380" sId="11" numFmtId="4">
    <nc r="D61">
      <v>7</v>
    </nc>
  </rcc>
  <rcc rId="1381" sId="11" numFmtId="4">
    <nc r="E61">
      <v>7</v>
    </nc>
  </rcc>
  <rcc rId="1382" sId="11" numFmtId="4">
    <nc r="F61">
      <v>1</v>
    </nc>
  </rcc>
  <rcc rId="1383" sId="11" numFmtId="4">
    <nc r="G61">
      <v>14</v>
    </nc>
  </rcc>
  <rcc rId="1384" sId="11" numFmtId="4">
    <nc r="H61">
      <v>7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>
  <rcc rId="1385" sId="8" numFmtId="4">
    <nc r="G75">
      <v>0</v>
    </nc>
  </rcc>
  <rcc rId="1386" sId="8" numFmtId="4">
    <nc r="C76">
      <v>32</v>
    </nc>
  </rcc>
  <rcc rId="1387" sId="8" numFmtId="4">
    <nc r="D76">
      <v>4</v>
    </nc>
  </rcc>
  <rcc rId="1388" sId="8" numFmtId="4">
    <nc r="E76">
      <v>6</v>
    </nc>
  </rcc>
  <rcc rId="1389" sId="8" numFmtId="4">
    <nc r="F76">
      <v>3</v>
    </nc>
  </rcc>
  <rcc rId="1390" sId="8" numFmtId="4">
    <nc r="G76">
      <v>1</v>
    </nc>
  </rcc>
  <rcc rId="1391" sId="5" numFmtId="4">
    <nc r="C82">
      <v>62</v>
    </nc>
  </rcc>
  <rcc rId="1392" sId="5" numFmtId="4">
    <nc r="D82">
      <v>6</v>
    </nc>
  </rcc>
  <rcc rId="1393" sId="5" numFmtId="4">
    <nc r="E82">
      <v>17</v>
    </nc>
  </rcc>
  <rcc rId="1394" sId="5" numFmtId="4">
    <nc r="F82">
      <v>9</v>
    </nc>
  </rcc>
  <rcc rId="1395" sId="5" numFmtId="4">
    <nc r="G82">
      <v>0</v>
    </nc>
  </rcc>
  <rcc rId="1396" sId="5" numFmtId="4">
    <nc r="C83">
      <v>61</v>
    </nc>
  </rcc>
  <rcc rId="1397" sId="5" numFmtId="4">
    <nc r="D83">
      <v>6</v>
    </nc>
  </rcc>
  <rcc rId="1398" sId="5" numFmtId="4">
    <nc r="E83">
      <v>8</v>
    </nc>
  </rcc>
  <rcc rId="1399" sId="5" numFmtId="4">
    <nc r="F83">
      <v>12</v>
    </nc>
  </rcc>
  <rcc rId="1400" sId="5" numFmtId="4">
    <nc r="G83">
      <v>0</v>
    </nc>
  </rcc>
  <rcc rId="1401" sId="5" numFmtId="4">
    <nc r="C84">
      <v>44</v>
    </nc>
  </rcc>
  <rcc rId="1402" sId="5" numFmtId="4">
    <nc r="D84">
      <v>7</v>
    </nc>
  </rcc>
  <rcc rId="1403" sId="5" numFmtId="4">
    <nc r="E84">
      <v>6</v>
    </nc>
  </rcc>
  <rcc rId="1404" sId="5" numFmtId="4">
    <nc r="F84">
      <v>3</v>
    </nc>
  </rcc>
  <rcc rId="1405" sId="5" numFmtId="4">
    <nc r="G84">
      <v>2</v>
    </nc>
  </rcc>
  <rcc rId="1406" sId="5" numFmtId="4">
    <nc r="C85">
      <v>44</v>
    </nc>
  </rcc>
  <rcc rId="1407" sId="5" numFmtId="4">
    <nc r="D85">
      <v>6</v>
    </nc>
  </rcc>
  <rcc rId="1408" sId="5" numFmtId="4">
    <nc r="E85">
      <v>5</v>
    </nc>
  </rcc>
  <rcc rId="1409" sId="5" numFmtId="4">
    <nc r="F85">
      <v>4</v>
    </nc>
  </rcc>
  <rcc rId="1410" sId="5" numFmtId="4">
    <nc r="G85">
      <v>1</v>
    </nc>
  </rcc>
  <rcc rId="1411" sId="5" numFmtId="4">
    <nc r="C86">
      <v>49</v>
    </nc>
  </rcc>
  <rcc rId="1412" sId="5" numFmtId="4">
    <nc r="D86">
      <v>7</v>
    </nc>
  </rcc>
  <rcc rId="1413" sId="5" numFmtId="4">
    <nc r="E86">
      <v>5</v>
    </nc>
  </rcc>
  <rcc rId="1414" sId="5" numFmtId="4">
    <nc r="F86">
      <v>2</v>
    </nc>
  </rcc>
  <rcc rId="1415" sId="5" numFmtId="4">
    <nc r="G86">
      <v>2</v>
    </nc>
  </rcc>
  <rcc rId="1416" sId="5" numFmtId="4">
    <nc r="C87">
      <v>51</v>
    </nc>
  </rcc>
  <rcc rId="1417" sId="5" numFmtId="4">
    <nc r="D87">
      <v>6</v>
    </nc>
  </rcc>
  <rcc rId="1418" sId="5" numFmtId="4">
    <nc r="E87">
      <v>3</v>
    </nc>
  </rcc>
  <rcc rId="1419" sId="5" numFmtId="4">
    <nc r="F87">
      <v>15</v>
    </nc>
  </rcc>
  <rcc rId="1420" sId="5" numFmtId="4">
    <nc r="G87">
      <v>4</v>
    </nc>
  </rcc>
  <rcc rId="1421" sId="8" numFmtId="4">
    <nc r="C77">
      <v>28</v>
    </nc>
  </rcc>
  <rcc rId="1422" sId="8" numFmtId="4">
    <nc r="D77">
      <v>6</v>
    </nc>
  </rcc>
  <rcc rId="1423" sId="8" numFmtId="4">
    <nc r="E77">
      <v>2</v>
    </nc>
  </rcc>
  <rcc rId="1424" sId="8" numFmtId="4">
    <nc r="F77">
      <v>20</v>
    </nc>
  </rcc>
  <rcc rId="1425" sId="8" numFmtId="4">
    <nc r="G77">
      <v>0</v>
    </nc>
  </rcc>
  <rcc rId="1426" sId="5" numFmtId="4">
    <nc r="C88">
      <v>48</v>
    </nc>
  </rcc>
  <rcc rId="1427" sId="5" numFmtId="4">
    <nc r="D88">
      <v>1</v>
    </nc>
  </rcc>
  <rcc rId="1428" sId="5" numFmtId="4">
    <nc r="E88">
      <v>11</v>
    </nc>
  </rcc>
  <rcc rId="1429" sId="5" numFmtId="4">
    <nc r="F88">
      <v>6</v>
    </nc>
  </rcc>
  <rcc rId="1430" sId="5" numFmtId="4">
    <nc r="G88">
      <v>3</v>
    </nc>
  </rcc>
  <rcc rId="1431" sId="5" numFmtId="4">
    <nc r="C89">
      <v>49</v>
    </nc>
  </rcc>
  <rcc rId="1432" sId="5" numFmtId="4">
    <nc r="D89">
      <v>9</v>
    </nc>
  </rcc>
  <rcc rId="1433" sId="5" numFmtId="4">
    <nc r="E89">
      <v>5</v>
    </nc>
  </rcc>
  <rcc rId="1434" sId="5" numFmtId="4">
    <nc r="F89">
      <v>2</v>
    </nc>
  </rcc>
  <rcc rId="1435" sId="5" numFmtId="4">
    <nc r="G89">
      <v>2</v>
    </nc>
  </rcc>
  <rcc rId="1436" sId="8" numFmtId="4">
    <nc r="C78">
      <v>18</v>
    </nc>
  </rcc>
  <rcc rId="1437" sId="8" numFmtId="4">
    <nc r="D78">
      <v>7</v>
    </nc>
  </rcc>
  <rcc rId="1438" sId="8" numFmtId="4">
    <nc r="E78">
      <v>3</v>
    </nc>
  </rcc>
  <rcc rId="1439" sId="8" numFmtId="4">
    <nc r="F78">
      <v>10</v>
    </nc>
  </rcc>
  <rcc rId="1440" sId="8" numFmtId="4">
    <nc r="G78">
      <v>0</v>
    </nc>
  </rcc>
</revisions>
</file>

<file path=xl/revisions/revisionLog32.xml><?xml version="1.0" encoding="utf-8"?>
<revisions xmlns="http://schemas.openxmlformats.org/spreadsheetml/2006/main" xmlns:r="http://schemas.openxmlformats.org/officeDocument/2006/relationships">
  <rcc rId="1441" sId="11" numFmtId="4">
    <nc r="C62">
      <v>1</v>
    </nc>
  </rcc>
  <rcc rId="1442" sId="11" numFmtId="4">
    <nc r="D62">
      <v>6</v>
    </nc>
  </rcc>
  <rcc rId="1443" sId="11" numFmtId="4">
    <nc r="E62">
      <v>6</v>
    </nc>
  </rcc>
  <rcc rId="1444" sId="11" numFmtId="4">
    <nc r="F62">
      <v>5</v>
    </nc>
  </rcc>
  <rcc rId="1445" sId="11" numFmtId="4">
    <nc r="G62">
      <v>9</v>
    </nc>
  </rcc>
  <rcc rId="1446" sId="11" numFmtId="4">
    <nc r="H62">
      <v>0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>
  <rcc rId="1447" sId="8" numFmtId="4">
    <nc r="C79">
      <v>32</v>
    </nc>
  </rcc>
  <rcc rId="1448" sId="8" numFmtId="4">
    <nc r="D79">
      <v>5</v>
    </nc>
  </rcc>
  <rcc rId="1449" sId="8" numFmtId="4">
    <nc r="E79">
      <v>20</v>
    </nc>
  </rcc>
  <rcc rId="1450" sId="8" numFmtId="4">
    <nc r="F79">
      <v>22</v>
    </nc>
  </rcc>
  <rcc rId="1451" sId="8" numFmtId="4">
    <nc r="G79">
      <v>0</v>
    </nc>
  </rcc>
  <rcc rId="1452" sId="8" numFmtId="4">
    <nc r="C80">
      <v>33</v>
    </nc>
  </rcc>
  <rcc rId="1453" sId="8" numFmtId="4">
    <nc r="D80">
      <v>8</v>
    </nc>
  </rcc>
  <rcc rId="1454" sId="8" numFmtId="4">
    <nc r="E80">
      <v>6</v>
    </nc>
  </rcc>
  <rcc rId="1455" sId="8" numFmtId="4">
    <nc r="F80">
      <v>13</v>
    </nc>
  </rcc>
  <rcc rId="1456" sId="8" numFmtId="4">
    <nc r="G80">
      <v>1</v>
    </nc>
  </rcc>
  <rcc rId="1457" sId="8" numFmtId="4">
    <nc r="C81">
      <v>19</v>
    </nc>
  </rcc>
  <rcc rId="1458" sId="8" numFmtId="4">
    <nc r="D81">
      <v>8</v>
    </nc>
  </rcc>
  <rcc rId="1459" sId="8" numFmtId="4">
    <nc r="E81">
      <v>5</v>
    </nc>
  </rcc>
  <rcc rId="1460" sId="8" numFmtId="4">
    <nc r="F81">
      <v>4</v>
    </nc>
  </rcc>
  <rcc rId="1461" sId="8" numFmtId="4">
    <nc r="G81">
      <v>0</v>
    </nc>
  </rcc>
  <rcc rId="1462" sId="8" numFmtId="4">
    <nc r="C82">
      <v>23</v>
    </nc>
  </rcc>
  <rcc rId="1463" sId="8" numFmtId="4">
    <nc r="D82">
      <v>8</v>
    </nc>
  </rcc>
  <rcc rId="1464" sId="8" numFmtId="4">
    <nc r="E82">
      <v>13</v>
    </nc>
  </rcc>
  <rcc rId="1465" sId="8" numFmtId="4">
    <nc r="F82">
      <v>10</v>
    </nc>
  </rcc>
  <rcc rId="1466" sId="8" numFmtId="4">
    <nc r="G82">
      <v>2</v>
    </nc>
  </rcc>
  <rcc rId="1467" sId="8" numFmtId="4">
    <nc r="B83">
      <v>12</v>
    </nc>
  </rcc>
  <rcc rId="1468" sId="8" numFmtId="4">
    <nc r="B84">
      <v>12</v>
    </nc>
  </rcc>
  <rcc rId="1469" sId="8" numFmtId="4">
    <nc r="B85">
      <v>12</v>
    </nc>
  </rcc>
  <rcc rId="1470" sId="8" numFmtId="4">
    <nc r="B86">
      <v>12</v>
    </nc>
  </rcc>
  <rcc rId="1471" sId="8" numFmtId="4">
    <nc r="B87">
      <v>12</v>
    </nc>
  </rcc>
  <rcc rId="1472" sId="8" numFmtId="4">
    <nc r="B88">
      <v>12</v>
    </nc>
  </rcc>
  <rcc rId="1473" sId="8" numFmtId="4">
    <nc r="B89">
      <v>12</v>
    </nc>
  </rcc>
  <rcc rId="1474" sId="8" numFmtId="4">
    <nc r="B90">
      <v>12</v>
    </nc>
  </rcc>
  <rcc rId="1475" sId="8" numFmtId="4">
    <nc r="B91">
      <v>12</v>
    </nc>
  </rcc>
  <rcc rId="1476" sId="8" numFmtId="4">
    <nc r="B92">
      <v>12</v>
    </nc>
  </rcc>
  <rcc rId="1477" sId="8" numFmtId="4">
    <nc r="C83">
      <v>27</v>
    </nc>
  </rcc>
  <rcc rId="1478" sId="8" numFmtId="4">
    <nc r="D83">
      <v>6</v>
    </nc>
  </rcc>
  <rcc rId="1479" sId="8" numFmtId="4">
    <nc r="E83">
      <v>17</v>
    </nc>
  </rcc>
  <rcc rId="1480" sId="8" numFmtId="4">
    <nc r="F83">
      <v>15</v>
    </nc>
  </rcc>
  <rcc rId="1481" sId="8" numFmtId="4">
    <nc r="G83">
      <v>0</v>
    </nc>
  </rcc>
  <rcc rId="1482" sId="8" numFmtId="4">
    <nc r="C84">
      <v>25</v>
    </nc>
  </rcc>
  <rcc rId="1483" sId="8" numFmtId="4">
    <nc r="D84">
      <v>5</v>
    </nc>
  </rcc>
  <rcc rId="1484" sId="8" numFmtId="4">
    <nc r="E84">
      <v>12</v>
    </nc>
  </rcc>
  <rcc rId="1485" sId="8" numFmtId="4">
    <nc r="F84">
      <v>13</v>
    </nc>
  </rcc>
  <rcc rId="1486" sId="8" numFmtId="4">
    <nc r="G84">
      <v>0</v>
    </nc>
  </rcc>
  <rcc rId="1487" sId="8" numFmtId="4">
    <nc r="C85">
      <v>30</v>
    </nc>
  </rcc>
  <rcc rId="1488" sId="8" numFmtId="4">
    <nc r="D85">
      <v>6</v>
    </nc>
  </rcc>
  <rcc rId="1489" sId="8" numFmtId="4">
    <nc r="E85">
      <v>5</v>
    </nc>
  </rcc>
  <rcc rId="1490" sId="8" numFmtId="4">
    <nc r="F85">
      <v>41</v>
    </nc>
  </rcc>
  <rcc rId="1491" sId="8" numFmtId="4">
    <nc r="G85">
      <v>0</v>
    </nc>
  </rcc>
  <rcc rId="1492" sId="8" numFmtId="4">
    <nc r="C86">
      <v>26</v>
    </nc>
  </rcc>
  <rcc rId="1493" sId="8" numFmtId="4">
    <nc r="D86">
      <v>7</v>
    </nc>
  </rcc>
  <rcc rId="1494" sId="8" numFmtId="4">
    <nc r="E86">
      <v>15</v>
    </nc>
  </rcc>
  <rcc rId="1495" sId="8" numFmtId="4">
    <nc r="F86">
      <v>56</v>
    </nc>
  </rcc>
  <rcc rId="1496" sId="8" numFmtId="4">
    <nc r="G86">
      <v>1</v>
    </nc>
  </rcc>
  <rcc rId="1497" sId="8" numFmtId="4">
    <nc r="C87">
      <v>24</v>
    </nc>
  </rcc>
  <rcc rId="1498" sId="8" numFmtId="4">
    <nc r="D87">
      <v>8</v>
    </nc>
  </rcc>
  <rcc rId="1499" sId="8" numFmtId="4">
    <nc r="E87">
      <v>11</v>
    </nc>
  </rcc>
  <rcc rId="1500" sId="8" numFmtId="4">
    <nc r="F87">
      <v>14</v>
    </nc>
  </rcc>
  <rcc rId="1501" sId="8" numFmtId="4">
    <nc r="G87">
      <v>0</v>
    </nc>
  </rcc>
  <rcc rId="1502" sId="8" numFmtId="4">
    <nc r="C88">
      <v>21</v>
    </nc>
  </rcc>
  <rcc rId="1503" sId="8" numFmtId="4">
    <nc r="D88">
      <v>7</v>
    </nc>
  </rcc>
  <rcc rId="1504" sId="8" numFmtId="4">
    <nc r="E88">
      <v>6</v>
    </nc>
  </rcc>
  <rcc rId="1505" sId="8" numFmtId="4">
    <nc r="F88">
      <v>14</v>
    </nc>
  </rcc>
  <rcc rId="1506" sId="8" numFmtId="4">
    <nc r="G88">
      <v>5</v>
    </nc>
  </rcc>
  <rcc rId="1507" sId="5" numFmtId="4">
    <nc r="C90">
      <v>51</v>
    </nc>
  </rcc>
  <rcc rId="1508" sId="5" numFmtId="4">
    <nc r="D90">
      <v>7</v>
    </nc>
  </rcc>
  <rcc rId="1509" sId="5" numFmtId="4">
    <nc r="E90">
      <v>11</v>
    </nc>
  </rcc>
  <rcc rId="1510" sId="5" numFmtId="4">
    <nc r="F90">
      <v>12</v>
    </nc>
  </rcc>
  <rcc rId="1511" sId="5" numFmtId="4">
    <nc r="G90">
      <v>2</v>
    </nc>
  </rcc>
  <rcc rId="1512" sId="5" numFmtId="4">
    <nc r="C91">
      <v>55</v>
    </nc>
  </rcc>
  <rcc rId="1513" sId="5" numFmtId="4">
    <nc r="D91">
      <v>7</v>
    </nc>
  </rcc>
  <rcc rId="1514" sId="5" numFmtId="4">
    <nc r="E91">
      <v>7</v>
    </nc>
  </rcc>
  <rcc rId="1515" sId="5" numFmtId="4">
    <nc r="F91">
      <v>16</v>
    </nc>
  </rcc>
  <rcc rId="1516" sId="5" numFmtId="4">
    <nc r="G91">
      <v>2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>
  <rcc rId="1517" sId="11" numFmtId="4">
    <nc r="C63">
      <v>12</v>
    </nc>
  </rcc>
  <rcc rId="1518" sId="11" numFmtId="4">
    <nc r="D63">
      <v>4</v>
    </nc>
  </rcc>
  <rcc rId="1519" sId="11" numFmtId="4">
    <nc r="E63">
      <v>16</v>
    </nc>
  </rcc>
  <rcc rId="1520" sId="11" numFmtId="4">
    <nc r="F63">
      <v>4</v>
    </nc>
  </rcc>
  <rcc rId="1521" sId="11" numFmtId="4">
    <nc r="G63">
      <v>6</v>
    </nc>
  </rcc>
  <rcc rId="1522" sId="11" numFmtId="4">
    <nc r="H63">
      <v>0</v>
    </nc>
  </rcc>
  <rcc rId="1523" sId="11" numFmtId="4">
    <nc r="C64">
      <v>12</v>
    </nc>
  </rcc>
  <rcc rId="1524" sId="11" numFmtId="4">
    <nc r="D64">
      <v>4</v>
    </nc>
  </rcc>
</revisions>
</file>

<file path=xl/revisions/revisionLog35.xml><?xml version="1.0" encoding="utf-8"?>
<revisions xmlns="http://schemas.openxmlformats.org/spreadsheetml/2006/main" xmlns:r="http://schemas.openxmlformats.org/officeDocument/2006/relationships">
  <rcc rId="1525" sId="5" numFmtId="4">
    <nc r="C92">
      <v>43</v>
    </nc>
  </rcc>
  <rcc rId="1526" sId="5" numFmtId="4">
    <nc r="D92">
      <v>7</v>
    </nc>
  </rcc>
  <rcc rId="1527" sId="5" numFmtId="4">
    <nc r="E92">
      <v>5</v>
    </nc>
  </rcc>
  <rcc rId="1528" sId="5" numFmtId="4">
    <nc r="F92">
      <v>10</v>
    </nc>
  </rcc>
  <rcc rId="1529" sId="5" numFmtId="4">
    <nc r="G92">
      <v>3</v>
    </nc>
  </rcc>
  <rcc rId="1530" sId="5" numFmtId="4">
    <nc r="C93">
      <v>50</v>
    </nc>
  </rcc>
  <rcc rId="1531" sId="5" numFmtId="4">
    <nc r="D93">
      <v>7</v>
    </nc>
  </rcc>
  <rcc rId="1532" sId="5" numFmtId="4">
    <nc r="E93">
      <v>6</v>
    </nc>
  </rcc>
  <rcc rId="1533" sId="5" numFmtId="4">
    <nc r="F93">
      <v>18</v>
    </nc>
  </rcc>
  <rcc rId="1534" sId="5" numFmtId="4">
    <nc r="G93">
      <v>0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>
  <rcc rId="1535" sId="11" numFmtId="4">
    <nc r="E64">
      <v>8</v>
    </nc>
  </rcc>
  <rcc rId="1536" sId="11" numFmtId="4">
    <nc r="F64">
      <v>0</v>
    </nc>
  </rcc>
  <rcc rId="1537" sId="11" numFmtId="4">
    <nc r="G64">
      <v>3</v>
    </nc>
  </rcc>
  <rcc rId="1538" sId="11" numFmtId="4">
    <nc r="H64">
      <v>0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>
  <rcc rId="1539" sId="11" numFmtId="4">
    <nc r="C65">
      <v>8</v>
    </nc>
  </rcc>
  <rcc rId="1540" sId="11" numFmtId="4">
    <nc r="D65">
      <v>6</v>
    </nc>
  </rcc>
  <rcc rId="1541" sId="11" numFmtId="4">
    <nc r="E65">
      <v>5</v>
    </nc>
  </rcc>
  <rcc rId="1542" sId="11" numFmtId="4">
    <nc r="F65">
      <v>0</v>
    </nc>
  </rcc>
  <rcc rId="1543" sId="11" numFmtId="4">
    <nc r="G65">
      <v>10</v>
    </nc>
  </rcc>
  <rcc rId="1544" sId="11" numFmtId="4">
    <nc r="H65">
      <v>0</v>
    </nc>
  </rcc>
  <rcc rId="1545" sId="11" numFmtId="4">
    <nc r="C66">
      <v>6</v>
    </nc>
  </rcc>
  <rcc rId="1546" sId="11" numFmtId="4">
    <nc r="D66">
      <v>9</v>
    </nc>
  </rcc>
  <rcc rId="1547" sId="11" numFmtId="4">
    <nc r="E66">
      <v>20</v>
    </nc>
  </rcc>
  <rcc rId="1548" sId="11" numFmtId="4">
    <nc r="F66">
      <v>3</v>
    </nc>
  </rcc>
  <rcc rId="1549" sId="11" numFmtId="4">
    <nc r="G66">
      <v>25</v>
    </nc>
  </rcc>
  <rcc rId="1550" sId="11" numFmtId="4">
    <nc r="H66">
      <v>2</v>
    </nc>
  </rcc>
  <rcc rId="1551" sId="11" numFmtId="4">
    <nc r="C67">
      <v>7</v>
    </nc>
  </rcc>
  <rcc rId="1552" sId="11" numFmtId="4">
    <nc r="D67">
      <v>9</v>
    </nc>
  </rcc>
  <rcc rId="1553" sId="11" numFmtId="4">
    <nc r="E67">
      <v>13</v>
    </nc>
  </rcc>
  <rcc rId="1554" sId="11" numFmtId="4">
    <nc r="F67">
      <v>4</v>
    </nc>
  </rcc>
  <rcc rId="1555" sId="11" numFmtId="4">
    <nc r="G67">
      <v>10</v>
    </nc>
  </rcc>
  <rcc rId="1556" sId="11" numFmtId="4">
    <nc r="H67">
      <v>3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>
  <rcc rId="1557" sId="5" numFmtId="4">
    <nc r="C94">
      <v>44</v>
    </nc>
  </rcc>
  <rcc rId="1558" sId="5" numFmtId="4">
    <nc r="D94">
      <v>7</v>
    </nc>
  </rcc>
  <rcc rId="1559" sId="5" numFmtId="4">
    <nc r="E94">
      <v>6</v>
    </nc>
  </rcc>
  <rcc rId="1560" sId="5" numFmtId="4">
    <nc r="F94">
      <v>3</v>
    </nc>
  </rcc>
  <rcc rId="1561" sId="5" numFmtId="4">
    <nc r="G94">
      <v>2</v>
    </nc>
  </rcc>
  <rcc rId="1562" sId="5" numFmtId="4">
    <nc r="C95">
      <v>62</v>
    </nc>
  </rcc>
  <rcc rId="1563" sId="5" numFmtId="4">
    <nc r="D95">
      <v>7</v>
    </nc>
  </rcc>
  <rcc rId="1564" sId="5" numFmtId="4">
    <nc r="E95">
      <v>10</v>
    </nc>
  </rcc>
  <rcc rId="1565" sId="5" numFmtId="4">
    <nc r="F95">
      <v>16</v>
    </nc>
  </rcc>
  <rcc rId="1566" sId="5" numFmtId="4">
    <nc r="G95">
      <v>4</v>
    </nc>
  </rcc>
  <rcc rId="1567" sId="5" numFmtId="4">
    <nc r="C96">
      <v>48</v>
    </nc>
  </rcc>
  <rcc rId="1568" sId="5" numFmtId="4">
    <nc r="D96">
      <v>7</v>
    </nc>
  </rcc>
  <rcc rId="1569" sId="5" numFmtId="4">
    <nc r="E96">
      <v>8</v>
    </nc>
  </rcc>
  <rcc rId="1570" sId="5" numFmtId="4">
    <nc r="F96">
      <v>7</v>
    </nc>
  </rcc>
  <rcc rId="1571" sId="5" numFmtId="4">
    <nc r="G96">
      <v>6</v>
    </nc>
  </rcc>
  <rcc rId="1572" sId="5" numFmtId="4">
    <nc r="C97">
      <v>60</v>
    </nc>
  </rcc>
  <rcc rId="1573" sId="5" numFmtId="4">
    <nc r="D97">
      <v>4</v>
    </nc>
  </rcc>
  <rcc rId="1574" sId="5" numFmtId="4">
    <nc r="E97">
      <v>39</v>
    </nc>
  </rcc>
  <rcc rId="1575" sId="5" numFmtId="4">
    <nc r="F97">
      <v>61</v>
    </nc>
  </rcc>
  <rcc rId="1576" sId="5" numFmtId="4">
    <nc r="G97">
      <v>0</v>
    </nc>
  </rcc>
  <rcc rId="1577" sId="5" numFmtId="4">
    <nc r="B98">
      <v>18</v>
    </nc>
  </rcc>
  <rcc rId="1578" sId="5" numFmtId="4">
    <nc r="B99">
      <v>18</v>
    </nc>
  </rcc>
  <rcc rId="1579" sId="5" numFmtId="4">
    <nc r="B100">
      <v>18</v>
    </nc>
  </rcc>
  <rcc rId="1580" sId="5" numFmtId="4">
    <nc r="B101">
      <v>18</v>
    </nc>
  </rcc>
  <rcc rId="1581" sId="5" numFmtId="4">
    <nc r="B102">
      <v>18</v>
    </nc>
  </rcc>
  <rcc rId="1582" sId="5" numFmtId="4">
    <nc r="B103">
      <v>18</v>
    </nc>
  </rcc>
  <rcc rId="1583" sId="5" numFmtId="4">
    <nc r="B104">
      <v>18</v>
    </nc>
  </rcc>
  <rcc rId="1584" sId="5" numFmtId="4">
    <nc r="B105">
      <v>18</v>
    </nc>
  </rcc>
  <rcc rId="1585" sId="5" numFmtId="4">
    <nc r="B106">
      <v>18</v>
    </nc>
  </rcc>
  <rcc rId="1586" sId="5" numFmtId="4">
    <nc r="B107">
      <v>18</v>
    </nc>
  </rcc>
  <rcc rId="1587" sId="5" numFmtId="4">
    <nc r="B108">
      <v>18</v>
    </nc>
  </rcc>
  <rcc rId="1588" sId="5" numFmtId="4">
    <nc r="B109">
      <v>18</v>
    </nc>
  </rcc>
  <rcc rId="1589" sId="5" numFmtId="4">
    <nc r="C98">
      <v>39</v>
    </nc>
  </rcc>
  <rcc rId="1590" sId="5" numFmtId="4">
    <nc r="D98">
      <v>9</v>
    </nc>
  </rcc>
  <rcc rId="1591" sId="5" numFmtId="4">
    <nc r="E98">
      <v>18</v>
    </nc>
  </rcc>
  <rcc rId="1592" sId="5" numFmtId="4">
    <nc r="F98">
      <v>4</v>
    </nc>
  </rcc>
  <rcc rId="1593" sId="5" numFmtId="4">
    <nc r="G98">
      <v>3</v>
    </nc>
  </rcc>
  <rcc rId="1594" sId="5" numFmtId="4">
    <nc r="C99">
      <v>50</v>
    </nc>
  </rcc>
  <rcc rId="1595" sId="5" numFmtId="4">
    <nc r="D99">
      <v>8</v>
    </nc>
  </rcc>
  <rcc rId="1596" sId="5" numFmtId="4">
    <nc r="E99">
      <v>6</v>
    </nc>
  </rcc>
  <rcc rId="1597" sId="5" numFmtId="4">
    <nc r="F99">
      <v>18</v>
    </nc>
  </rcc>
  <rcc rId="1598" sId="5" numFmtId="4">
    <nc r="G99">
      <v>0</v>
    </nc>
  </rcc>
  <rcc rId="1599" sId="5" numFmtId="4">
    <nc r="C100">
      <v>50</v>
    </nc>
  </rcc>
  <rcc rId="1600" sId="5" numFmtId="4">
    <nc r="D100">
      <v>9</v>
    </nc>
  </rcc>
  <rcc rId="1601" sId="5" numFmtId="4">
    <nc r="E100">
      <v>7</v>
    </nc>
  </rcc>
  <rcc rId="1602" sId="5" numFmtId="4">
    <nc r="F100">
      <v>8</v>
    </nc>
  </rcc>
  <rcc rId="1603" sId="5" numFmtId="4">
    <nc r="G100">
      <v>1</v>
    </nc>
  </rcc>
  <rcc rId="1604" sId="5" numFmtId="4">
    <nc r="C101">
      <v>53</v>
    </nc>
  </rcc>
  <rcc rId="1605" sId="5" numFmtId="4">
    <nc r="D101">
      <v>5</v>
    </nc>
  </rcc>
  <rcc rId="1606" sId="5" numFmtId="4">
    <nc r="E101">
      <v>11</v>
    </nc>
  </rcc>
  <rcc rId="1607" sId="5" numFmtId="4">
    <nc r="F101">
      <v>16</v>
    </nc>
  </rcc>
  <rcc rId="1608" sId="5" numFmtId="4">
    <nc r="G101">
      <v>0</v>
    </nc>
  </rcc>
  <rcc rId="1609" sId="5" numFmtId="4">
    <nc r="C102">
      <v>53</v>
    </nc>
  </rcc>
  <rcc rId="1610" sId="5" numFmtId="4">
    <nc r="D102">
      <v>4</v>
    </nc>
  </rcc>
  <rcc rId="1611" sId="5" numFmtId="4">
    <nc r="E102">
      <v>1</v>
    </nc>
  </rcc>
  <rcc rId="1612" sId="5" numFmtId="4">
    <nc r="F102">
      <v>25</v>
    </nc>
  </rcc>
  <rcc rId="1613" sId="5" numFmtId="4">
    <nc r="G102">
      <v>0</v>
    </nc>
  </rcc>
  <rcc rId="1614" sId="5" numFmtId="4">
    <nc r="C103">
      <v>53</v>
    </nc>
  </rcc>
  <rcc rId="1615" sId="5" numFmtId="4">
    <nc r="D103">
      <v>3</v>
    </nc>
  </rcc>
  <rcc rId="1616" sId="5" numFmtId="4">
    <nc r="E103">
      <v>4</v>
    </nc>
  </rcc>
  <rcc rId="1617" sId="5" numFmtId="4">
    <nc r="F103">
      <v>21</v>
    </nc>
  </rcc>
  <rcc rId="1618" sId="5" numFmtId="4">
    <nc r="G103">
      <v>1</v>
    </nc>
  </rcc>
  <rcc rId="1619" sId="5" numFmtId="4">
    <nc r="C104">
      <v>49</v>
    </nc>
  </rcc>
  <rcc rId="1620" sId="5" numFmtId="4">
    <nc r="D104">
      <v>9</v>
    </nc>
  </rcc>
  <rcc rId="1621" sId="5" numFmtId="4">
    <nc r="E104">
      <v>7</v>
    </nc>
  </rcc>
  <rcc rId="1622" sId="5" numFmtId="4">
    <nc r="F104">
      <v>4</v>
    </nc>
  </rcc>
  <rcc rId="1623" sId="5" numFmtId="4">
    <nc r="G104">
      <v>3</v>
    </nc>
  </rcc>
  <rcc rId="1624" sId="5" numFmtId="4">
    <nc r="C105">
      <v>43</v>
    </nc>
  </rcc>
  <rcc rId="1625" sId="5" numFmtId="4">
    <nc r="D105">
      <v>8</v>
    </nc>
  </rcc>
  <rcc rId="1626" sId="5" numFmtId="4">
    <nc r="E105">
      <v>6</v>
    </nc>
  </rcc>
  <rcc rId="1627" sId="5" numFmtId="4">
    <nc r="F105">
      <v>6</v>
    </nc>
  </rcc>
  <rcc rId="1628" sId="5" numFmtId="4">
    <nc r="G105">
      <v>3</v>
    </nc>
  </rcc>
  <rcc rId="1629" sId="8" numFmtId="4">
    <nc r="C89">
      <v>22</v>
    </nc>
  </rcc>
  <rcc rId="1630" sId="8" numFmtId="4">
    <nc r="D89">
      <v>8</v>
    </nc>
  </rcc>
  <rcc rId="1631" sId="8" numFmtId="4">
    <nc r="E89">
      <v>9</v>
    </nc>
  </rcc>
  <rcc rId="1632" sId="8" numFmtId="4">
    <nc r="F89">
      <v>12</v>
    </nc>
  </rcc>
  <rcc rId="1633" sId="8" numFmtId="4">
    <nc r="G89">
      <v>4</v>
    </nc>
  </rcc>
  <rcc rId="1634" sId="8" numFmtId="4">
    <nc r="C90">
      <v>32</v>
    </nc>
  </rcc>
  <rcc rId="1635" sId="8" numFmtId="4">
    <nc r="D90">
      <v>6</v>
    </nc>
  </rcc>
  <rcc rId="1636" sId="8" numFmtId="4">
    <nc r="E90">
      <v>12</v>
    </nc>
  </rcc>
  <rcc rId="1637" sId="8" numFmtId="4">
    <nc r="F90">
      <v>5</v>
    </nc>
  </rcc>
  <rcc rId="1638" sId="8" numFmtId="4">
    <nc r="G90">
      <v>0</v>
    </nc>
  </rcc>
  <rcc rId="1639" sId="8" numFmtId="4">
    <nc r="C91">
      <v>31</v>
    </nc>
  </rcc>
  <rcc rId="1640" sId="8" numFmtId="4">
    <nc r="D91">
      <v>2</v>
    </nc>
  </rcc>
  <rcc rId="1641" sId="8" numFmtId="4">
    <nc r="E91">
      <v>13</v>
    </nc>
  </rcc>
  <rcc rId="1642" sId="8" numFmtId="4">
    <nc r="F91">
      <v>11</v>
    </nc>
  </rcc>
  <rcc rId="1643" sId="8" numFmtId="4">
    <nc r="G91">
      <v>1</v>
    </nc>
  </rcc>
  <rcc rId="1644" sId="8" numFmtId="4">
    <nc r="C92">
      <v>28</v>
    </nc>
  </rcc>
  <rcc rId="1645" sId="8" numFmtId="4">
    <nc r="D92">
      <v>7</v>
    </nc>
  </rcc>
  <rcc rId="1646" sId="8" numFmtId="4">
    <nc r="E92">
      <v>2</v>
    </nc>
  </rcc>
  <rcc rId="1647" sId="8" numFmtId="4">
    <nc r="F92">
      <v>24</v>
    </nc>
  </rcc>
</revisions>
</file>

<file path=xl/revisions/revisionLog39.xml><?xml version="1.0" encoding="utf-8"?>
<revisions xmlns="http://schemas.openxmlformats.org/spreadsheetml/2006/main" xmlns:r="http://schemas.openxmlformats.org/officeDocument/2006/relationships">
  <rcc rId="1648" sId="11" numFmtId="4">
    <nc r="C68">
      <v>14</v>
    </nc>
  </rcc>
  <rcc rId="1649" sId="11" numFmtId="4">
    <nc r="D68">
      <v>5</v>
    </nc>
  </rcc>
  <rcc rId="1650" sId="11" numFmtId="4">
    <nc r="E68">
      <v>6</v>
    </nc>
  </rcc>
  <rcc rId="1651" sId="11" numFmtId="4">
    <nc r="F68">
      <v>0</v>
    </nc>
  </rcc>
  <rcc rId="1652" sId="11" numFmtId="4">
    <nc r="G68">
      <v>9</v>
    </nc>
  </rcc>
  <rcc rId="1653" sId="11" numFmtId="4">
    <nc r="H68">
      <v>0</v>
    </nc>
  </rcc>
  <rcc rId="1654" sId="11" numFmtId="4">
    <nc r="C69">
      <v>14</v>
    </nc>
  </rcc>
  <rcc rId="1655" sId="11" numFmtId="4">
    <nc r="D69">
      <v>4</v>
    </nc>
  </rcc>
  <rcc rId="1656" sId="11" numFmtId="4">
    <nc r="E69">
      <v>22</v>
    </nc>
  </rcc>
  <rcc rId="1657" sId="11" numFmtId="4">
    <nc r="F69">
      <v>8</v>
    </nc>
  </rcc>
  <rcc rId="1658" sId="11" numFmtId="4">
    <nc r="G69">
      <v>16</v>
    </nc>
  </rcc>
  <rcc rId="1659" sId="11" numFmtId="4">
    <nc r="H69">
      <v>1</v>
    </nc>
  </rcc>
  <rcc rId="1660" sId="11" numFmtId="4">
    <nc r="C70">
      <v>10</v>
    </nc>
  </rcc>
  <rcc rId="1661" sId="11" numFmtId="4">
    <nc r="D70">
      <v>3</v>
    </nc>
  </rcc>
  <rcc rId="1662" sId="11" numFmtId="4">
    <nc r="E70">
      <v>9</v>
    </nc>
  </rcc>
  <rcc rId="1663" sId="11" numFmtId="4">
    <nc r="F70">
      <v>3</v>
    </nc>
  </rcc>
  <rcc rId="1664" sId="11" numFmtId="4">
    <nc r="G70">
      <v>10</v>
    </nc>
  </rcc>
</revisions>
</file>

<file path=xl/revisions/revisionLog40.xml><?xml version="1.0" encoding="utf-8"?>
<revisions xmlns="http://schemas.openxmlformats.org/spreadsheetml/2006/main" xmlns:r="http://schemas.openxmlformats.org/officeDocument/2006/relationships">
  <rcc rId="1665" sId="8" numFmtId="4">
    <nc r="G92">
      <v>0</v>
    </nc>
  </rcc>
  <rcc rId="1666" sId="8" numFmtId="4">
    <nc r="B93">
      <v>12</v>
    </nc>
  </rcc>
  <rcc rId="1667" sId="8" numFmtId="4">
    <nc r="B94">
      <v>12</v>
    </nc>
  </rcc>
  <rcc rId="1668" sId="8" numFmtId="4">
    <nc r="B95">
      <v>12</v>
    </nc>
  </rcc>
  <rcc rId="1669" sId="8" numFmtId="4">
    <nc r="C93">
      <v>34</v>
    </nc>
  </rcc>
  <rcc rId="1670" sId="8" numFmtId="4">
    <nc r="D93">
      <v>7</v>
    </nc>
  </rcc>
  <rcc rId="1671" sId="8" numFmtId="4">
    <nc r="E93">
      <v>7</v>
    </nc>
  </rcc>
  <rcc rId="1672" sId="8" numFmtId="4">
    <nc r="F93">
      <v>17</v>
    </nc>
  </rcc>
  <rcc rId="1673" sId="8" numFmtId="4">
    <nc r="G93">
      <v>0</v>
    </nc>
  </rcc>
  <rcc rId="1674" sId="8" numFmtId="4">
    <nc r="C94">
      <v>18</v>
    </nc>
  </rcc>
  <rcc rId="1675" sId="8" numFmtId="4">
    <nc r="D94">
      <v>8</v>
    </nc>
  </rcc>
  <rcc rId="1676" sId="8" numFmtId="4">
    <nc r="E94">
      <v>4</v>
    </nc>
  </rcc>
  <rcc rId="1677" sId="8" numFmtId="4">
    <nc r="F94">
      <v>4</v>
    </nc>
  </rcc>
  <rcc rId="1678" sId="8" numFmtId="4">
    <nc r="G94">
      <v>0</v>
    </nc>
  </rcc>
  <rcc rId="1679" sId="8" numFmtId="4">
    <nc r="C95">
      <v>21</v>
    </nc>
  </rcc>
  <rcc rId="1680" sId="8" numFmtId="4">
    <nc r="D95">
      <v>3</v>
    </nc>
  </rcc>
  <rcc rId="1681" sId="8" numFmtId="4">
    <nc r="E95">
      <v>7</v>
    </nc>
  </rcc>
  <rcc rId="1682" sId="8" numFmtId="4">
    <nc r="F95">
      <v>16</v>
    </nc>
  </rcc>
  <rcc rId="1683" sId="8" numFmtId="4">
    <nc r="G95">
      <v>2</v>
    </nc>
  </rcc>
  <rcc rId="1684" sId="8" numFmtId="4">
    <nc r="B96">
      <v>12</v>
    </nc>
  </rcc>
  <rcc rId="1685" sId="8" numFmtId="4">
    <nc r="B97">
      <v>12</v>
    </nc>
  </rcc>
  <rcc rId="1686" sId="8" numFmtId="4">
    <nc r="B98">
      <v>12</v>
    </nc>
  </rcc>
  <rcc rId="1687" sId="8" numFmtId="4">
    <nc r="B99">
      <v>12</v>
    </nc>
  </rcc>
  <rcc rId="1688" sId="8" numFmtId="4">
    <nc r="B100">
      <v>12</v>
    </nc>
  </rcc>
  <rcc rId="1689" sId="8" numFmtId="4">
    <nc r="B101">
      <v>12</v>
    </nc>
  </rcc>
  <rcc rId="1690" sId="8" numFmtId="4">
    <nc r="B102">
      <v>12</v>
    </nc>
  </rcc>
  <rcc rId="1691" sId="8" numFmtId="4">
    <nc r="B103">
      <v>12</v>
    </nc>
  </rcc>
  <rcc rId="1692" sId="8" numFmtId="4">
    <nc r="B104">
      <v>12</v>
    </nc>
  </rcc>
  <rcc rId="1693" sId="8" numFmtId="4">
    <nc r="B105">
      <v>12</v>
    </nc>
  </rcc>
  <rcc rId="1694" sId="8" numFmtId="4">
    <nc r="B106">
      <v>12</v>
    </nc>
  </rcc>
  <rcc rId="1695" sId="8" numFmtId="4">
    <nc r="B107">
      <v>12</v>
    </nc>
  </rcc>
  <rcc rId="1696" sId="8" numFmtId="4">
    <nc r="B108">
      <v>12</v>
    </nc>
  </rcc>
  <rcc rId="1697" sId="8" numFmtId="4">
    <nc r="B109">
      <v>12</v>
    </nc>
  </rcc>
  <rcc rId="1698" sId="8" numFmtId="4">
    <nc r="B110">
      <v>12</v>
    </nc>
  </rcc>
  <rcc rId="1699" sId="8" numFmtId="4">
    <nc r="B111">
      <v>12</v>
    </nc>
  </rcc>
  <rcc rId="1700" sId="8" numFmtId="4">
    <nc r="B112">
      <v>12</v>
    </nc>
  </rcc>
  <rcc rId="1701" sId="8" numFmtId="4">
    <nc r="C96">
      <v>19</v>
    </nc>
  </rcc>
  <rcc rId="1702" sId="8" numFmtId="4">
    <nc r="D96">
      <v>9</v>
    </nc>
  </rcc>
  <rcc rId="1703" sId="8" numFmtId="4">
    <nc r="E96">
      <v>4</v>
    </nc>
  </rcc>
  <rcc rId="1704" sId="8" numFmtId="4">
    <nc r="F96">
      <v>10</v>
    </nc>
  </rcc>
  <rcc rId="1705" sId="8" numFmtId="4">
    <nc r="G96">
      <v>0</v>
    </nc>
  </rcc>
  <rcc rId="1706" sId="5" numFmtId="4">
    <nc r="C106">
      <v>62</v>
    </nc>
  </rcc>
  <rcc rId="1707" sId="5" numFmtId="4">
    <nc r="D106">
      <v>8</v>
    </nc>
  </rcc>
  <rcc rId="1708" sId="5" numFmtId="4">
    <nc r="E106">
      <v>10</v>
    </nc>
  </rcc>
  <rcc rId="1709" sId="5" numFmtId="4">
    <nc r="F106">
      <v>11</v>
    </nc>
  </rcc>
  <rcc rId="1710" sId="5" numFmtId="4">
    <nc r="G106">
      <v>4</v>
    </nc>
  </rcc>
  <rcc rId="1711" sId="5" numFmtId="4">
    <nc r="C107">
      <v>51</v>
    </nc>
  </rcc>
  <rcc rId="1712" sId="5" numFmtId="4">
    <nc r="D107">
      <v>8</v>
    </nc>
  </rcc>
  <rcc rId="1713" sId="5" numFmtId="4">
    <nc r="E107">
      <v>7</v>
    </nc>
  </rcc>
  <rcc rId="1714" sId="5" numFmtId="4">
    <nc r="F107">
      <v>17</v>
    </nc>
  </rcc>
  <rcc rId="1715" sId="5" numFmtId="4">
    <nc r="G107">
      <v>1</v>
    </nc>
  </rcc>
  <rcc rId="1716" sId="5" numFmtId="4">
    <nc r="C108">
      <v>55</v>
    </nc>
  </rcc>
  <rcc rId="1717" sId="5" numFmtId="4">
    <nc r="D108">
      <v>8</v>
    </nc>
  </rcc>
  <rcc rId="1718" sId="5" numFmtId="4">
    <nc r="E108">
      <v>12</v>
    </nc>
  </rcc>
  <rcc rId="1719" sId="5" numFmtId="4">
    <nc r="F108">
      <v>7</v>
    </nc>
  </rcc>
  <rcc rId="1720" sId="5" numFmtId="4">
    <nc r="G108">
      <v>0</v>
    </nc>
  </rcc>
  <rcc rId="1721" sId="5" numFmtId="4">
    <nc r="C109">
      <v>45</v>
    </nc>
  </rcc>
  <rcc rId="1722" sId="5" numFmtId="4">
    <nc r="D109">
      <v>4</v>
    </nc>
  </rcc>
  <rcc rId="1723" sId="5" numFmtId="4">
    <nc r="E109">
      <v>7</v>
    </nc>
  </rcc>
  <rcc rId="1724" sId="5" numFmtId="4">
    <nc r="F109">
      <v>15</v>
    </nc>
  </rcc>
  <rcc rId="1725" sId="5" numFmtId="4">
    <nc r="G109">
      <v>1</v>
    </nc>
  </rcc>
  <rcc rId="1726" sId="5" numFmtId="4">
    <nc r="B110">
      <v>18</v>
    </nc>
  </rcc>
  <rcc rId="1727" sId="5" numFmtId="4">
    <nc r="B111">
      <v>18</v>
    </nc>
  </rcc>
  <rcc rId="1728" sId="5" numFmtId="4">
    <nc r="B112">
      <v>18</v>
    </nc>
  </rcc>
  <rcc rId="1729" sId="5" numFmtId="4">
    <nc r="B113">
      <v>18</v>
    </nc>
  </rcc>
  <rcc rId="1730" sId="5" numFmtId="4">
    <nc r="B114">
      <v>18</v>
    </nc>
  </rcc>
  <rcc rId="1731" sId="5" numFmtId="4">
    <nc r="B115">
      <v>18</v>
    </nc>
  </rcc>
  <rcc rId="1732" sId="5" numFmtId="4">
    <nc r="B116">
      <v>18</v>
    </nc>
  </rcc>
  <rcc rId="1733" sId="5" numFmtId="4">
    <nc r="B117">
      <v>18</v>
    </nc>
  </rcc>
  <rcc rId="1734" sId="5" numFmtId="4">
    <nc r="B118">
      <v>18</v>
    </nc>
  </rcc>
  <rcc rId="1735" sId="5" numFmtId="4">
    <nc r="B119">
      <v>18</v>
    </nc>
  </rcc>
  <rcc rId="1736" sId="5" numFmtId="4">
    <nc r="B120">
      <v>18</v>
    </nc>
  </rcc>
  <rcc rId="1737" sId="5" numFmtId="4">
    <nc r="B121">
      <v>18</v>
    </nc>
  </rcc>
  <rcc rId="1738" sId="5" numFmtId="4">
    <nc r="B122">
      <v>18</v>
    </nc>
  </rcc>
  <rcc rId="1739" sId="5" numFmtId="4">
    <nc r="B123">
      <v>18</v>
    </nc>
  </rcc>
  <rcc rId="1740" sId="5" numFmtId="4">
    <nc r="B124">
      <v>18</v>
    </nc>
  </rcc>
  <rcc rId="1741" sId="5" numFmtId="4">
    <nc r="B125">
      <v>18</v>
    </nc>
  </rcc>
  <rcc rId="1742" sId="5" numFmtId="4">
    <nc r="B126">
      <v>18</v>
    </nc>
  </rcc>
  <rcc rId="1743" sId="5" numFmtId="4">
    <nc r="B127">
      <v>18</v>
    </nc>
  </rcc>
  <rcc rId="1744" sId="5" numFmtId="4">
    <nc r="B128">
      <v>18</v>
    </nc>
  </rcc>
  <rcc rId="1745" sId="5" numFmtId="4">
    <nc r="B129">
      <v>18</v>
    </nc>
  </rcc>
  <rcc rId="1746" sId="5" numFmtId="4">
    <nc r="B130">
      <v>18</v>
    </nc>
  </rcc>
  <rcc rId="1747" sId="8" numFmtId="4">
    <nc r="C97">
      <v>30</v>
    </nc>
  </rcc>
  <rcc rId="1748" sId="8" numFmtId="4">
    <nc r="D97">
      <v>7</v>
    </nc>
  </rcc>
  <rcc rId="1749" sId="8" numFmtId="4">
    <nc r="E97">
      <v>6</v>
    </nc>
  </rcc>
  <rcc rId="1750" sId="8" numFmtId="4">
    <nc r="F97">
      <v>26</v>
    </nc>
  </rcc>
  <rcc rId="1751" sId="8" numFmtId="4">
    <nc r="G97">
      <v>0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>
  <rcc rId="1752" sId="11" numFmtId="4">
    <nc r="H70">
      <v>0</v>
    </nc>
  </rcc>
  <rcc rId="1753" sId="11" numFmtId="4">
    <nc r="C71">
      <v>13</v>
    </nc>
  </rcc>
  <rcc rId="1754" sId="11" numFmtId="4">
    <nc r="D71">
      <v>9</v>
    </nc>
  </rcc>
  <rcc rId="1755" sId="11" numFmtId="4">
    <nc r="E71">
      <v>3</v>
    </nc>
  </rcc>
  <rcc rId="1756" sId="11" numFmtId="4">
    <nc r="F71">
      <v>0</v>
    </nc>
  </rcc>
  <rcc rId="1757" sId="11" numFmtId="4">
    <nc r="G71">
      <v>0</v>
    </nc>
  </rcc>
  <rcc rId="1758" sId="11" numFmtId="4">
    <nc r="H71">
      <v>0</v>
    </nc>
  </rcc>
  <rcc rId="1759" sId="11" numFmtId="4">
    <nc r="C72">
      <v>1</v>
    </nc>
  </rcc>
  <rcc rId="1760" sId="11" numFmtId="4">
    <nc r="D72">
      <v>7</v>
    </nc>
  </rcc>
  <rcc rId="1761" sId="11" numFmtId="4">
    <nc r="E72">
      <v>1</v>
    </nc>
  </rcc>
  <rcc rId="1762" sId="11" numFmtId="4">
    <nc r="F72">
      <v>1</v>
    </nc>
  </rcc>
  <rcc rId="1763" sId="11" numFmtId="4">
    <nc r="G72">
      <v>2</v>
    </nc>
  </rcc>
  <rcc rId="1764" sId="11" numFmtId="4">
    <nc r="H72">
      <v>0</v>
    </nc>
  </rcc>
  <rcc rId="1765" sId="11" numFmtId="4">
    <nc r="C73">
      <v>1</v>
    </nc>
  </rcc>
  <rcc rId="1766" sId="11" numFmtId="4">
    <nc r="D73">
      <v>8</v>
    </nc>
  </rcc>
  <rcc rId="1767" sId="11" numFmtId="4">
    <nc r="E73">
      <v>6</v>
    </nc>
  </rcc>
  <rcc rId="1768" sId="11" numFmtId="4">
    <nc r="F73">
      <v>5</v>
    </nc>
  </rcc>
  <rcc rId="1769" sId="11" numFmtId="4">
    <nc r="G73">
      <v>9</v>
    </nc>
  </rcc>
  <rcc rId="1770" sId="11" numFmtId="4">
    <nc r="H73">
      <v>0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>
  <rcc rId="1771" sId="8" numFmtId="4">
    <nc r="C98">
      <v>23</v>
    </nc>
  </rcc>
  <rcc rId="1772" sId="8" numFmtId="4">
    <nc r="D98">
      <v>9</v>
    </nc>
  </rcc>
  <rcc rId="1773" sId="8" numFmtId="4">
    <nc r="E98">
      <v>9</v>
    </nc>
  </rcc>
  <rcc rId="1774" sId="8" numFmtId="4">
    <nc r="F98">
      <v>10</v>
    </nc>
  </rcc>
  <rcc rId="1775" sId="8" numFmtId="4">
    <nc r="G98">
      <v>7</v>
    </nc>
  </rcc>
  <rcc rId="1776" sId="5" numFmtId="4">
    <nc r="C110">
      <v>44</v>
    </nc>
  </rcc>
  <rcc rId="1777" sId="5" numFmtId="4">
    <nc r="D110">
      <v>8</v>
    </nc>
  </rcc>
  <rcc rId="1778" sId="5" numFmtId="4">
    <nc r="E110">
      <v>6</v>
    </nc>
  </rcc>
  <rcc rId="1779" sId="5" numFmtId="4">
    <nc r="F110">
      <v>5</v>
    </nc>
  </rcc>
  <rcc rId="1780" sId="5" numFmtId="4">
    <nc r="G110">
      <v>2</v>
    </nc>
  </rcc>
  <rcc rId="1781" sId="8" numFmtId="4">
    <nc r="C99">
      <v>25</v>
    </nc>
  </rcc>
  <rcc rId="1782" sId="8" numFmtId="4">
    <nc r="D99">
      <v>5</v>
    </nc>
  </rcc>
  <rcc rId="1783" sId="8" numFmtId="4">
    <nc r="E99">
      <v>8</v>
    </nc>
  </rcc>
  <rcc rId="1784" sId="8" numFmtId="4">
    <nc r="F99">
      <v>10</v>
    </nc>
  </rcc>
  <rcc rId="1785" sId="8" numFmtId="4">
    <nc r="G99">
      <v>6</v>
    </nc>
  </rcc>
  <rcc rId="1786" sId="8" numFmtId="4">
    <nc r="C100">
      <v>32</v>
    </nc>
  </rcc>
  <rcc rId="1787" sId="8" numFmtId="4">
    <nc r="D100">
      <v>6</v>
    </nc>
  </rcc>
  <rcc rId="1788" sId="8" numFmtId="4">
    <nc r="E100">
      <v>0</v>
    </nc>
  </rcc>
  <rcc rId="1789" sId="8" numFmtId="4">
    <nc r="F100">
      <v>3</v>
    </nc>
  </rcc>
  <rcc rId="1790" sId="8" numFmtId="4">
    <nc r="G100">
      <v>0</v>
    </nc>
  </rcc>
  <rcc rId="1791" sId="8" numFmtId="4">
    <nc r="C101">
      <v>28</v>
    </nc>
  </rcc>
  <rcc rId="1792" sId="8" numFmtId="4">
    <nc r="D101">
      <v>8</v>
    </nc>
  </rcc>
  <rcc rId="1793" sId="8" numFmtId="4">
    <nc r="E101">
      <v>1</v>
    </nc>
  </rcc>
  <rcc rId="1794" sId="8" numFmtId="4">
    <nc r="F101">
      <v>22</v>
    </nc>
  </rcc>
  <rcc rId="1795" sId="8" numFmtId="4">
    <nc r="G101">
      <v>0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>
  <rcc rId="1796" sId="11" numFmtId="4">
    <nc r="C74">
      <v>5</v>
    </nc>
  </rcc>
  <rcc rId="1797" sId="11" numFmtId="4">
    <nc r="D74">
      <v>6</v>
    </nc>
  </rcc>
  <rcc rId="1798" sId="11" numFmtId="4">
    <nc r="E74">
      <v>7</v>
    </nc>
  </rcc>
  <rcc rId="1799" sId="11" numFmtId="4">
    <nc r="F74">
      <v>5</v>
    </nc>
  </rcc>
  <rcc rId="1800" sId="11" numFmtId="4">
    <nc r="G74">
      <v>16</v>
    </nc>
  </rcc>
  <rcc rId="1801" sId="11" numFmtId="4">
    <nc r="H74">
      <v>0</v>
    </nc>
  </rcc>
  <rcc rId="1802" sId="11" numFmtId="4">
    <nc r="C75">
      <v>11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>
  <rcc rId="1803" sId="5" numFmtId="4">
    <nc r="C111">
      <v>50</v>
    </nc>
  </rcc>
  <rcc rId="1804" sId="5" numFmtId="4">
    <nc r="D111">
      <v>10</v>
    </nc>
  </rcc>
  <rcc rId="1805" sId="5" numFmtId="4">
    <nc r="E111">
      <v>12</v>
    </nc>
  </rcc>
  <rcc rId="1806" sId="5" numFmtId="4">
    <nc r="F111">
      <v>13</v>
    </nc>
  </rcc>
  <rcc rId="1807" sId="5" numFmtId="4">
    <nc r="G111">
      <v>0</v>
    </nc>
  </rcc>
  <rcc rId="1808" sId="8" numFmtId="4">
    <nc r="C102">
      <v>26</v>
    </nc>
  </rcc>
  <rcc rId="1809" sId="8" numFmtId="4">
    <nc r="D102">
      <v>8</v>
    </nc>
  </rcc>
  <rcc rId="1810" sId="8" numFmtId="4">
    <nc r="E102">
      <v>15</v>
    </nc>
  </rcc>
  <rcc rId="1811" sId="8" numFmtId="4">
    <nc r="F102">
      <v>39</v>
    </nc>
  </rcc>
  <rcc rId="1812" sId="8" numFmtId="4">
    <nc r="G102">
      <v>0</v>
    </nc>
  </rcc>
  <rcc rId="1813" sId="8" numFmtId="4">
    <nc r="C103">
      <v>24</v>
    </nc>
  </rcc>
  <rcc rId="1814" sId="8" numFmtId="4">
    <nc r="D103">
      <v>10</v>
    </nc>
  </rcc>
  <rcc rId="1815" sId="8" numFmtId="4">
    <nc r="E103">
      <v>9</v>
    </nc>
  </rcc>
  <rcc rId="1816" sId="8" numFmtId="4">
    <nc r="F103">
      <v>10</v>
    </nc>
  </rcc>
  <rcc rId="1817" sId="8" numFmtId="4">
    <nc r="G103">
      <v>0</v>
    </nc>
  </rcc>
  <rcc rId="1818" sId="8" numFmtId="4">
    <nc r="C104">
      <v>34</v>
    </nc>
  </rcc>
  <rcc rId="1819" sId="8" numFmtId="4">
    <nc r="D104">
      <v>8</v>
    </nc>
  </rcc>
  <rcc rId="1820" sId="8" numFmtId="4">
    <nc r="E104">
      <v>5</v>
    </nc>
  </rcc>
  <rcc rId="1821" sId="8" numFmtId="4">
    <nc r="F104">
      <v>15</v>
    </nc>
  </rcc>
  <rcc rId="1822" sId="8" numFmtId="4">
    <nc r="G104">
      <v>0</v>
    </nc>
  </rcc>
  <rcc rId="1823" sId="5" numFmtId="4">
    <nc r="C112">
      <v>48</v>
    </nc>
  </rcc>
  <rcc rId="1824" sId="5" numFmtId="4">
    <nc r="D112">
      <v>8</v>
    </nc>
  </rcc>
  <rcc rId="1825" sId="5" numFmtId="4">
    <nc r="E112">
      <v>7</v>
    </nc>
  </rcc>
  <rcc rId="1826" sId="5" numFmtId="4">
    <nc r="F112">
      <v>12</v>
    </nc>
  </rcc>
  <rcc rId="1827" sId="5" numFmtId="4">
    <nc r="G112">
      <v>7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>
  <rcc rId="1828" sId="11" numFmtId="4">
    <nc r="D75">
      <v>10</v>
    </nc>
  </rcc>
  <rcc rId="1829" sId="11" numFmtId="4">
    <nc r="E75">
      <v>21</v>
    </nc>
  </rcc>
  <rcc rId="1830" sId="11" numFmtId="4">
    <nc r="F75">
      <v>0</v>
    </nc>
  </rcc>
  <rcc rId="1831" sId="11" numFmtId="4">
    <nc r="G75">
      <v>12</v>
    </nc>
  </rcc>
  <rcc rId="1832" sId="11" numFmtId="4">
    <nc r="H75">
      <v>0</v>
    </nc>
  </rcc>
</revisions>
</file>

<file path=xl/revisions/revisionLog46.xml><?xml version="1.0" encoding="utf-8"?>
<revisions xmlns="http://schemas.openxmlformats.org/spreadsheetml/2006/main" xmlns:r="http://schemas.openxmlformats.org/officeDocument/2006/relationships">
  <rcc rId="1833" sId="5" numFmtId="4">
    <nc r="C113">
      <v>49</v>
    </nc>
  </rcc>
  <rcc rId="1834" sId="5" numFmtId="4">
    <nc r="D113">
      <v>11</v>
    </nc>
  </rcc>
  <rcc rId="1835" sId="5" numFmtId="4">
    <nc r="E113">
      <v>13</v>
    </nc>
  </rcc>
  <rcc rId="1836" sId="5" numFmtId="4">
    <nc r="F113">
      <v>5</v>
    </nc>
  </rcc>
  <rcc rId="1837" sId="5" numFmtId="4">
    <nc r="G113">
      <v>1</v>
    </nc>
  </rcc>
  <rcc rId="1838" sId="5" numFmtId="4">
    <nc r="C114">
      <v>49</v>
    </nc>
  </rcc>
  <rcc rId="1839" sId="5" numFmtId="4">
    <nc r="D114">
      <v>10</v>
    </nc>
  </rcc>
  <rcc rId="1840" sId="5" numFmtId="4">
    <nc r="E114">
      <v>4</v>
    </nc>
  </rcc>
  <rcc rId="1841" sId="5" numFmtId="4">
    <nc r="F114">
      <v>2</v>
    </nc>
  </rcc>
  <rcc rId="1842" sId="5" numFmtId="4">
    <nc r="G114">
      <v>0</v>
    </nc>
  </rcc>
  <rcc rId="1843" sId="5" numFmtId="4">
    <nc r="C115">
      <v>55</v>
    </nc>
  </rcc>
  <rcc rId="1844" sId="5" numFmtId="4">
    <nc r="D115">
      <v>9</v>
    </nc>
  </rcc>
  <rcc rId="1845" sId="5" numFmtId="4">
    <nc r="E115">
      <v>8</v>
    </nc>
  </rcc>
  <rcc rId="1846" sId="5" numFmtId="4">
    <nc r="F115">
      <v>6</v>
    </nc>
  </rcc>
  <rcc rId="1847" sId="5" numFmtId="4">
    <nc r="G115">
      <v>0</v>
    </nc>
  </rcc>
  <rcc rId="1848" sId="8" numFmtId="4">
    <nc r="C105">
      <v>21</v>
    </nc>
  </rcc>
  <rcc rId="1849" sId="8" numFmtId="4">
    <nc r="D105">
      <v>9</v>
    </nc>
  </rcc>
  <rcc rId="1850" sId="8" numFmtId="4">
    <nc r="E105">
      <v>12</v>
    </nc>
  </rcc>
  <rcc rId="1851" sId="8" numFmtId="4">
    <nc r="F105">
      <v>12</v>
    </nc>
  </rcc>
  <rcc rId="1852" sId="8" numFmtId="4">
    <nc r="G105">
      <v>1</v>
    </nc>
  </rcc>
  <rcc rId="1853" sId="8" numFmtId="4">
    <nc r="C106">
      <v>31</v>
    </nc>
  </rcc>
  <rcc rId="1854" sId="8" numFmtId="4">
    <nc r="D106">
      <v>3</v>
    </nc>
  </rcc>
  <rcc rId="1855" sId="8" numFmtId="4">
    <nc r="E106">
      <v>16</v>
    </nc>
  </rcc>
  <rcc rId="1856" sId="8" numFmtId="4">
    <nc r="F106">
      <v>9</v>
    </nc>
  </rcc>
  <rcc rId="1857" sId="8" numFmtId="4">
    <nc r="G106">
      <v>0</v>
    </nc>
  </rcc>
  <rcc rId="1858" sId="8" numFmtId="4">
    <nc r="C107">
      <v>37</v>
    </nc>
  </rcc>
  <rcc rId="1859" sId="8" numFmtId="4">
    <nc r="D107">
      <v>1</v>
    </nc>
  </rcc>
  <rcc rId="1860" sId="8" numFmtId="4">
    <nc r="E107">
      <v>5</v>
    </nc>
  </rcc>
  <rcc rId="1861" sId="8" numFmtId="4">
    <nc r="F107">
      <v>19</v>
    </nc>
  </rcc>
  <rcc rId="1862" sId="8" numFmtId="4">
    <nc r="G107">
      <v>0</v>
    </nc>
  </rcc>
  <rcc rId="1863" sId="8" numFmtId="4">
    <nc r="C108">
      <v>32</v>
    </nc>
  </rcc>
  <rcc rId="1864" sId="8" numFmtId="4">
    <nc r="D108">
      <v>8</v>
    </nc>
  </rcc>
  <rcc rId="1865" sId="8" numFmtId="4">
    <nc r="E108">
      <v>21</v>
    </nc>
  </rcc>
  <rcc rId="1866" sId="8" numFmtId="4">
    <nc r="F108">
      <v>24</v>
    </nc>
  </rcc>
  <rcc rId="1867" sId="8" numFmtId="4">
    <nc r="G108">
      <v>0</v>
    </nc>
  </rcc>
  <rcc rId="1868" sId="8" numFmtId="4">
    <nc r="C109">
      <v>29</v>
    </nc>
  </rcc>
  <rcc rId="1869" sId="8" numFmtId="4">
    <nc r="D109">
      <v>7</v>
    </nc>
  </rcc>
  <rcc rId="1870" sId="8" numFmtId="4">
    <nc r="E109">
      <v>10</v>
    </nc>
  </rcc>
  <rcc rId="1871" sId="8" numFmtId="4">
    <nc r="F109">
      <v>7</v>
    </nc>
  </rcc>
  <rcc rId="1872" sId="8" numFmtId="4">
    <nc r="G109">
      <v>3</v>
    </nc>
  </rcc>
  <rcc rId="1873" sId="8" numFmtId="4">
    <nc r="C110">
      <v>29</v>
    </nc>
  </rcc>
  <rcc rId="1874" sId="8" numFmtId="4">
    <nc r="D110">
      <v>6</v>
    </nc>
  </rcc>
  <rcc rId="1875" sId="8" numFmtId="4">
    <nc r="E110">
      <v>12</v>
    </nc>
  </rcc>
  <rcc rId="1876" sId="8" numFmtId="4">
    <nc r="F110">
      <v>12</v>
    </nc>
  </rcc>
  <rcc rId="1877" sId="8" numFmtId="4">
    <nc r="G110">
      <v>0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>
  <rcc rId="1878" sId="11" numFmtId="4">
    <nc r="C76">
      <v>17</v>
    </nc>
  </rcc>
  <rcc rId="1879" sId="11" numFmtId="4">
    <nc r="D76">
      <v>3</v>
    </nc>
  </rcc>
  <rcc rId="1880" sId="11" numFmtId="4">
    <nc r="E76">
      <v>5</v>
    </nc>
  </rcc>
  <rcc rId="1881" sId="11" numFmtId="4">
    <nc r="F76">
      <v>2</v>
    </nc>
  </rcc>
  <rcc rId="1882" sId="11" numFmtId="4">
    <nc r="G76">
      <v>14</v>
    </nc>
  </rcc>
  <rcc rId="1883" sId="11" numFmtId="4">
    <nc r="H76">
      <v>0</v>
    </nc>
  </rcc>
  <rcc rId="1884" sId="11" numFmtId="4">
    <nc r="C77">
      <v>17</v>
    </nc>
  </rcc>
  <rcc rId="1885" sId="11" numFmtId="4">
    <nc r="D77">
      <v>4</v>
    </nc>
  </rcc>
  <rcc rId="1886" sId="11" numFmtId="4">
    <nc r="E77">
      <v>7</v>
    </nc>
  </rcc>
  <rcc rId="1887" sId="11" numFmtId="4">
    <nc r="F77">
      <v>5</v>
    </nc>
  </rcc>
  <rcc rId="1888" sId="11" numFmtId="4">
    <nc r="G77">
      <v>16</v>
    </nc>
  </rcc>
  <rcc rId="1889" sId="11" numFmtId="4">
    <nc r="H77">
      <v>0</v>
    </nc>
  </rcc>
  <rcc rId="1890" sId="11" numFmtId="4">
    <nc r="C78">
      <v>8</v>
    </nc>
  </rcc>
  <rcc rId="1891" sId="11" numFmtId="4">
    <nc r="D78">
      <v>7</v>
    </nc>
  </rcc>
  <rcc rId="1892" sId="11" numFmtId="4">
    <nc r="E78">
      <v>6</v>
    </nc>
  </rcc>
  <rcc rId="1893" sId="11" numFmtId="4">
    <nc r="F78">
      <v>0</v>
    </nc>
  </rcc>
  <rcc rId="1894" sId="11" numFmtId="4">
    <nc r="G78">
      <v>5</v>
    </nc>
  </rcc>
  <rcc rId="1895" sId="11" numFmtId="4">
    <nc r="H78">
      <v>0</v>
    </nc>
  </rcc>
  <rcc rId="1896" sId="11" numFmtId="4">
    <oc r="D75">
      <v>10</v>
    </oc>
    <nc r="D75">
      <v>9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>
  <rcc rId="1897" sId="11" numFmtId="4">
    <nc r="C79">
      <v>15</v>
    </nc>
  </rcc>
  <rcc rId="1898" sId="11" numFmtId="4">
    <nc r="D79">
      <v>4</v>
    </nc>
  </rcc>
  <rcc rId="1899" sId="11" numFmtId="4">
    <nc r="E79">
      <v>0</v>
    </nc>
  </rcc>
  <rcc rId="1900" sId="11" numFmtId="4">
    <nc r="F79">
      <v>3</v>
    </nc>
  </rcc>
  <rcc rId="1901" sId="11" numFmtId="4">
    <nc r="G79">
      <v>11</v>
    </nc>
  </rcc>
  <rcc rId="1902" sId="11" numFmtId="4">
    <nc r="H79">
      <v>0</v>
    </nc>
  </rcc>
</revisions>
</file>

<file path=xl/revisions/revisionLog49.xml><?xml version="1.0" encoding="utf-8"?>
<revisions xmlns="http://schemas.openxmlformats.org/spreadsheetml/2006/main" xmlns:r="http://schemas.openxmlformats.org/officeDocument/2006/relationships">
  <rcc rId="1903" sId="8" numFmtId="4">
    <nc r="C111">
      <v>29</v>
    </nc>
  </rcc>
  <rcc rId="1904" sId="8" numFmtId="4">
    <nc r="D111">
      <v>5</v>
    </nc>
  </rcc>
  <rcc rId="1905" sId="8" numFmtId="4">
    <nc r="E111">
      <v>17</v>
    </nc>
  </rcc>
  <rcc rId="1906" sId="8" numFmtId="4">
    <nc r="F111">
      <v>8</v>
    </nc>
  </rcc>
  <rcc rId="1907" sId="8" numFmtId="4">
    <nc r="G111">
      <v>0</v>
    </nc>
  </rcc>
  <rcc rId="1908" sId="8" numFmtId="4">
    <nc r="C112">
      <v>37</v>
    </nc>
  </rcc>
  <rcc rId="1909" sId="8" numFmtId="4">
    <nc r="D112">
      <v>2</v>
    </nc>
  </rcc>
  <rcc rId="1910" sId="8" numFmtId="4">
    <nc r="E112">
      <v>3</v>
    </nc>
  </rcc>
  <rcc rId="1911" sId="8" numFmtId="4">
    <nc r="F112">
      <v>2</v>
    </nc>
  </rcc>
  <rcc rId="1912" sId="8" numFmtId="4">
    <nc r="G112">
      <v>0</v>
    </nc>
  </rcc>
  <rcc rId="1913" sId="8" numFmtId="4">
    <nc r="B113">
      <v>12</v>
    </nc>
  </rcc>
  <rcc rId="1914" sId="8" numFmtId="4">
    <nc r="B114">
      <v>12</v>
    </nc>
  </rcc>
  <rcc rId="1915" sId="8" numFmtId="4">
    <nc r="B115">
      <v>12</v>
    </nc>
  </rcc>
  <rcc rId="1916" sId="8" numFmtId="4">
    <nc r="B116">
      <v>12</v>
    </nc>
  </rcc>
  <rcc rId="1917" sId="8" numFmtId="4">
    <nc r="B117">
      <v>12</v>
    </nc>
  </rcc>
  <rcc rId="1918" sId="8" numFmtId="4">
    <nc r="B118">
      <v>12</v>
    </nc>
  </rcc>
  <rcc rId="1919" sId="8" numFmtId="4">
    <nc r="B119">
      <v>12</v>
    </nc>
  </rcc>
  <rcc rId="1920" sId="8" numFmtId="4">
    <nc r="B120">
      <v>12</v>
    </nc>
  </rcc>
  <rcc rId="1921" sId="8" numFmtId="4">
    <nc r="B121">
      <v>12</v>
    </nc>
  </rcc>
  <rcc rId="1922" sId="8" numFmtId="4">
    <nc r="B122">
      <v>12</v>
    </nc>
  </rcc>
  <rcc rId="1923" sId="8" numFmtId="4">
    <nc r="B123">
      <v>12</v>
    </nc>
  </rcc>
  <rcc rId="1924" sId="8" numFmtId="4">
    <nc r="B124">
      <v>12</v>
    </nc>
  </rcc>
  <rcc rId="1925" sId="8" numFmtId="4">
    <nc r="B125">
      <v>12</v>
    </nc>
  </rcc>
  <rcc rId="1926" sId="8" numFmtId="4">
    <nc r="B126">
      <v>12</v>
    </nc>
  </rcc>
  <rcc rId="1927" sId="5" numFmtId="4">
    <nc r="C116">
      <v>62</v>
    </nc>
  </rcc>
  <rcc rId="1928" sId="5" numFmtId="4">
    <nc r="D116">
      <v>9</v>
    </nc>
  </rcc>
  <rcc rId="1929" sId="5" numFmtId="4">
    <nc r="E116">
      <v>6</v>
    </nc>
  </rcc>
  <rcc rId="1930" sId="5" numFmtId="4">
    <nc r="F116">
      <v>12</v>
    </nc>
  </rcc>
  <rcc rId="1931" sId="5" numFmtId="4">
    <nc r="G116">
      <v>2</v>
    </nc>
  </rcc>
  <rcc rId="1932" sId="5" numFmtId="4">
    <nc r="C117">
      <v>43</v>
    </nc>
  </rcc>
  <rcc rId="1933" sId="5" numFmtId="4">
    <nc r="D117">
      <v>9</v>
    </nc>
  </rcc>
  <rcc rId="1934" sId="5" numFmtId="4">
    <nc r="E117">
      <v>5</v>
    </nc>
  </rcc>
  <rcc rId="1935" sId="5" numFmtId="4">
    <nc r="F117">
      <v>3</v>
    </nc>
  </rcc>
  <rcc rId="1936" sId="5" numFmtId="4">
    <nc r="G117">
      <v>0</v>
    </nc>
  </rcc>
  <rcc rId="1937" sId="5" numFmtId="4">
    <nc r="C118">
      <v>38</v>
    </nc>
  </rcc>
  <rcc rId="1938" sId="5" numFmtId="4">
    <nc r="D118">
      <v>7</v>
    </nc>
  </rcc>
  <rcc rId="1939" sId="5" numFmtId="4">
    <nc r="E118">
      <v>8</v>
    </nc>
  </rcc>
  <rcc rId="1940" sId="5" numFmtId="4">
    <nc r="F118">
      <v>10</v>
    </nc>
  </rcc>
  <rcc rId="1941" sId="5" numFmtId="4">
    <nc r="G118">
      <v>7</v>
    </nc>
  </rcc>
  <rcc rId="1942" sId="5" numFmtId="4">
    <nc r="C119">
      <v>51</v>
    </nc>
  </rcc>
  <rcc rId="1943" sId="5" numFmtId="4">
    <nc r="D119">
      <v>9</v>
    </nc>
  </rcc>
  <rcc rId="1944" sId="5" numFmtId="4">
    <nc r="E119">
      <v>6</v>
    </nc>
  </rcc>
  <rcc rId="1945" sId="5" numFmtId="4">
    <nc r="F119">
      <v>18</v>
    </nc>
  </rcc>
  <rcc rId="1946" sId="5" numFmtId="4">
    <nc r="G119">
      <v>1</v>
    </nc>
  </rcc>
  <rcc rId="1947" sId="8" numFmtId="4">
    <nc r="C113">
      <v>27</v>
    </nc>
  </rcc>
  <rcc rId="1948" sId="8" numFmtId="4">
    <nc r="D113">
      <v>7</v>
    </nc>
  </rcc>
  <rcc rId="1949" sId="8" numFmtId="4">
    <nc r="E113">
      <v>5</v>
    </nc>
  </rcc>
  <rcc rId="1950" sId="8" numFmtId="4">
    <nc r="F113">
      <v>13</v>
    </nc>
  </rcc>
  <rcc rId="1951" sId="8" numFmtId="4">
    <nc r="G113">
      <v>0</v>
    </nc>
  </rcc>
  <rcc rId="1952" sId="8" numFmtId="4">
    <nc r="C114">
      <v>27</v>
    </nc>
  </rcc>
  <rcc rId="1953" sId="8" numFmtId="4">
    <nc r="D114">
      <v>8</v>
    </nc>
  </rcc>
  <rcc rId="1954" sId="8" numFmtId="4">
    <nc r="E114">
      <v>15</v>
    </nc>
  </rcc>
  <rcc rId="1955" sId="8" numFmtId="4">
    <nc r="F114">
      <v>18</v>
    </nc>
  </rcc>
  <rcc rId="1956" sId="8" numFmtId="4">
    <nc r="G114">
      <v>2</v>
    </nc>
  </rcc>
  <rcc rId="1957" sId="8" numFmtId="4">
    <nc r="C115">
      <v>27</v>
    </nc>
  </rcc>
  <rcc rId="1958" sId="8" numFmtId="4">
    <nc r="D115">
      <v>6</v>
    </nc>
  </rcc>
  <rcc rId="1959" sId="8" numFmtId="4">
    <nc r="E115">
      <v>14</v>
    </nc>
  </rcc>
  <rcc rId="1960" sId="8" numFmtId="4">
    <nc r="F115">
      <v>15</v>
    </nc>
  </rcc>
  <rcc rId="1961" sId="8" numFmtId="4">
    <nc r="G115">
      <v>0</v>
    </nc>
  </rcc>
  <rcc rId="1962" sId="8" numFmtId="4">
    <nc r="C116">
      <v>28</v>
    </nc>
  </rcc>
  <rcc rId="1963" sId="8" numFmtId="4">
    <nc r="D116">
      <v>9</v>
    </nc>
  </rcc>
  <rcc rId="1964" sId="8" numFmtId="4">
    <nc r="E116">
      <v>0</v>
    </nc>
  </rcc>
  <rcc rId="1965" sId="8" numFmtId="4">
    <nc r="F116">
      <v>13</v>
    </nc>
  </rcc>
  <rcc rId="1966" sId="8" numFmtId="4">
    <nc r="G116">
      <v>0</v>
    </nc>
  </rcc>
  <rcc rId="1967" sId="8" numFmtId="4">
    <nc r="C117">
      <v>26</v>
    </nc>
  </rcc>
  <rcc rId="1968" sId="8" numFmtId="4">
    <nc r="D117">
      <v>9</v>
    </nc>
  </rcc>
  <rcc rId="1969" sId="8" numFmtId="4">
    <nc r="E117">
      <v>8</v>
    </nc>
  </rcc>
  <rcc rId="1970" sId="8" numFmtId="4">
    <nc r="F117">
      <v>35</v>
    </nc>
  </rcc>
  <rcc rId="1971" sId="8" numFmtId="4">
    <nc r="G117">
      <v>1</v>
    </nc>
  </rcc>
  <rcc rId="1972" sId="5" numFmtId="4">
    <nc r="C120">
      <v>44</v>
    </nc>
  </rcc>
  <rcc rId="1973" sId="5" numFmtId="4">
    <nc r="D120">
      <v>9</v>
    </nc>
  </rcc>
  <rcc rId="1974" sId="5" numFmtId="4">
    <nc r="E120">
      <v>4</v>
    </nc>
  </rcc>
  <rcc rId="1975" sId="5" numFmtId="4">
    <nc r="F120">
      <v>2</v>
    </nc>
  </rcc>
  <rcc rId="1976" sId="5" numFmtId="4">
    <nc r="G120">
      <v>1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>
  <rcc rId="1977" sId="5" numFmtId="4">
    <nc r="C116">
      <v>45</v>
    </nc>
  </rcc>
  <rcft rId="1927" sheetId="5"/>
</revisions>
</file>

<file path=xl/revisions/revisionLog51.xml><?xml version="1.0" encoding="utf-8"?>
<revisions xmlns="http://schemas.openxmlformats.org/spreadsheetml/2006/main" xmlns:r="http://schemas.openxmlformats.org/officeDocument/2006/relationships">
  <rcc rId="1978" sId="5" numFmtId="4">
    <nc r="C121">
      <v>45</v>
    </nc>
  </rcc>
  <rcc rId="1979" sId="5" numFmtId="4">
    <nc r="D121">
      <v>4</v>
    </nc>
  </rcc>
  <rcc rId="1980" sId="5" numFmtId="4">
    <nc r="E121">
      <v>7</v>
    </nc>
  </rcc>
  <rcc rId="1981" sId="5" numFmtId="4">
    <nc r="F121">
      <v>17</v>
    </nc>
  </rcc>
  <rcc rId="1982" sId="5" numFmtId="4">
    <nc r="G121">
      <v>3</v>
    </nc>
  </rcc>
  <rcc rId="1983" sId="8" numFmtId="4">
    <nc r="C118">
      <v>31</v>
    </nc>
  </rcc>
  <rcc rId="1984" sId="8" numFmtId="4">
    <nc r="D118">
      <v>4</v>
    </nc>
  </rcc>
  <rcc rId="1985" sId="8" numFmtId="4">
    <nc r="E118">
      <v>13</v>
    </nc>
  </rcc>
  <rcc rId="1986" sId="8" numFmtId="4">
    <nc r="F118">
      <v>12</v>
    </nc>
  </rcc>
  <rcc rId="1987" sId="8" numFmtId="4">
    <nc r="G118">
      <v>0</v>
    </nc>
  </rcc>
  <rcc rId="1988" sId="5" numFmtId="4">
    <nc r="C122">
      <v>60</v>
    </nc>
  </rcc>
  <rcc rId="1989" sId="5" numFmtId="4">
    <nc r="D122">
      <v>5</v>
    </nc>
  </rcc>
  <rcc rId="1990" sId="5" numFmtId="4">
    <nc r="E122">
      <v>7</v>
    </nc>
  </rcc>
  <rcc rId="1991" sId="5" numFmtId="4">
    <nc r="F122">
      <v>18</v>
    </nc>
  </rcc>
  <rcc rId="1992" sId="5" numFmtId="4">
    <nc r="G122">
      <v>0</v>
    </nc>
  </rcc>
  <rcc rId="1993" sId="5" numFmtId="4">
    <nc r="C123">
      <v>60</v>
    </nc>
  </rcc>
  <rcc rId="1994" sId="5" numFmtId="4">
    <nc r="D123">
      <v>6</v>
    </nc>
  </rcc>
  <rcc rId="1995" sId="5" numFmtId="4">
    <nc r="E123">
      <v>11</v>
    </nc>
  </rcc>
  <rcc rId="1996" sId="5" numFmtId="4">
    <nc r="F123">
      <v>14</v>
    </nc>
  </rcc>
  <rcc rId="1997" sId="5" numFmtId="4">
    <nc r="G123">
      <v>0</v>
    </nc>
  </rcc>
  <rcc rId="1998" sId="11" numFmtId="4">
    <nc r="C80">
      <v>7</v>
    </nc>
  </rcc>
  <rcc rId="1999" sId="11" numFmtId="4">
    <nc r="D80">
      <v>9</v>
    </nc>
  </rcc>
  <rcc rId="2000" sId="11" numFmtId="4">
    <nc r="E80">
      <v>10</v>
    </nc>
  </rcc>
  <rcc rId="2001" sId="11" numFmtId="4">
    <nc r="F80">
      <v>6</v>
    </nc>
  </rcc>
  <rcc rId="2002" sId="11" numFmtId="4">
    <nc r="G80">
      <v>13</v>
    </nc>
  </rcc>
  <rcc rId="2003" sId="11" numFmtId="4">
    <nc r="H80">
      <v>1</v>
    </nc>
  </rcc>
  <rcc rId="2004" sId="8" numFmtId="4">
    <nc r="C119">
      <v>24</v>
    </nc>
  </rcc>
  <rcc rId="2005" sId="8" numFmtId="4">
    <nc r="D119">
      <v>10</v>
    </nc>
  </rcc>
  <rcc rId="2006" sId="8" numFmtId="4">
    <nc r="E119">
      <v>15</v>
    </nc>
  </rcc>
</revisions>
</file>

<file path=xl/revisions/revisionLog52.xml><?xml version="1.0" encoding="utf-8"?>
<revisions xmlns="http://schemas.openxmlformats.org/spreadsheetml/2006/main" xmlns:r="http://schemas.openxmlformats.org/officeDocument/2006/relationships">
  <rcc rId="2007" sId="8" numFmtId="4">
    <nc r="F119">
      <v>0</v>
    </nc>
  </rcc>
  <rcc rId="2008" sId="8" numFmtId="4">
    <nc r="G119">
      <v>0</v>
    </nc>
  </rcc>
  <rcc rId="2009" sId="8" numFmtId="4">
    <nc r="C120">
      <v>24</v>
    </nc>
  </rcc>
  <rcc rId="2010" sId="8" numFmtId="4">
    <nc r="D120">
      <v>10</v>
    </nc>
  </rcc>
  <rcc rId="2011" sId="8" numFmtId="4">
    <nc r="E120">
      <v>15</v>
    </nc>
  </rcc>
  <rcc rId="2012" sId="8" numFmtId="4">
    <nc r="G120">
      <v>0</v>
    </nc>
  </rcc>
  <rcc rId="2013" sId="8" numFmtId="4">
    <nc r="F120">
      <v>10</v>
    </nc>
  </rcc>
  <rcc rId="2014" sId="8" numFmtId="4">
    <nc r="C121">
      <v>23</v>
    </nc>
  </rcc>
  <rcc rId="2015" sId="8" numFmtId="4">
    <nc r="D121">
      <v>10</v>
    </nc>
  </rcc>
  <rcc rId="2016" sId="8" numFmtId="4">
    <nc r="E121">
      <v>10</v>
    </nc>
  </rcc>
  <rcc rId="2017" sId="8" numFmtId="4">
    <nc r="F121">
      <v>15</v>
    </nc>
  </rcc>
  <rcc rId="2018" sId="8" numFmtId="4">
    <nc r="G121">
      <v>0</v>
    </nc>
  </rcc>
  <rcc rId="2019" sId="8" numFmtId="4">
    <nc r="C122">
      <v>19</v>
    </nc>
  </rcc>
  <rcc rId="2020" sId="8" numFmtId="4">
    <nc r="D122">
      <v>10</v>
    </nc>
  </rcc>
  <rcc rId="2021" sId="8" numFmtId="4">
    <nc r="E122">
      <v>1</v>
    </nc>
  </rcc>
  <rcc rId="2022" sId="8" numFmtId="4">
    <nc r="F122">
      <v>6</v>
    </nc>
  </rcc>
  <rcc rId="2023" sId="8" numFmtId="4">
    <nc r="G122">
      <v>0</v>
    </nc>
  </rcc>
  <rcc rId="2024" sId="11" numFmtId="4">
    <nc r="C81">
      <v>7</v>
    </nc>
  </rcc>
  <rcc rId="2025" sId="11" numFmtId="4">
    <nc r="D81">
      <v>10</v>
    </nc>
  </rcc>
  <rcc rId="2026" sId="11" numFmtId="4">
    <nc r="E81">
      <v>15</v>
    </nc>
  </rcc>
  <rcc rId="2027" sId="11" numFmtId="4">
    <nc r="F81">
      <v>5</v>
    </nc>
  </rcc>
  <rcc rId="2028" sId="11" numFmtId="4">
    <nc r="G81">
      <v>10</v>
    </nc>
  </rcc>
  <rcc rId="2029" sId="11" numFmtId="4">
    <nc r="H81">
      <v>3</v>
    </nc>
  </rcc>
  <rcc rId="2030" sId="5" numFmtId="4">
    <nc r="C124">
      <v>39</v>
    </nc>
  </rcc>
  <rcc rId="2031" sId="5" numFmtId="4">
    <nc r="D124">
      <v>10</v>
    </nc>
  </rcc>
  <rcc rId="2032" sId="5" numFmtId="4">
    <nc r="E124">
      <v>9</v>
    </nc>
  </rcc>
  <rcc rId="2033" sId="5" numFmtId="4">
    <nc r="F124">
      <v>4</v>
    </nc>
  </rcc>
  <rcc rId="2034" sId="5" numFmtId="4">
    <nc r="G124">
      <v>2</v>
    </nc>
  </rcc>
  <rcc rId="2035" sId="11" numFmtId="4">
    <nc r="C82">
      <v>1</v>
    </nc>
  </rcc>
  <rcc rId="2036" sId="11" numFmtId="4">
    <nc r="D82">
      <v>8</v>
    </nc>
  </rcc>
  <rcc rId="2037" sId="11" numFmtId="4">
    <nc r="E82">
      <v>0</v>
    </nc>
  </rcc>
  <rcc rId="2038" sId="11" numFmtId="4">
    <nc r="F82">
      <v>3</v>
    </nc>
  </rcc>
  <rcc rId="2039" sId="11" numFmtId="4">
    <nc r="G82">
      <v>11</v>
    </nc>
  </rcc>
  <rcc rId="2040" sId="11" numFmtId="4">
    <nc r="H82">
      <v>0</v>
    </nc>
  </rcc>
  <rcc rId="2041" sId="8" numFmtId="4">
    <nc r="C123">
      <v>18</v>
    </nc>
  </rcc>
  <rcc rId="2042" sId="8" numFmtId="4">
    <nc r="D123">
      <v>9</v>
    </nc>
  </rcc>
  <rcc rId="2043" sId="8" numFmtId="4">
    <nc r="E123">
      <v>1</v>
    </nc>
  </rcc>
  <rcc rId="2044" sId="8" numFmtId="4">
    <nc r="F123">
      <v>7</v>
    </nc>
  </rcc>
  <rcc rId="2045" sId="8" numFmtId="4">
    <nc r="G123">
      <v>0</v>
    </nc>
  </rcc>
</revisions>
</file>

<file path=xl/revisions/revisionLog53.xml><?xml version="1.0" encoding="utf-8"?>
<revisions xmlns="http://schemas.openxmlformats.org/spreadsheetml/2006/main" xmlns:r="http://schemas.openxmlformats.org/officeDocument/2006/relationships">
  <rcc rId="2046" sId="5" numFmtId="4">
    <nc r="C125">
      <v>48</v>
    </nc>
  </rcc>
  <rcc rId="2047" sId="5" numFmtId="4">
    <nc r="D125">
      <v>9</v>
    </nc>
  </rcc>
  <rcc rId="2048" sId="5" numFmtId="4">
    <nc r="E125">
      <v>7</v>
    </nc>
  </rcc>
  <rcc rId="2049" sId="5" numFmtId="4">
    <nc r="F125">
      <v>14</v>
    </nc>
  </rcc>
  <rcc rId="2050" sId="5" numFmtId="4">
    <nc r="G125">
      <v>3</v>
    </nc>
  </rcc>
  <rcc rId="2051" sId="8" numFmtId="4">
    <nc r="C124">
      <v>34</v>
    </nc>
  </rcc>
  <rcc rId="2052" sId="8" numFmtId="4">
    <nc r="D124">
      <v>9</v>
    </nc>
  </rcc>
  <rcc rId="2053" sId="8" numFmtId="4">
    <nc r="E124">
      <v>4</v>
    </nc>
  </rcc>
  <rcc rId="2054" sId="8" numFmtId="4">
    <nc r="F124">
      <v>7</v>
    </nc>
  </rcc>
  <rcc rId="2055" sId="8" numFmtId="4">
    <nc r="G124">
      <v>0</v>
    </nc>
  </rcc>
  <rcc rId="2056" sId="8" numFmtId="4">
    <nc r="C125">
      <v>25</v>
    </nc>
  </rcc>
  <rcc rId="2057" sId="8" numFmtId="4">
    <nc r="D125">
      <v>7</v>
    </nc>
  </rcc>
  <rcc rId="2058" sId="8" numFmtId="4">
    <nc r="E125">
      <v>9</v>
    </nc>
  </rcc>
  <rcc rId="2059" sId="8" numFmtId="4">
    <nc r="F125">
      <v>13</v>
    </nc>
  </rcc>
  <rcc rId="2060" sId="8" numFmtId="4">
    <nc r="G125">
      <v>2</v>
    </nc>
  </rcc>
  <rcc rId="2061" sId="8" numFmtId="4">
    <nc r="C126">
      <v>25</v>
    </nc>
  </rcc>
  <rcc rId="2062" sId="8" numFmtId="4">
    <nc r="D126">
      <v>6</v>
    </nc>
  </rcc>
  <rcc rId="2063" sId="8" numFmtId="4">
    <nc r="E126">
      <v>8</v>
    </nc>
  </rcc>
  <rcc rId="2064" sId="8" numFmtId="4">
    <nc r="F126">
      <v>10</v>
    </nc>
  </rcc>
  <rcc rId="2065" sId="8" numFmtId="4">
    <nc r="G126">
      <v>6</v>
    </nc>
  </rcc>
  <rcc rId="2066" sId="11" numFmtId="4">
    <nc r="C83">
      <v>12</v>
    </nc>
  </rcc>
  <rcc rId="2067" sId="11" numFmtId="4">
    <nc r="D83">
      <v>5</v>
    </nc>
  </rcc>
  <rcc rId="2068" sId="11" numFmtId="4">
    <nc r="E83">
      <v>7</v>
    </nc>
  </rcc>
  <rcc rId="2069" sId="11" numFmtId="4">
    <nc r="F83">
      <v>2</v>
    </nc>
  </rcc>
  <rcc rId="2070" sId="11" numFmtId="4">
    <nc r="G83">
      <v>3</v>
    </nc>
  </rcc>
  <rcc rId="2071" sId="11" numFmtId="4">
    <nc r="H83">
      <v>0</v>
    </nc>
  </rcc>
  <rcc rId="2072" sId="8" numFmtId="4">
    <nc r="B127">
      <v>12</v>
    </nc>
  </rcc>
  <rcc rId="2073" sId="8" numFmtId="4">
    <nc r="C127">
      <v>21</v>
    </nc>
  </rcc>
  <rcc rId="2074" sId="8" numFmtId="4">
    <nc r="D127">
      <v>10</v>
    </nc>
  </rcc>
  <rcc rId="2075" sId="8" numFmtId="4">
    <nc r="E127">
      <v>11</v>
    </nc>
  </rcc>
  <rcc rId="2076" sId="8" numFmtId="4">
    <nc r="F127">
      <v>13</v>
    </nc>
  </rcc>
  <rcc rId="2077" sId="8" numFmtId="4">
    <nc r="G127">
      <v>1</v>
    </nc>
  </rcc>
  <rcc rId="2078" sId="5" numFmtId="4">
    <nc r="C126">
      <v>51</v>
    </nc>
  </rcc>
  <rcc rId="2079" sId="5" numFmtId="4">
    <nc r="D126">
      <v>10</v>
    </nc>
  </rcc>
  <rcc rId="2080" sId="5" numFmtId="4">
    <nc r="E126">
      <v>5</v>
    </nc>
  </rcc>
  <rcc rId="2081" sId="5" numFmtId="4">
    <nc r="F126">
      <v>19</v>
    </nc>
  </rcc>
  <rcc rId="2082" sId="5" numFmtId="4">
    <nc r="G126">
      <v>1</v>
    </nc>
  </rcc>
  <rcc rId="2083" sId="5" numFmtId="4">
    <nc r="C127">
      <v>62</v>
    </nc>
  </rcc>
  <rcc rId="2084" sId="5" numFmtId="4">
    <nc r="D127">
      <v>10</v>
    </nc>
  </rcc>
  <rcc rId="2085" sId="5" numFmtId="4">
    <nc r="E127">
      <v>15</v>
    </nc>
  </rcc>
  <rcc rId="2086" sId="5" numFmtId="4">
    <nc r="F127">
      <v>9</v>
    </nc>
  </rcc>
  <rcc rId="2087" sId="5" numFmtId="4">
    <nc r="G127">
      <v>3</v>
    </nc>
  </rcc>
  <rcc rId="2088" sId="5" numFmtId="4">
    <nc r="C128">
      <v>55</v>
    </nc>
  </rcc>
  <rcc rId="2089" sId="5" numFmtId="4">
    <nc r="D128">
      <v>10</v>
    </nc>
  </rcc>
  <rcc rId="2090" sId="5" numFmtId="4">
    <nc r="E128">
      <v>9</v>
    </nc>
  </rcc>
  <rcc rId="2091" sId="5" numFmtId="4">
    <nc r="F128">
      <v>8</v>
    </nc>
  </rcc>
  <rcc rId="2092" sId="5" numFmtId="4">
    <nc r="G128">
      <v>0</v>
    </nc>
  </rcc>
  <rcc rId="2093" sId="5" numFmtId="4">
    <nc r="C129">
      <v>43</v>
    </nc>
  </rcc>
  <rcc rId="2094" sId="5" numFmtId="4">
    <nc r="D129">
      <v>10</v>
    </nc>
  </rcc>
  <rcc rId="2095" sId="5" numFmtId="4">
    <nc r="E129">
      <v>3</v>
    </nc>
  </rcc>
  <rcc rId="2096" sId="5" numFmtId="4">
    <nc r="F129">
      <v>1</v>
    </nc>
  </rcc>
  <rcc rId="2097" sId="5" numFmtId="4">
    <nc r="G129">
      <v>1</v>
    </nc>
  </rcc>
  <rcc rId="2098" sId="5" numFmtId="4">
    <nc r="B131">
      <v>18</v>
    </nc>
  </rcc>
  <rcc rId="2099" sId="5" numFmtId="4">
    <nc r="B132">
      <v>18</v>
    </nc>
  </rcc>
  <rcc rId="2100" sId="5" numFmtId="4">
    <nc r="B133">
      <v>18</v>
    </nc>
  </rcc>
  <rcc rId="2101" sId="5" numFmtId="4">
    <nc r="B134">
      <v>18</v>
    </nc>
  </rcc>
  <rcc rId="2102" sId="5" numFmtId="4">
    <nc r="B135">
      <v>18</v>
    </nc>
  </rcc>
  <rcc rId="2103" sId="5" numFmtId="4">
    <nc r="B136">
      <v>18</v>
    </nc>
  </rcc>
  <rcc rId="2104" sId="5" numFmtId="4">
    <nc r="B137">
      <v>18</v>
    </nc>
  </rcc>
  <rcc rId="2105" sId="5" numFmtId="4">
    <nc r="B138">
      <v>18</v>
    </nc>
  </rcc>
  <rcc rId="2106" sId="5" numFmtId="4">
    <nc r="B139">
      <v>18</v>
    </nc>
  </rcc>
  <rcc rId="2107" sId="5" numFmtId="4">
    <nc r="B140">
      <v>18</v>
    </nc>
  </rcc>
  <rcc rId="2108" sId="5" numFmtId="4">
    <nc r="B141">
      <v>18</v>
    </nc>
  </rcc>
  <rcc rId="2109" sId="5" numFmtId="4">
    <nc r="B142">
      <v>18</v>
    </nc>
  </rcc>
  <rcc rId="2110" sId="5" numFmtId="4">
    <nc r="B143">
      <v>18</v>
    </nc>
  </rcc>
  <rcc rId="2111" sId="5" numFmtId="4">
    <nc r="B144">
      <v>18</v>
    </nc>
  </rcc>
  <rcc rId="2112" sId="5" numFmtId="4">
    <nc r="B145">
      <v>18</v>
    </nc>
  </rcc>
  <rcc rId="2113" sId="5" numFmtId="4">
    <nc r="B146">
      <v>18</v>
    </nc>
  </rcc>
  <rcc rId="2114" sId="5" numFmtId="4">
    <nc r="B147">
      <v>18</v>
    </nc>
  </rcc>
  <rcc rId="2115" sId="5" numFmtId="4">
    <nc r="B148">
      <v>18</v>
    </nc>
  </rcc>
  <rcc rId="2116" sId="5" numFmtId="4">
    <nc r="B149">
      <v>18</v>
    </nc>
  </rcc>
  <rcc rId="2117" sId="5" numFmtId="4">
    <nc r="B150">
      <v>18</v>
    </nc>
  </rcc>
  <rcc rId="2118" sId="5" numFmtId="4">
    <nc r="B151">
      <v>18</v>
    </nc>
  </rcc>
  <rcc rId="2119" sId="5" numFmtId="4">
    <nc r="B152">
      <v>18</v>
    </nc>
  </rcc>
  <rcc rId="2120" sId="5" numFmtId="4">
    <nc r="B153">
      <v>18</v>
    </nc>
  </rcc>
  <rcc rId="2121" sId="5" numFmtId="4">
    <nc r="B154">
      <v>18</v>
    </nc>
  </rcc>
  <rcc rId="2122" sId="5" numFmtId="4">
    <nc r="B155">
      <v>18</v>
    </nc>
  </rcc>
  <rcc rId="2123" sId="5" numFmtId="4">
    <nc r="B156">
      <v>18</v>
    </nc>
  </rcc>
  <rcc rId="2124" sId="5" numFmtId="4">
    <nc r="B157">
      <v>18</v>
    </nc>
  </rcc>
  <rcc rId="2125" sId="5" numFmtId="4">
    <nc r="B158">
      <v>18</v>
    </nc>
  </rcc>
  <rcc rId="2126" sId="5" numFmtId="4">
    <nc r="B159">
      <v>18</v>
    </nc>
  </rcc>
  <rcc rId="2127" sId="5" numFmtId="4">
    <nc r="B160">
      <v>18</v>
    </nc>
  </rcc>
  <rcc rId="2128" sId="5" numFmtId="4">
    <nc r="B161">
      <v>18</v>
    </nc>
  </rcc>
  <rcc rId="2129" sId="5" numFmtId="4">
    <nc r="B162">
      <v>18</v>
    </nc>
  </rcc>
  <rcc rId="2130" sId="5" numFmtId="4">
    <nc r="B163">
      <v>18</v>
    </nc>
  </rcc>
  <rcc rId="2131" sId="5" numFmtId="4">
    <nc r="B164">
      <v>18</v>
    </nc>
  </rcc>
  <rcc rId="2132" sId="5" numFmtId="4">
    <nc r="C130">
      <v>44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>
  <rcc rId="2133" sId="5" numFmtId="4">
    <nc r="D130">
      <v>10</v>
    </nc>
  </rcc>
  <rcc rId="2134" sId="5" numFmtId="4">
    <nc r="E130">
      <v>3</v>
    </nc>
  </rcc>
  <rcc rId="2135" sId="5" numFmtId="4">
    <nc r="F130">
      <v>4</v>
    </nc>
  </rcc>
  <rcc rId="2136" sId="5" numFmtId="4">
    <nc r="G130">
      <v>2</v>
    </nc>
  </rcc>
  <rcc rId="2137" sId="5" numFmtId="4">
    <nc r="C131">
      <v>48</v>
    </nc>
  </rcc>
  <rcc rId="2138" sId="5" numFmtId="4">
    <nc r="D131">
      <v>10</v>
    </nc>
  </rcc>
  <rcc rId="2139" sId="5" numFmtId="4">
    <nc r="E131">
      <v>8</v>
    </nc>
  </rcc>
  <rcc rId="2140" sId="5" numFmtId="4">
    <nc r="F131">
      <v>13</v>
    </nc>
  </rcc>
  <rcc rId="2141" sId="5" numFmtId="4">
    <nc r="G131">
      <v>6</v>
    </nc>
  </rcc>
  <rcc rId="2142" sId="8" numFmtId="4">
    <nc r="B128">
      <v>12</v>
    </nc>
  </rcc>
  <rcc rId="2143" sId="8" numFmtId="4">
    <nc r="B129">
      <v>12</v>
    </nc>
  </rcc>
  <rcc rId="2144" sId="8" numFmtId="4">
    <nc r="B130">
      <v>12</v>
    </nc>
  </rcc>
  <rcc rId="2145" sId="8" numFmtId="4">
    <nc r="B131">
      <v>12</v>
    </nc>
  </rcc>
  <rcc rId="2146" sId="8" numFmtId="4">
    <nc r="B132">
      <v>12</v>
    </nc>
  </rcc>
  <rcc rId="2147" sId="8" numFmtId="4">
    <nc r="B133">
      <v>12</v>
    </nc>
  </rcc>
  <rcc rId="2148" sId="8" numFmtId="4">
    <nc r="B134">
      <v>12</v>
    </nc>
  </rcc>
  <rcc rId="2149" sId="8" numFmtId="4">
    <nc r="B135">
      <v>12</v>
    </nc>
  </rcc>
  <rcc rId="2150" sId="8" numFmtId="4">
    <nc r="B136">
      <v>12</v>
    </nc>
  </rcc>
  <rcc rId="2151" sId="8" numFmtId="4">
    <nc r="B137">
      <v>12</v>
    </nc>
  </rcc>
  <rcc rId="2152" sId="8" numFmtId="4">
    <nc r="B138">
      <v>12</v>
    </nc>
  </rcc>
  <rcc rId="2153" sId="8" numFmtId="4">
    <nc r="B139">
      <v>12</v>
    </nc>
  </rcc>
  <rcc rId="2154" sId="8" numFmtId="4">
    <nc r="B140">
      <v>12</v>
    </nc>
  </rcc>
  <rcc rId="2155" sId="8" numFmtId="4">
    <nc r="B141">
      <v>12</v>
    </nc>
  </rcc>
  <rcc rId="2156" sId="8" numFmtId="4">
    <nc r="B142">
      <v>12</v>
    </nc>
  </rcc>
  <rcc rId="2157" sId="8" numFmtId="4">
    <nc r="B143">
      <v>12</v>
    </nc>
  </rcc>
  <rcc rId="2158" sId="8" numFmtId="4">
    <nc r="B144">
      <v>12</v>
    </nc>
  </rcc>
  <rcc rId="2159" sId="8" numFmtId="4">
    <nc r="B145">
      <v>12</v>
    </nc>
  </rcc>
  <rcc rId="2160" sId="8" numFmtId="4">
    <nc r="B146">
      <v>12</v>
    </nc>
  </rcc>
  <rcc rId="2161" sId="8" numFmtId="4">
    <nc r="B147">
      <v>12</v>
    </nc>
  </rcc>
  <rcc rId="2162" sId="8" numFmtId="4">
    <nc r="B148">
      <v>12</v>
    </nc>
  </rcc>
  <rcc rId="2163" sId="8" numFmtId="4">
    <nc r="B149">
      <v>12</v>
    </nc>
  </rcc>
  <rcc rId="2164" sId="8" numFmtId="4">
    <nc r="B150">
      <v>12</v>
    </nc>
  </rcc>
  <rcc rId="2165" sId="8" numFmtId="4">
    <nc r="B151">
      <v>12</v>
    </nc>
  </rcc>
  <rcc rId="2166" sId="8" numFmtId="4">
    <nc r="B152">
      <v>12</v>
    </nc>
  </rcc>
  <rcc rId="2167" sId="8" numFmtId="4">
    <nc r="B153">
      <v>12</v>
    </nc>
  </rcc>
  <rcc rId="2168" sId="8" numFmtId="4">
    <nc r="B154">
      <v>12</v>
    </nc>
  </rcc>
  <rcc rId="2169" sId="8" numFmtId="4">
    <nc r="B155">
      <v>12</v>
    </nc>
  </rcc>
  <rcc rId="2170" sId="8" numFmtId="4">
    <nc r="B156">
      <v>12</v>
    </nc>
  </rcc>
  <rcc rId="2171" sId="8" numFmtId="4">
    <nc r="B157">
      <v>12</v>
    </nc>
  </rcc>
  <rcc rId="2172" sId="8" numFmtId="4">
    <nc r="B158">
      <v>12</v>
    </nc>
  </rcc>
  <rcc rId="2173" sId="8" numFmtId="4">
    <nc r="B159">
      <v>12</v>
    </nc>
  </rcc>
  <rcc rId="2174" sId="8" numFmtId="4">
    <nc r="B160">
      <v>12</v>
    </nc>
  </rcc>
  <rcc rId="2175" sId="8" numFmtId="4">
    <nc r="B161">
      <v>12</v>
    </nc>
  </rcc>
  <rcc rId="2176" sId="8" numFmtId="4">
    <nc r="B162">
      <v>12</v>
    </nc>
  </rcc>
  <rcc rId="2177" sId="8" numFmtId="4">
    <nc r="B163">
      <v>12</v>
    </nc>
  </rcc>
  <rcc rId="2178" sId="8" numFmtId="4">
    <nc r="B164">
      <v>12</v>
    </nc>
  </rcc>
  <rcc rId="2179" sId="8" numFmtId="4">
    <nc r="B165">
      <v>12</v>
    </nc>
  </rcc>
  <rcc rId="2180" sId="8" numFmtId="4">
    <nc r="B166">
      <v>12</v>
    </nc>
  </rcc>
  <rcc rId="2181" sId="8" numFmtId="4">
    <nc r="B167">
      <v>12</v>
    </nc>
  </rcc>
  <rcc rId="2182" sId="8" numFmtId="4">
    <nc r="B168">
      <v>12</v>
    </nc>
  </rcc>
  <rcc rId="2183" sId="8" numFmtId="4">
    <nc r="B169">
      <v>12</v>
    </nc>
  </rcc>
  <rcc rId="2184" sId="8" numFmtId="4">
    <nc r="B170">
      <v>12</v>
    </nc>
  </rcc>
  <rcc rId="2185" sId="8" numFmtId="4">
    <nc r="B171">
      <v>12</v>
    </nc>
  </rcc>
  <rcc rId="2186" sId="8" numFmtId="4">
    <nc r="B172">
      <v>12</v>
    </nc>
  </rcc>
  <rcc rId="2187" sId="8" numFmtId="4">
    <nc r="B173">
      <v>12</v>
    </nc>
  </rcc>
  <rcc rId="2188" sId="8" numFmtId="4">
    <nc r="B174">
      <v>12</v>
    </nc>
  </rcc>
  <rcc rId="2189" sId="8" numFmtId="4">
    <nc r="B175">
      <v>12</v>
    </nc>
  </rcc>
  <rcc rId="2190" sId="8" numFmtId="4">
    <nc r="B176">
      <v>12</v>
    </nc>
  </rcc>
  <rcc rId="2191" sId="8" numFmtId="4">
    <nc r="B177">
      <v>12</v>
    </nc>
  </rcc>
  <rcc rId="2192" sId="8" numFmtId="4">
    <nc r="B178">
      <v>12</v>
    </nc>
  </rcc>
  <rcc rId="2193" sId="8" numFmtId="4">
    <nc r="B179">
      <v>12</v>
    </nc>
  </rcc>
  <rcc rId="2194" sId="8" numFmtId="4">
    <nc r="B180">
      <v>12</v>
    </nc>
  </rcc>
  <rcc rId="2195" sId="8" numFmtId="4">
    <nc r="B181">
      <v>12</v>
    </nc>
  </rcc>
  <rcc rId="2196" sId="8" numFmtId="4">
    <nc r="B182">
      <v>12</v>
    </nc>
  </rcc>
  <rcc rId="2197" sId="8" numFmtId="4">
    <nc r="B183">
      <v>12</v>
    </nc>
  </rcc>
  <rcc rId="2198" sId="8" numFmtId="4">
    <nc r="B184">
      <v>12</v>
    </nc>
  </rcc>
  <rcc rId="2199" sId="8" numFmtId="4">
    <nc r="B185">
      <v>12</v>
    </nc>
  </rcc>
  <rcc rId="2200" sId="8" numFmtId="4">
    <nc r="B186">
      <v>12</v>
    </nc>
  </rcc>
  <rcc rId="2201" sId="8" numFmtId="4">
    <nc r="B187">
      <v>12</v>
    </nc>
  </rcc>
  <rcc rId="2202" sId="8" numFmtId="4">
    <nc r="B188">
      <v>12</v>
    </nc>
  </rcc>
  <rcc rId="2203" sId="8" numFmtId="4">
    <nc r="B189">
      <v>12</v>
    </nc>
  </rcc>
  <rcc rId="2204" sId="8" numFmtId="4">
    <nc r="B190">
      <v>12</v>
    </nc>
  </rcc>
  <rcc rId="2205" sId="8" numFmtId="4">
    <nc r="B191">
      <v>12</v>
    </nc>
  </rcc>
  <rcc rId="2206" sId="8" numFmtId="4">
    <nc r="B192">
      <v>12</v>
    </nc>
  </rcc>
  <rcc rId="2207" sId="8" numFmtId="4">
    <nc r="B193">
      <v>12</v>
    </nc>
  </rcc>
  <rcc rId="2208" sId="8" numFmtId="4">
    <nc r="B194">
      <v>12</v>
    </nc>
  </rcc>
  <rcc rId="2209" sId="8" numFmtId="4">
    <nc r="B195">
      <v>12</v>
    </nc>
  </rcc>
  <rcc rId="2210" sId="8" numFmtId="4">
    <nc r="B196">
      <v>12</v>
    </nc>
  </rcc>
  <rcc rId="2211" sId="8" numFmtId="4">
    <nc r="B197">
      <v>12</v>
    </nc>
  </rcc>
  <rcc rId="2212" sId="8" numFmtId="4">
    <nc r="B198">
      <v>12</v>
    </nc>
  </rcc>
  <rcc rId="2213" sId="8" numFmtId="4">
    <nc r="B199">
      <v>12</v>
    </nc>
  </rcc>
  <rcc rId="2214" sId="8" numFmtId="4">
    <nc r="B200">
      <v>12</v>
    </nc>
  </rcc>
  <rcc rId="2215" sId="8" numFmtId="4">
    <nc r="B201">
      <v>12</v>
    </nc>
  </rcc>
  <rcc rId="2216" sId="8" numFmtId="4">
    <nc r="B202">
      <v>12</v>
    </nc>
  </rcc>
  <rcc rId="2217" sId="8" numFmtId="4">
    <nc r="B203">
      <v>12</v>
    </nc>
  </rcc>
  <rcc rId="2218" sId="8" numFmtId="4">
    <nc r="B204">
      <v>12</v>
    </nc>
  </rcc>
  <rcc rId="2219" sId="8" numFmtId="4">
    <nc r="B205">
      <v>12</v>
    </nc>
  </rcc>
  <rcc rId="2220" sId="8" numFmtId="4">
    <nc r="B206">
      <v>12</v>
    </nc>
  </rcc>
  <rcc rId="2221" sId="8" numFmtId="4">
    <nc r="B207">
      <v>12</v>
    </nc>
  </rcc>
  <rcc rId="2222" sId="8" numFmtId="4">
    <nc r="B208">
      <v>12</v>
    </nc>
  </rcc>
  <rcc rId="2223" sId="8" numFmtId="4">
    <nc r="B209">
      <v>12</v>
    </nc>
  </rcc>
  <rcc rId="2224" sId="8" numFmtId="4">
    <nc r="B210">
      <v>12</v>
    </nc>
  </rcc>
  <rcc rId="2225" sId="8" numFmtId="4">
    <nc r="B211">
      <v>12</v>
    </nc>
  </rcc>
  <rcc rId="2226" sId="8" numFmtId="4">
    <nc r="B212">
      <v>12</v>
    </nc>
  </rcc>
  <rcc rId="2227" sId="8" numFmtId="4">
    <nc r="C128">
      <v>34</v>
    </nc>
  </rcc>
  <rcc rId="2228" sId="8" numFmtId="4">
    <nc r="D128">
      <v>10</v>
    </nc>
  </rcc>
  <rcc rId="2229" sId="8" numFmtId="4">
    <nc r="E128">
      <v>1</v>
    </nc>
  </rcc>
  <rcc rId="2230" sId="8" numFmtId="4">
    <nc r="F128">
      <v>9</v>
    </nc>
  </rcc>
  <rcc rId="2231" sId="8" numFmtId="4">
    <nc r="G128">
      <v>0</v>
    </nc>
  </rcc>
  <rcc rId="2232" sId="11" numFmtId="4">
    <nc r="C84">
      <v>4</v>
    </nc>
  </rcc>
  <rcc rId="2233" sId="11" numFmtId="4">
    <nc r="D84">
      <v>6</v>
    </nc>
  </rcc>
  <rcc rId="2234" sId="11" numFmtId="4">
    <nc r="E84">
      <v>0</v>
    </nc>
  </rcc>
  <rcc rId="2235" sId="11" numFmtId="4">
    <nc r="F84">
      <v>5</v>
    </nc>
  </rcc>
  <rcc rId="2236" sId="11" numFmtId="4">
    <nc r="G84">
      <v>17</v>
    </nc>
  </rcc>
  <rcc rId="2237" sId="11" numFmtId="4">
    <nc r="H84">
      <v>0</v>
    </nc>
  </rcc>
  <rcc rId="2238" sId="11" numFmtId="4">
    <nc r="C85">
      <v>4</v>
    </nc>
  </rcc>
  <rcc rId="2239" sId="11" numFmtId="4">
    <nc r="D85">
      <v>7</v>
    </nc>
  </rcc>
  <rcc rId="2240" sId="11" numFmtId="4">
    <nc r="E85">
      <v>5</v>
    </nc>
  </rcc>
  <rcc rId="2241" sId="11" numFmtId="4">
    <nc r="F85">
      <v>0</v>
    </nc>
  </rcc>
  <rcc rId="2242" sId="11" numFmtId="4">
    <nc r="G85">
      <v>15</v>
    </nc>
  </rcc>
  <rcc rId="2243" sId="11" numFmtId="4">
    <nc r="H85">
      <v>0</v>
    </nc>
  </rcc>
  <rcc rId="2244" sId="11" numFmtId="4">
    <nc r="C86">
      <v>4</v>
    </nc>
  </rcc>
  <rcc rId="2245" sId="11" numFmtId="4">
    <nc r="D86">
      <v>8</v>
    </nc>
  </rcc>
  <rcc rId="2246" sId="11" numFmtId="4">
    <nc r="E86">
      <v>2</v>
    </nc>
  </rcc>
  <rcc rId="2247" sId="11" numFmtId="4">
    <nc r="F86">
      <v>2</v>
    </nc>
  </rcc>
  <rcc rId="2248" sId="11" numFmtId="4">
    <nc r="G86">
      <v>36</v>
    </nc>
  </rcc>
  <rcc rId="2249" sId="11" numFmtId="4">
    <nc r="H86">
      <v>0</v>
    </nc>
  </rcc>
  <rcc rId="2250" sId="11" numFmtId="4">
    <nc r="C87">
      <v>8</v>
    </nc>
  </rcc>
  <rcc rId="2251" sId="11" numFmtId="4">
    <nc r="D87">
      <v>7</v>
    </nc>
  </rcc>
  <rcc rId="2252" sId="11" numFmtId="4">
    <nc r="E87">
      <v>9</v>
    </nc>
  </rcc>
  <rcc rId="2253" sId="11" numFmtId="4">
    <nc r="F87">
      <v>0</v>
    </nc>
  </rcc>
  <rcc rId="2254" sId="11" numFmtId="4">
    <nc r="G87">
      <v>18</v>
    </nc>
  </rcc>
  <rcc rId="2255" sId="11" numFmtId="4">
    <nc r="H87">
      <v>0</v>
    </nc>
  </rcc>
</revisions>
</file>

<file path=xl/revisions/revisionLog55.xml><?xml version="1.0" encoding="utf-8"?>
<revisions xmlns="http://schemas.openxmlformats.org/spreadsheetml/2006/main" xmlns:r="http://schemas.openxmlformats.org/officeDocument/2006/relationships">
  <rcc rId="2256" sId="8" numFmtId="4">
    <nc r="C129">
      <v>30</v>
    </nc>
  </rcc>
  <rcc rId="2257" sId="8" numFmtId="4">
    <nc r="D129">
      <v>7</v>
    </nc>
  </rcc>
  <rcc rId="2258" sId="8" numFmtId="4">
    <nc r="E129">
      <v>3</v>
    </nc>
  </rcc>
  <rcc rId="2259" sId="8" numFmtId="4">
    <nc r="F129">
      <v>16</v>
    </nc>
  </rcc>
  <rcc rId="2260" sId="8" numFmtId="4">
    <nc r="G129">
      <v>0</v>
    </nc>
  </rcc>
  <rcc rId="2261" sId="8" numFmtId="4">
    <nc r="C130">
      <v>28</v>
    </nc>
  </rcc>
  <rcc rId="2262" sId="8" numFmtId="4">
    <nc r="D130">
      <v>10</v>
    </nc>
  </rcc>
  <rcc rId="2263" sId="8" numFmtId="4">
    <nc r="E130">
      <v>5</v>
    </nc>
  </rcc>
  <rcc rId="2264" sId="8" numFmtId="4">
    <nc r="F130">
      <v>14</v>
    </nc>
  </rcc>
  <rcc rId="2265" sId="8" numFmtId="4">
    <nc r="G130">
      <v>1</v>
    </nc>
  </rcc>
  <rcc rId="2266" sId="11" numFmtId="4">
    <nc r="C88">
      <v>1</v>
    </nc>
  </rcc>
  <rcc rId="2267" sId="11" numFmtId="4">
    <nc r="D88">
      <v>9</v>
    </nc>
  </rcc>
  <rcc rId="2268" sId="11" numFmtId="4">
    <nc r="E88">
      <v>2</v>
    </nc>
  </rcc>
  <rcc rId="2269" sId="11" numFmtId="4">
    <nc r="F88">
      <v>5</v>
    </nc>
  </rcc>
  <rcc rId="2270" sId="11" numFmtId="4">
    <nc r="G88">
      <v>10</v>
    </nc>
  </rcc>
  <rcc rId="2271" sId="11" numFmtId="4">
    <nc r="H88">
      <v>2</v>
    </nc>
  </rcc>
  <rcc rId="2272" sId="11" numFmtId="4">
    <nc r="C89">
      <v>6</v>
    </nc>
  </rcc>
  <rcc rId="2273" sId="11" numFmtId="4">
    <nc r="D89">
      <v>10</v>
    </nc>
  </rcc>
  <rcc rId="2274" sId="11" numFmtId="4">
    <nc r="E89">
      <v>26</v>
    </nc>
  </rcc>
  <rcc rId="2275" sId="11" numFmtId="4">
    <nc r="F89">
      <v>4</v>
    </nc>
  </rcc>
  <rcc rId="2276" sId="11" numFmtId="4">
    <nc r="G89">
      <v>22</v>
    </nc>
  </rcc>
  <rcc rId="2277" sId="11" numFmtId="4">
    <nc r="H89">
      <v>4</v>
    </nc>
  </rcc>
  <rcc rId="2278" sId="8" numFmtId="4">
    <nc r="C131">
      <v>33</v>
    </nc>
  </rcc>
  <rcc rId="2279" sId="8" numFmtId="4">
    <nc r="D131">
      <v>10</v>
    </nc>
  </rcc>
  <rcc rId="2280" sId="8" numFmtId="4">
    <nc r="E131">
      <v>4</v>
    </nc>
  </rcc>
  <rcc rId="2281" sId="8" numFmtId="4">
    <nc r="F131">
      <v>20</v>
    </nc>
  </rcc>
  <rcc rId="2282" sId="8" numFmtId="4">
    <nc r="G131">
      <v>1</v>
    </nc>
  </rcc>
  <rcc rId="2283" sId="8" numFmtId="4">
    <nc r="C132">
      <v>32</v>
    </nc>
  </rcc>
  <rcc rId="2284" sId="8" numFmtId="4">
    <nc r="D132">
      <v>8</v>
    </nc>
  </rcc>
  <rcc rId="2285" sId="8" numFmtId="4">
    <nc r="E132">
      <v>18</v>
    </nc>
  </rcc>
  <rcc rId="2286" sId="8" numFmtId="4">
    <nc r="F132">
      <v>17</v>
    </nc>
  </rcc>
  <rcc rId="2287" sId="8" numFmtId="4">
    <nc r="G132">
      <v>0</v>
    </nc>
  </rcc>
  <rcc rId="2288" sId="11" numFmtId="4">
    <nc r="B102">
      <v>5</v>
    </nc>
  </rcc>
  <rcc rId="2289" sId="11" numFmtId="4">
    <nc r="B103">
      <v>5</v>
    </nc>
  </rcc>
  <rcc rId="2290" sId="11" numFmtId="4">
    <nc r="B104">
      <v>5</v>
    </nc>
  </rcc>
  <rcc rId="2291" sId="11" numFmtId="4">
    <nc r="B105">
      <v>5</v>
    </nc>
  </rcc>
  <rcc rId="2292" sId="11" numFmtId="4">
    <nc r="B106">
      <v>5</v>
    </nc>
  </rcc>
  <rcc rId="2293" sId="11" numFmtId="4">
    <nc r="B107">
      <v>5</v>
    </nc>
  </rcc>
  <rcc rId="2294" sId="11" numFmtId="4">
    <nc r="B108">
      <v>5</v>
    </nc>
  </rcc>
  <rcc rId="2295" sId="11" numFmtId="4">
    <nc r="B109">
      <v>5</v>
    </nc>
  </rcc>
  <rcc rId="2296" sId="11" numFmtId="4">
    <nc r="B110">
      <v>5</v>
    </nc>
  </rcc>
  <rcc rId="2297" sId="11" numFmtId="4">
    <nc r="B111">
      <v>5</v>
    </nc>
  </rcc>
  <rcc rId="2298" sId="11" numFmtId="4">
    <nc r="B112">
      <v>5</v>
    </nc>
  </rcc>
  <rcc rId="2299" sId="11" numFmtId="4">
    <nc r="B113">
      <v>5</v>
    </nc>
  </rcc>
  <rcc rId="2300" sId="11" numFmtId="4">
    <nc r="B114">
      <v>5</v>
    </nc>
  </rcc>
  <rcc rId="2301" sId="11" numFmtId="4">
    <nc r="B115">
      <v>5</v>
    </nc>
  </rcc>
  <rcc rId="2302" sId="11" numFmtId="4">
    <nc r="B116">
      <v>5</v>
    </nc>
  </rcc>
  <rcc rId="2303" sId="11" numFmtId="4">
    <nc r="B117">
      <v>5</v>
    </nc>
  </rcc>
  <rcc rId="2304" sId="11" numFmtId="4">
    <nc r="B118">
      <v>5</v>
    </nc>
  </rcc>
  <rcc rId="2305" sId="11" numFmtId="4">
    <nc r="B119">
      <v>5</v>
    </nc>
  </rcc>
  <rcc rId="2306" sId="11" numFmtId="4">
    <nc r="B120">
      <v>5</v>
    </nc>
  </rcc>
  <rcc rId="2307" sId="11" numFmtId="4">
    <nc r="B121">
      <v>5</v>
    </nc>
  </rcc>
  <rcc rId="2308" sId="11" numFmtId="4">
    <nc r="B122">
      <v>5</v>
    </nc>
  </rcc>
  <rcc rId="2309" sId="11" numFmtId="4">
    <nc r="B123">
      <v>5</v>
    </nc>
  </rcc>
  <rcc rId="2310" sId="11" numFmtId="4">
    <nc r="B124">
      <v>5</v>
    </nc>
  </rcc>
  <rcc rId="2311" sId="11" numFmtId="4">
    <nc r="B125">
      <v>5</v>
    </nc>
  </rcc>
  <rcc rId="2312" sId="11" numFmtId="4">
    <nc r="B126">
      <v>5</v>
    </nc>
  </rcc>
  <rcc rId="2313" sId="11" numFmtId="4">
    <nc r="B127">
      <v>5</v>
    </nc>
  </rcc>
  <rcc rId="2314" sId="11" numFmtId="4">
    <nc r="B128">
      <v>5</v>
    </nc>
  </rcc>
  <rcc rId="2315" sId="11" numFmtId="4">
    <nc r="B129">
      <v>5</v>
    </nc>
  </rcc>
  <rcc rId="2316" sId="11" numFmtId="4">
    <nc r="B130">
      <v>5</v>
    </nc>
  </rcc>
  <rcc rId="2317" sId="11" numFmtId="4">
    <nc r="B131">
      <v>5</v>
    </nc>
  </rcc>
  <rcc rId="2318" sId="11" numFmtId="4">
    <nc r="B132">
      <v>5</v>
    </nc>
  </rcc>
  <rcc rId="2319" sId="11" numFmtId="4">
    <nc r="B133">
      <v>5</v>
    </nc>
  </rcc>
  <rcc rId="2320" sId="11" numFmtId="4">
    <nc r="B134">
      <v>5</v>
    </nc>
  </rcc>
  <rcc rId="2321" sId="11" numFmtId="4">
    <nc r="B135">
      <v>5</v>
    </nc>
  </rcc>
  <rcc rId="2322" sId="11" numFmtId="4">
    <nc r="B136">
      <v>5</v>
    </nc>
  </rcc>
  <rcc rId="2323" sId="11" numFmtId="4">
    <nc r="B137">
      <v>5</v>
    </nc>
  </rcc>
  <rcc rId="2324" sId="11" numFmtId="4">
    <nc r="B138">
      <v>5</v>
    </nc>
  </rcc>
  <rcc rId="2325" sId="11" numFmtId="4">
    <nc r="B139">
      <v>5</v>
    </nc>
  </rcc>
  <rcc rId="2326" sId="11" numFmtId="4">
    <nc r="B140">
      <v>5</v>
    </nc>
  </rcc>
  <rcc rId="2327" sId="11" numFmtId="4">
    <nc r="B141">
      <v>5</v>
    </nc>
  </rcc>
  <rcc rId="2328" sId="11" numFmtId="4">
    <nc r="B142">
      <v>5</v>
    </nc>
  </rcc>
  <rcc rId="2329" sId="11" numFmtId="4">
    <nc r="B143">
      <v>5</v>
    </nc>
  </rcc>
  <rcc rId="2330" sId="11" numFmtId="4">
    <nc r="B144">
      <v>5</v>
    </nc>
  </rcc>
  <rcc rId="2331" sId="11" numFmtId="4">
    <nc r="B145">
      <v>5</v>
    </nc>
  </rcc>
  <rcc rId="2332" sId="11" numFmtId="4">
    <nc r="B146">
      <v>5</v>
    </nc>
  </rcc>
  <rcc rId="2333" sId="11" numFmtId="4">
    <nc r="B147">
      <v>5</v>
    </nc>
  </rcc>
  <rcc rId="2334" sId="11" numFmtId="4">
    <nc r="B148">
      <v>5</v>
    </nc>
  </rcc>
  <rcc rId="2335" sId="11" numFmtId="4">
    <nc r="B149">
      <v>5</v>
    </nc>
  </rcc>
  <rcc rId="2336" sId="11" numFmtId="4">
    <nc r="B150">
      <v>5</v>
    </nc>
  </rcc>
  <rcc rId="2337" sId="11" numFmtId="4">
    <nc r="B151">
      <v>5</v>
    </nc>
  </rcc>
  <rcc rId="2338" sId="11" numFmtId="4">
    <nc r="B152">
      <v>5</v>
    </nc>
  </rcc>
  <rcc rId="2339" sId="11" numFmtId="4">
    <nc r="B153">
      <v>5</v>
    </nc>
  </rcc>
  <rcc rId="2340" sId="11" numFmtId="4">
    <nc r="B154">
      <v>5</v>
    </nc>
  </rcc>
  <rcc rId="2341" sId="11" numFmtId="4">
    <nc r="B155">
      <v>5</v>
    </nc>
  </rcc>
  <rcc rId="2342" sId="11" numFmtId="4">
    <nc r="B156">
      <v>5</v>
    </nc>
  </rcc>
  <rcc rId="2343" sId="11" numFmtId="4">
    <nc r="B157">
      <v>5</v>
    </nc>
  </rcc>
  <rcc rId="2344" sId="11" numFmtId="4">
    <nc r="B158">
      <v>5</v>
    </nc>
  </rcc>
  <rcc rId="2345" sId="11" numFmtId="4">
    <nc r="B159">
      <v>5</v>
    </nc>
  </rcc>
  <rcc rId="2346" sId="11" numFmtId="4">
    <nc r="B160">
      <v>5</v>
    </nc>
  </rcc>
  <rcc rId="2347" sId="11" numFmtId="4">
    <nc r="B161">
      <v>5</v>
    </nc>
  </rcc>
  <rcc rId="2348" sId="11" numFmtId="4">
    <nc r="B162">
      <v>5</v>
    </nc>
  </rcc>
  <rcc rId="2349" sId="11" numFmtId="4">
    <nc r="B163">
      <v>5</v>
    </nc>
  </rcc>
  <rcc rId="2350" sId="11" numFmtId="4">
    <nc r="B164">
      <v>5</v>
    </nc>
  </rcc>
  <rcc rId="2351" sId="11" numFmtId="4">
    <nc r="B165">
      <v>5</v>
    </nc>
  </rcc>
  <rcc rId="2352" sId="11" numFmtId="4">
    <nc r="B166">
      <v>5</v>
    </nc>
  </rcc>
  <rcc rId="2353" sId="11" numFmtId="4">
    <nc r="B167">
      <v>5</v>
    </nc>
  </rcc>
  <rcc rId="2354" sId="11" numFmtId="4">
    <nc r="B168">
      <v>5</v>
    </nc>
  </rcc>
  <rcc rId="2355" sId="11" numFmtId="4">
    <nc r="B169">
      <v>5</v>
    </nc>
  </rcc>
  <rcc rId="2356" sId="11" numFmtId="4">
    <nc r="B170">
      <v>5</v>
    </nc>
  </rcc>
  <rcc rId="2357" sId="11" numFmtId="4">
    <nc r="B171">
      <v>5</v>
    </nc>
  </rcc>
  <rcc rId="2358" sId="11" numFmtId="4">
    <nc r="B172">
      <v>5</v>
    </nc>
  </rcc>
  <rcc rId="2359" sId="11" numFmtId="4">
    <nc r="B173">
      <v>5</v>
    </nc>
  </rcc>
  <rcc rId="2360" sId="11" numFmtId="4">
    <nc r="B174">
      <v>5</v>
    </nc>
  </rcc>
  <rcc rId="2361" sId="11" numFmtId="4">
    <nc r="B175">
      <v>5</v>
    </nc>
  </rcc>
  <rcc rId="2362" sId="11" numFmtId="4">
    <nc r="B176">
      <v>5</v>
    </nc>
  </rcc>
  <rcc rId="2363" sId="11" numFmtId="4">
    <nc r="B177">
      <v>5</v>
    </nc>
  </rcc>
  <rcc rId="2364" sId="11" numFmtId="4">
    <nc r="B178">
      <v>5</v>
    </nc>
  </rcc>
  <rcc rId="2365" sId="11" numFmtId="4">
    <nc r="B179">
      <v>5</v>
    </nc>
  </rcc>
  <rcc rId="2366" sId="11" numFmtId="4">
    <nc r="B180">
      <v>5</v>
    </nc>
  </rcc>
  <rcc rId="2367" sId="11" numFmtId="4">
    <nc r="B181">
      <v>5</v>
    </nc>
  </rcc>
  <rcc rId="2368" sId="11" numFmtId="4">
    <nc r="B182">
      <v>5</v>
    </nc>
  </rcc>
  <rcc rId="2369" sId="11" numFmtId="4">
    <nc r="B183">
      <v>5</v>
    </nc>
  </rcc>
  <rcc rId="2370" sId="11" numFmtId="4">
    <nc r="B184">
      <v>5</v>
    </nc>
  </rcc>
  <rcc rId="2371" sId="11" numFmtId="4">
    <nc r="B185">
      <v>5</v>
    </nc>
  </rcc>
  <rcc rId="2372" sId="11" numFmtId="4">
    <nc r="B186">
      <v>5</v>
    </nc>
  </rcc>
  <rcc rId="2373" sId="11" numFmtId="4">
    <nc r="B187">
      <v>5</v>
    </nc>
  </rcc>
  <rcc rId="2374" sId="11" numFmtId="4">
    <nc r="B188">
      <v>5</v>
    </nc>
  </rcc>
  <rcc rId="2375" sId="11" numFmtId="4">
    <nc r="C90">
      <v>10</v>
    </nc>
  </rcc>
  <rcc rId="2376" sId="11" numFmtId="4">
    <nc r="D90">
      <v>4</v>
    </nc>
  </rcc>
  <rcc rId="2377" sId="11" numFmtId="4">
    <nc r="E90">
      <v>15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>
  <rcc rId="2378" sId="11" numFmtId="4">
    <nc r="F90">
      <v>9</v>
    </nc>
  </rcc>
  <rcc rId="2379" sId="11" numFmtId="4">
    <nc r="G90">
      <v>19</v>
    </nc>
  </rcc>
  <rcc rId="2380" sId="11" numFmtId="4">
    <nc r="H90">
      <v>0</v>
    </nc>
  </rcc>
  <rcc rId="2381" sId="11" numFmtId="4">
    <nc r="C91">
      <v>10</v>
    </nc>
  </rcc>
  <rcc rId="2382" sId="11" numFmtId="4">
    <nc r="D91">
      <v>5</v>
    </nc>
  </rcc>
  <rcc rId="2383" sId="11" numFmtId="4">
    <nc r="E91">
      <v>18</v>
    </nc>
  </rcc>
  <rcc rId="2384" sId="11" numFmtId="4">
    <nc r="F91">
      <v>10</v>
    </nc>
  </rcc>
  <rcc rId="2385" sId="11" numFmtId="4">
    <nc r="G91">
      <v>25</v>
    </nc>
  </rcc>
  <rcc rId="2386" sId="11" numFmtId="4">
    <nc r="H91">
      <v>0</v>
    </nc>
  </rcc>
  <rcc rId="2387" sId="11" numFmtId="4">
    <nc r="C92">
      <v>5</v>
    </nc>
  </rcc>
  <rcc rId="2388" sId="11" numFmtId="4">
    <nc r="D92">
      <v>7</v>
    </nc>
  </rcc>
  <rcc rId="2389" sId="11" numFmtId="4">
    <nc r="E92">
      <v>3</v>
    </nc>
  </rcc>
  <rcc rId="2390" sId="11" numFmtId="4">
    <nc r="F92">
      <v>2</v>
    </nc>
  </rcc>
  <rcc rId="2391" sId="11" numFmtId="4">
    <nc r="G92">
      <v>3</v>
    </nc>
  </rcc>
  <rcc rId="2392" sId="11" numFmtId="4">
    <nc r="H92">
      <v>0</v>
    </nc>
  </rcc>
  <rcc rId="2393" sId="8" numFmtId="4">
    <nc r="C133">
      <v>35</v>
    </nc>
  </rcc>
  <rcc rId="2394" sId="8" numFmtId="4">
    <nc r="D133">
      <v>8</v>
    </nc>
  </rcc>
  <rcc rId="2395" sId="8" numFmtId="4">
    <nc r="E133">
      <v>22</v>
    </nc>
  </rcc>
  <rcc rId="2396" sId="8" numFmtId="4">
    <nc r="F133">
      <v>28</v>
    </nc>
  </rcc>
  <rcc rId="2397" sId="8" numFmtId="4">
    <nc r="G133">
      <v>0</v>
    </nc>
  </rcc>
  <rcc rId="2398" sId="8" numFmtId="4">
    <nc r="C134">
      <v>35</v>
    </nc>
  </rcc>
  <rcc rId="2399" sId="8" numFmtId="4">
    <nc r="D134">
      <v>7</v>
    </nc>
  </rcc>
  <rcc rId="2400" sId="8" numFmtId="4">
    <nc r="E134">
      <v>12</v>
    </nc>
  </rcc>
  <rcc rId="2401" sId="8" numFmtId="4">
    <nc r="F134">
      <v>12</v>
    </nc>
  </rcc>
  <rcc rId="2402" sId="8" numFmtId="4">
    <nc r="G134">
      <v>1</v>
    </nc>
  </rcc>
  <rcc rId="2403" sId="8" numFmtId="4">
    <nc r="C135">
      <v>35</v>
    </nc>
  </rcc>
  <rcc rId="2404" sId="8" numFmtId="4">
    <nc r="D135">
      <v>6</v>
    </nc>
  </rcc>
  <rcc rId="2405" sId="8" numFmtId="4">
    <nc r="E135">
      <v>10</v>
    </nc>
  </rcc>
  <rcc rId="2406" sId="8" numFmtId="4">
    <nc r="F135">
      <v>15</v>
    </nc>
  </rcc>
  <rcc rId="2407" sId="8" numFmtId="4">
    <nc r="G135">
      <v>0</v>
    </nc>
  </rcc>
  <rcc rId="2408" sId="8" numFmtId="4">
    <nc r="C136">
      <v>35</v>
    </nc>
  </rcc>
  <rcc rId="2409" sId="8" numFmtId="4">
    <nc r="D136">
      <v>5</v>
    </nc>
  </rcc>
  <rcc rId="2410" sId="8" numFmtId="4">
    <nc r="E136">
      <v>13</v>
    </nc>
  </rcc>
  <rcc rId="2411" sId="8" numFmtId="4">
    <nc r="F136">
      <v>12</v>
    </nc>
  </rcc>
  <rcc rId="2412" sId="8" numFmtId="4">
    <nc r="G136">
      <v>0</v>
    </nc>
  </rcc>
  <rcc rId="2413" sId="8" numFmtId="4">
    <nc r="C137">
      <v>21</v>
    </nc>
  </rcc>
  <rcc rId="2414" sId="8" numFmtId="4">
    <nc r="D137">
      <v>4</v>
    </nc>
  </rcc>
  <rcc rId="2415" sId="8" numFmtId="4">
    <nc r="E137">
      <v>4</v>
    </nc>
  </rcc>
  <rcc rId="2416" sId="8" numFmtId="4">
    <nc r="F137">
      <v>20</v>
    </nc>
  </rcc>
  <rcc rId="2417" sId="8" numFmtId="4">
    <nc r="G137">
      <v>1</v>
    </nc>
  </rcc>
  <rcc rId="2418" sId="8" numFmtId="4">
    <nc r="C138">
      <v>26</v>
    </nc>
  </rcc>
  <rcc rId="2419" sId="8" numFmtId="4">
    <nc r="D138">
      <v>10</v>
    </nc>
  </rcc>
  <rcc rId="2420" sId="8" numFmtId="4">
    <nc r="E138">
      <v>7</v>
    </nc>
  </rcc>
  <rcc rId="2421" sId="8" numFmtId="4">
    <nc r="F138">
      <v>45</v>
    </nc>
  </rcc>
  <rcc rId="2422" sId="8" numFmtId="4">
    <nc r="G138">
      <v>1</v>
    </nc>
  </rcc>
  <rcc rId="2423" sId="11" numFmtId="4">
    <nc r="C93">
      <v>6</v>
    </nc>
  </rcc>
  <rcc rId="2424" sId="11" numFmtId="4">
    <nc r="D93">
      <v>10</v>
    </nc>
  </rcc>
  <rcc rId="2425" sId="11" numFmtId="4">
    <nc r="E93">
      <v>5</v>
    </nc>
  </rcc>
  <rcc rId="2426" sId="11" numFmtId="4">
    <nc r="F93">
      <v>1</v>
    </nc>
  </rcc>
  <rcc rId="2427" sId="11" numFmtId="4">
    <nc r="G93">
      <v>12</v>
    </nc>
  </rcc>
  <rcc rId="2428" sId="11" numFmtId="4">
    <nc r="H93">
      <v>8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>
  <rcc rId="2429" sId="8" numFmtId="4">
    <nc r="C139">
      <v>37</v>
    </nc>
  </rcc>
  <rcc rId="2430" sId="8" numFmtId="4">
    <nc r="D139">
      <v>3</v>
    </nc>
  </rcc>
  <rcc rId="2431" sId="8" numFmtId="4">
    <nc r="E139">
      <v>10</v>
    </nc>
  </rcc>
  <rcc rId="2432" sId="8" numFmtId="4">
    <nc r="F139">
      <v>11</v>
    </nc>
  </rcc>
  <rcc rId="2433" sId="8" numFmtId="4">
    <nc r="G139">
      <v>0</v>
    </nc>
  </rcc>
  <rcc rId="2434" sId="11" numFmtId="4">
    <nc r="C94">
      <v>1</v>
    </nc>
  </rcc>
  <rcc rId="2435" sId="11" numFmtId="4">
    <nc r="D94">
      <v>10</v>
    </nc>
  </rcc>
  <rcc rId="2436" sId="11" numFmtId="4">
    <nc r="E94">
      <v>2</v>
    </nc>
  </rcc>
  <rcc rId="2437" sId="11" numFmtId="4">
    <nc r="F94">
      <v>5</v>
    </nc>
  </rcc>
  <rcc rId="2438" sId="11" numFmtId="4">
    <nc r="G94">
      <v>10</v>
    </nc>
  </rcc>
  <rcc rId="2439" sId="11" numFmtId="4">
    <nc r="H94">
      <v>2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>
  <rcc rId="2440" sId="11" numFmtId="4">
    <nc r="C95">
      <v>3</v>
    </nc>
  </rcc>
  <rcc rId="2441" sId="11" numFmtId="4">
    <nc r="D95">
      <v>9</v>
    </nc>
  </rcc>
  <rcc rId="2442" sId="11" numFmtId="4">
    <nc r="E95">
      <v>3</v>
    </nc>
  </rcc>
  <rcc rId="2443" sId="11" numFmtId="4">
    <nc r="F95">
      <v>0</v>
    </nc>
  </rcc>
  <rcc rId="2444" sId="11" numFmtId="4">
    <nc r="G95">
      <v>2</v>
    </nc>
  </rcc>
  <rcc rId="2445" sId="11" numFmtId="4">
    <nc r="H95">
      <v>0</v>
    </nc>
  </rcc>
  <rcc rId="2446" sId="11" numFmtId="4">
    <nc r="C96">
      <v>3</v>
    </nc>
  </rcc>
  <rcc rId="2447" sId="11" numFmtId="4">
    <nc r="D96">
      <v>8</v>
    </nc>
  </rcc>
  <rcc rId="2448" sId="11" numFmtId="4">
    <nc r="E96">
      <v>3</v>
    </nc>
  </rcc>
  <rcc rId="2449" sId="11" numFmtId="4">
    <nc r="F96">
      <v>0</v>
    </nc>
  </rcc>
  <rcc rId="2450" sId="11" numFmtId="4">
    <nc r="G96">
      <v>1</v>
    </nc>
  </rcc>
  <rcc rId="2451" sId="11" numFmtId="4">
    <nc r="H96">
      <v>0</v>
    </nc>
  </rcc>
  <rcc rId="2452" sId="11" numFmtId="4">
    <nc r="C97">
      <v>3</v>
    </nc>
  </rcc>
  <rcc rId="2453" sId="11" numFmtId="4">
    <nc r="D97">
      <v>7</v>
    </nc>
  </rcc>
  <rcc rId="2454" sId="11" numFmtId="4">
    <nc r="E97">
      <v>2</v>
    </nc>
  </rcc>
  <rcc rId="2455" sId="11" numFmtId="4">
    <nc r="F97">
      <v>0</v>
    </nc>
  </rcc>
  <rcc rId="2456" sId="11" numFmtId="4">
    <nc r="G97">
      <v>3</v>
    </nc>
  </rcc>
  <rcc rId="2457" sId="11" numFmtId="4">
    <nc r="H97">
      <v>0</v>
    </nc>
  </rcc>
  <rcc rId="2458" sId="11" numFmtId="4">
    <nc r="C98">
      <v>12</v>
    </nc>
  </rcc>
  <rcc rId="2459" sId="11" numFmtId="4">
    <nc r="D98">
      <v>6</v>
    </nc>
  </rcc>
  <rcc rId="2460" sId="11" numFmtId="4">
    <nc r="E98">
      <v>6</v>
    </nc>
  </rcc>
  <rcc rId="2461" sId="11" numFmtId="4">
    <nc r="F98">
      <v>0</v>
    </nc>
  </rcc>
  <rcc rId="2462" sId="11" numFmtId="4">
    <nc r="G98">
      <v>3</v>
    </nc>
  </rcc>
  <rcc rId="2463" sId="11" numFmtId="4">
    <nc r="H98">
      <v>0</v>
    </nc>
  </rcc>
  <rcc rId="2464" sId="8" numFmtId="4">
    <nc r="C140">
      <v>29</v>
    </nc>
  </rcc>
  <rcc rId="2465" sId="8" numFmtId="4">
    <nc r="D140">
      <v>10</v>
    </nc>
  </rcc>
  <rcc rId="2466" sId="8" numFmtId="4">
    <nc r="E140">
      <v>10</v>
    </nc>
  </rcc>
  <rcc rId="2467" sId="8" numFmtId="4">
    <nc r="F140">
      <v>15</v>
    </nc>
  </rcc>
  <rcc rId="2468" sId="8" numFmtId="4">
    <nc r="G140">
      <v>0</v>
    </nc>
  </rcc>
  <rcc rId="2469" sId="8" numFmtId="4">
    <nc r="C141">
      <v>29</v>
    </nc>
  </rcc>
  <rcc rId="2470" sId="8" numFmtId="4">
    <nc r="D141">
      <v>9</v>
    </nc>
  </rcc>
  <rcc rId="2471" sId="8" numFmtId="4">
    <nc r="E141">
      <v>10</v>
    </nc>
  </rcc>
  <rcc rId="2472" sId="8" numFmtId="4">
    <nc r="F141">
      <v>12</v>
    </nc>
  </rcc>
  <rcc rId="2473" sId="8" numFmtId="4">
    <nc r="G141">
      <v>3</v>
    </nc>
  </rcc>
  <rcc rId="2474" sId="8" numFmtId="4">
    <nc r="C142">
      <v>29</v>
    </nc>
  </rcc>
  <rcc rId="2475" sId="8" numFmtId="4">
    <nc r="D142">
      <v>8</v>
    </nc>
  </rcc>
  <rcc rId="2476" sId="8" numFmtId="4">
    <nc r="E142">
      <v>13</v>
    </nc>
  </rcc>
  <rcc rId="2477" sId="8" numFmtId="4">
    <nc r="F142">
      <v>12</v>
    </nc>
  </rcc>
  <rcc rId="2478" sId="8" numFmtId="4">
    <nc r="G142">
      <v>0</v>
    </nc>
  </rcc>
  <rcc rId="2479" sId="5">
    <oc r="I4" t="inlineStr">
      <is>
        <t>Mérida</t>
      </is>
    </oc>
    <nc r="I4">
      <v>38</v>
    </nc>
  </rcc>
  <rcc rId="2480" sId="5" numFmtId="4">
    <nc r="C132">
      <v>38</v>
    </nc>
  </rcc>
  <rcc rId="2481" sId="5" numFmtId="4">
    <nc r="D132">
      <v>8</v>
    </nc>
  </rcc>
  <rcc rId="2482" sId="5" numFmtId="4">
    <nc r="E132">
      <v>10</v>
    </nc>
  </rcc>
  <rcc rId="2483" sId="5" numFmtId="4">
    <nc r="F132">
      <v>12</v>
    </nc>
  </rcc>
  <rcc rId="2484" sId="5" numFmtId="4">
    <nc r="G132">
      <v>3</v>
    </nc>
  </rcc>
  <rcc rId="2485" sId="5" numFmtId="4">
    <nc r="C133">
      <v>38</v>
    </nc>
  </rcc>
  <rcc rId="2486" sId="5" numFmtId="4">
    <nc r="D133">
      <v>9</v>
    </nc>
  </rcc>
  <rcc rId="2487" sId="5" numFmtId="4">
    <nc r="E133">
      <v>8</v>
    </nc>
  </rcc>
  <rcc rId="2488" sId="5" numFmtId="4">
    <nc r="F133">
      <v>10</v>
    </nc>
  </rcc>
  <rcc rId="2489" sId="5" numFmtId="4">
    <nc r="G133">
      <v>7</v>
    </nc>
  </rcc>
  <rcc rId="2490" sId="5" numFmtId="4">
    <nc r="C134">
      <v>38</v>
    </nc>
  </rcc>
  <rcc rId="2491" sId="5" numFmtId="4">
    <nc r="D134">
      <v>10</v>
    </nc>
  </rcc>
  <rcc rId="2492" sId="5" numFmtId="4">
    <nc r="E134">
      <v>12</v>
    </nc>
  </rcc>
  <rcc rId="2493" sId="5" numFmtId="4">
    <nc r="F134">
      <v>3</v>
    </nc>
  </rcc>
  <rcc rId="2494" sId="5" numFmtId="4">
    <nc r="G134">
      <v>8</v>
    </nc>
  </rcc>
</revisions>
</file>

<file path=xl/revisions/revisionLog59.xml><?xml version="1.0" encoding="utf-8"?>
<revisions xmlns="http://schemas.openxmlformats.org/spreadsheetml/2006/main" xmlns:r="http://schemas.openxmlformats.org/officeDocument/2006/relationships">
  <rcc rId="2495" sId="11" numFmtId="4">
    <nc r="C99">
      <v>2</v>
    </nc>
  </rcc>
  <rcc rId="2496" sId="11" numFmtId="4">
    <nc r="D99">
      <v>6</v>
    </nc>
  </rcc>
  <rcc rId="2497" sId="11" numFmtId="4">
    <nc r="E99">
      <v>15</v>
    </nc>
  </rcc>
  <rcc rId="2498" sId="11" numFmtId="4">
    <nc r="F99">
      <v>10</v>
    </nc>
  </rcc>
  <rcc rId="2499" sId="11" numFmtId="4">
    <nc r="G99">
      <v>20</v>
    </nc>
  </rcc>
  <rcc rId="2500" sId="11" numFmtId="4">
    <nc r="H99">
      <v>0</v>
    </nc>
  </rcc>
  <rcc rId="2501" sId="11" numFmtId="4">
    <nc r="C100">
      <v>2</v>
    </nc>
  </rcc>
  <rcc rId="2502" sId="11" numFmtId="4">
    <nc r="D100">
      <v>5</v>
    </nc>
  </rcc>
  <rcc rId="2503" sId="11" numFmtId="4">
    <nc r="E100">
      <v>20</v>
    </nc>
  </rcc>
  <rcc rId="2504" sId="11" numFmtId="4">
    <nc r="F100">
      <v>10</v>
    </nc>
  </rcc>
  <rcc rId="2505" sId="11" numFmtId="4">
    <nc r="G100">
      <v>20</v>
    </nc>
  </rcc>
  <rcc rId="2506" sId="11" numFmtId="4">
    <nc r="H100">
      <v>0</v>
    </nc>
  </rcc>
  <rcc rId="2507" sId="11" numFmtId="4">
    <nc r="C101">
      <v>2</v>
    </nc>
  </rcc>
  <rcc rId="2508" sId="11" numFmtId="4">
    <nc r="D101">
      <v>4</v>
    </nc>
  </rcc>
  <rcc rId="2509" sId="11" numFmtId="4">
    <nc r="E101">
      <v>20</v>
    </nc>
  </rcc>
  <rcc rId="2510" sId="11" numFmtId="4">
    <nc r="F101">
      <v>30</v>
    </nc>
  </rcc>
  <rcc rId="2511" sId="11" numFmtId="4">
    <nc r="G101">
      <v>20</v>
    </nc>
  </rcc>
  <rcc rId="2512" sId="11" numFmtId="4">
    <nc r="H101">
      <v>0</v>
    </nc>
  </rcc>
  <rcc rId="2513" sId="11" numFmtId="4">
    <nc r="C102">
      <v>2</v>
    </nc>
  </rcc>
  <rcc rId="2514" sId="11" numFmtId="4">
    <nc r="D102">
      <v>3</v>
    </nc>
  </rcc>
  <rcc rId="2515" sId="11" numFmtId="4">
    <nc r="E102">
      <v>15</v>
    </nc>
  </rcc>
  <rcc rId="2516" sId="11" numFmtId="4">
    <nc r="F102">
      <v>20</v>
    </nc>
  </rcc>
  <rcc rId="2517" sId="11" numFmtId="4">
    <nc r="G102">
      <v>10</v>
    </nc>
  </rcc>
  <rcc rId="2518" sId="11" numFmtId="4">
    <nc r="H102">
      <v>5</v>
    </nc>
  </rcc>
  <rcc rId="2519" sId="11" numFmtId="4">
    <nc r="C103">
      <v>2</v>
    </nc>
  </rcc>
  <rcc rId="2520" sId="11" numFmtId="4">
    <nc r="D103">
      <v>2</v>
    </nc>
  </rcc>
  <rcc rId="2521" sId="11" numFmtId="4">
    <nc r="E103">
      <v>15</v>
    </nc>
  </rcc>
  <rcc rId="2522" sId="11" numFmtId="4">
    <nc r="F103">
      <v>15</v>
    </nc>
  </rcc>
  <rcc rId="2523" sId="11" numFmtId="4">
    <nc r="G103">
      <v>10</v>
    </nc>
  </rcc>
  <rcc rId="2524" sId="11" numFmtId="4">
    <nc r="H103">
      <v>5</v>
    </nc>
  </rcc>
  <rcc rId="2525" sId="11" numFmtId="4">
    <nc r="C104">
      <v>2</v>
    </nc>
  </rcc>
  <rcc rId="2526" sId="11" numFmtId="4">
    <nc r="D104">
      <v>1</v>
    </nc>
  </rcc>
  <rcc rId="2527" sId="11" numFmtId="4">
    <nc r="E104">
      <v>15</v>
    </nc>
  </rcc>
  <rcc rId="2528" sId="11" numFmtId="4">
    <nc r="F104">
      <v>25</v>
    </nc>
  </rcc>
  <rcc rId="2529" sId="11" numFmtId="4">
    <nc r="G104">
      <v>18</v>
    </nc>
  </rcc>
  <rcc rId="2530" sId="11" numFmtId="4">
    <nc r="H104">
      <v>10</v>
    </nc>
  </rcc>
</revisions>
</file>

<file path=xl/revisions/revisionLog60.xml><?xml version="1.0" encoding="utf-8"?>
<revisions xmlns="http://schemas.openxmlformats.org/spreadsheetml/2006/main" xmlns:r="http://schemas.openxmlformats.org/officeDocument/2006/relationships">
  <rcc rId="2531" sId="11" numFmtId="4">
    <nc r="C105">
      <v>2</v>
    </nc>
  </rcc>
  <rcc rId="2532" sId="11" numFmtId="4">
    <nc r="D105">
      <v>7</v>
    </nc>
  </rcc>
  <rcc rId="2533" sId="11" numFmtId="4">
    <nc r="E105">
      <v>10</v>
    </nc>
  </rcc>
  <rcc rId="2534" sId="11" numFmtId="4">
    <nc r="F105">
      <v>15</v>
    </nc>
  </rcc>
  <rcc rId="2535" sId="11" numFmtId="4">
    <nc r="G105">
      <v>4</v>
    </nc>
  </rcc>
  <rcc rId="2536" sId="11" numFmtId="4">
    <nc r="H105">
      <v>8</v>
    </nc>
  </rcc>
  <rcc rId="2537" sId="11" numFmtId="4">
    <nc r="C106">
      <v>15</v>
    </nc>
  </rcc>
  <rcc rId="2538" sId="11" numFmtId="4">
    <nc r="D106">
      <v>5</v>
    </nc>
  </rcc>
  <rcc rId="2539" sId="11" numFmtId="4">
    <nc r="E106">
      <v>2</v>
    </nc>
  </rcc>
  <rcc rId="2540" sId="11" numFmtId="4">
    <nc r="F106">
      <v>5</v>
    </nc>
  </rcc>
  <rcc rId="2541" sId="11" numFmtId="4">
    <nc r="G106">
      <v>10</v>
    </nc>
  </rcc>
  <rcc rId="2542" sId="11" numFmtId="4">
    <nc r="H106">
      <v>2</v>
    </nc>
  </rcc>
  <rcc rId="2543" sId="11" numFmtId="4">
    <nc r="C107">
      <v>17</v>
    </nc>
  </rcc>
  <rcc rId="2544" sId="11" numFmtId="4">
    <nc r="D107">
      <v>5</v>
    </nc>
  </rcc>
  <rcc rId="2545" sId="11" numFmtId="4">
    <nc r="E107">
      <v>3</v>
    </nc>
  </rcc>
  <rcc rId="2546" sId="11" numFmtId="4">
    <nc r="F107">
      <v>3</v>
    </nc>
  </rcc>
  <rcc rId="2547" sId="11" numFmtId="4">
    <nc r="G107">
      <v>3</v>
    </nc>
  </rcc>
  <rcc rId="2548" sId="11" numFmtId="4">
    <nc r="H107">
      <v>0</v>
    </nc>
  </rcc>
  <rcc rId="2549" sId="11" numFmtId="4">
    <nc r="C108">
      <v>5</v>
    </nc>
  </rcc>
  <rcc rId="2550" sId="11" numFmtId="4">
    <nc r="D108">
      <v>8</v>
    </nc>
  </rcc>
  <rcc rId="2551" sId="11" numFmtId="4">
    <nc r="E108">
      <v>3</v>
    </nc>
  </rcc>
  <rcc rId="2552" sId="11" numFmtId="4">
    <nc r="F108">
      <v>3</v>
    </nc>
  </rcc>
  <rcc rId="2553" sId="11" numFmtId="4">
    <nc r="G108">
      <v>3</v>
    </nc>
  </rcc>
  <rcc rId="2554" sId="11" numFmtId="4">
    <nc r="H108">
      <v>0</v>
    </nc>
  </rcc>
  <rcc rId="2555" sId="11" numFmtId="4">
    <nc r="C109">
      <v>8</v>
    </nc>
  </rcc>
  <rcc rId="2556" sId="11" numFmtId="4">
    <nc r="D109">
      <v>8</v>
    </nc>
  </rcc>
  <rcc rId="2557" sId="11" numFmtId="4">
    <nc r="E109">
      <v>9</v>
    </nc>
  </rcc>
  <rcc rId="2558" sId="11" numFmtId="4">
    <nc r="F109">
      <v>0</v>
    </nc>
  </rcc>
  <rcc rId="2559" sId="11" numFmtId="4">
    <nc r="G109">
      <v>15</v>
    </nc>
  </rcc>
  <rcc rId="2560" sId="11" numFmtId="4">
    <nc r="H109">
      <v>0</v>
    </nc>
  </rcc>
  <rcc rId="2561" sId="8" numFmtId="4">
    <nc r="C143">
      <v>32</v>
    </nc>
  </rcc>
  <rcc rId="2562" sId="8" numFmtId="4">
    <nc r="D143">
      <v>9</v>
    </nc>
  </rcc>
  <rcc rId="2563" sId="8" numFmtId="4">
    <nc r="E143">
      <v>19</v>
    </nc>
  </rcc>
  <rcc rId="2564" sId="8" numFmtId="4">
    <nc r="F143">
      <v>15</v>
    </nc>
  </rcc>
  <rcc rId="2565" sId="8" numFmtId="4">
    <nc r="G143">
      <v>3</v>
    </nc>
  </rcc>
  <rcc rId="2566" sId="8" numFmtId="4">
    <nc r="C144">
      <v>30</v>
    </nc>
  </rcc>
  <rcc rId="2567" sId="8" numFmtId="4">
    <nc r="D144">
      <v>8</v>
    </nc>
  </rcc>
  <rcc rId="2568" sId="8" numFmtId="4">
    <nc r="E144">
      <v>5</v>
    </nc>
  </rcc>
  <rcc rId="2569" sId="8" numFmtId="4">
    <nc r="F144">
      <v>24</v>
    </nc>
  </rcc>
  <rcc rId="2570" sId="8" numFmtId="4">
    <nc r="G144">
      <v>0</v>
    </nc>
  </rcc>
  <rcc rId="2571" sId="8" numFmtId="4">
    <nc r="C145">
      <v>30</v>
    </nc>
  </rcc>
  <rcc rId="2572" sId="8" numFmtId="4">
    <nc r="D145">
      <v>9</v>
    </nc>
  </rcc>
  <rcc rId="2573" sId="8" numFmtId="4">
    <nc r="E145">
      <v>6</v>
    </nc>
  </rcc>
  <rcc rId="2574" sId="8" numFmtId="4">
    <nc r="F145">
      <v>27</v>
    </nc>
  </rcc>
  <rcc rId="2575" sId="8" numFmtId="4">
    <nc r="G145">
      <v>0</v>
    </nc>
  </rcc>
  <rcc rId="2576" sId="5" numFmtId="4">
    <nc r="C135">
      <v>45</v>
    </nc>
  </rcc>
  <rcc rId="2577" sId="5" numFmtId="4">
    <nc r="D135">
      <v>6</v>
    </nc>
  </rcc>
  <rcc rId="2578" sId="5" numFmtId="4">
    <nc r="E135">
      <v>8</v>
    </nc>
  </rcc>
  <rcc rId="2579" sId="5" numFmtId="4">
    <nc r="F135">
      <v>8</v>
    </nc>
  </rcc>
  <rcc rId="2580" sId="5" numFmtId="4">
    <nc r="G135">
      <v>5</v>
    </nc>
  </rcc>
  <rcc rId="2581" sId="5" numFmtId="4">
    <nc r="C136">
      <v>45</v>
    </nc>
  </rcc>
  <rcc rId="2582" sId="5" numFmtId="4">
    <nc r="D136">
      <v>7</v>
    </nc>
  </rcc>
  <rcc rId="2583" sId="5" numFmtId="4">
    <nc r="E136">
      <v>7</v>
    </nc>
  </rcc>
  <rcc rId="2584" sId="5" numFmtId="4">
    <nc r="F136">
      <v>11</v>
    </nc>
  </rcc>
  <rcc rId="2585" sId="5" numFmtId="4">
    <nc r="G136">
      <v>7</v>
    </nc>
  </rcc>
  <rcc rId="2586" sId="5" numFmtId="4">
    <nc r="C137">
      <v>45</v>
    </nc>
  </rcc>
  <rcc rId="2587" sId="5" numFmtId="4">
    <nc r="D137">
      <v>5</v>
    </nc>
  </rcc>
  <rcc rId="2588" sId="5" numFmtId="4">
    <nc r="E137">
      <v>14</v>
    </nc>
  </rcc>
  <rcc rId="2589" sId="5" numFmtId="4">
    <nc r="F137">
      <v>10</v>
    </nc>
  </rcc>
  <rcc rId="2590" sId="5" numFmtId="4">
    <nc r="G137">
      <v>1</v>
    </nc>
  </rcc>
  <rcc rId="2591" sId="8" numFmtId="4">
    <nc r="C146">
      <v>37</v>
    </nc>
  </rcc>
  <rcc rId="2592" sId="8" numFmtId="4">
    <nc r="D146">
      <v>4</v>
    </nc>
  </rcc>
  <rcc rId="2593" sId="8" numFmtId="4">
    <nc r="E146">
      <v>3</v>
    </nc>
  </rcc>
  <rcc rId="2594" sId="8" numFmtId="4">
    <nc r="F146">
      <v>8</v>
    </nc>
  </rcc>
  <rcc rId="2595" sId="8" numFmtId="4">
    <nc r="G146">
      <v>0</v>
    </nc>
  </rcc>
  <rcc rId="2596" sId="8" numFmtId="4">
    <nc r="C147">
      <v>27</v>
    </nc>
  </rcc>
  <rcc rId="2597" sId="8" numFmtId="4">
    <nc r="D147">
      <v>9</v>
    </nc>
  </rcc>
  <rcc rId="2598" sId="8" numFmtId="4">
    <nc r="E147">
      <v>7</v>
    </nc>
  </rcc>
  <rcc rId="2599" sId="8" numFmtId="4">
    <nc r="F147">
      <v>21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>
  <rcc rId="2600" sId="8" numFmtId="4">
    <nc r="G147">
      <v>0</v>
    </nc>
  </rcc>
  <rcc rId="2601" sId="8" numFmtId="4">
    <nc r="C148">
      <v>27</v>
    </nc>
  </rcc>
  <rcc rId="2602" sId="8" numFmtId="4">
    <nc r="D148">
      <v>10</v>
    </nc>
  </rcc>
  <rcc rId="2603" sId="8" numFmtId="4">
    <nc r="E148">
      <v>9</v>
    </nc>
  </rcc>
  <rcc rId="2604" sId="8" numFmtId="4">
    <nc r="F148">
      <v>20</v>
    </nc>
  </rcc>
  <rcc rId="2605" sId="8" numFmtId="4">
    <nc r="G148">
      <v>0</v>
    </nc>
  </rcc>
  <rcc rId="2606" sId="8" numFmtId="4">
    <nc r="C149">
      <v>31</v>
    </nc>
  </rcc>
  <rcc rId="2607" sId="8" numFmtId="4">
    <nc r="D149">
      <v>6</v>
    </nc>
  </rcc>
  <rcc rId="2608" sId="8" numFmtId="4">
    <nc r="E149">
      <v>15</v>
    </nc>
  </rcc>
  <rcc rId="2609" sId="8" numFmtId="4">
    <nc r="F149">
      <v>10</v>
    </nc>
  </rcc>
  <rcc rId="2610" sId="8" numFmtId="4">
    <nc r="G149">
      <v>0</v>
    </nc>
  </rcc>
  <rcc rId="2611" sId="8" numFmtId="4">
    <nc r="C150">
      <v>31</v>
    </nc>
  </rcc>
  <rcc rId="2612" sId="8" numFmtId="4">
    <nc r="D150">
      <v>7</v>
    </nc>
  </rcc>
  <rcc rId="2613" sId="8" numFmtId="4">
    <nc r="E150">
      <v>11</v>
    </nc>
  </rcc>
  <rcc rId="2614" sId="8" numFmtId="4">
    <nc r="F150">
      <v>14</v>
    </nc>
  </rcc>
  <rcc rId="2615" sId="8" numFmtId="4">
    <nc r="G150">
      <v>0</v>
    </nc>
  </rcc>
  <rcc rId="2616" sId="5">
    <oc r="I4">
      <v>38</v>
    </oc>
    <nc r="I4" t="inlineStr">
      <is>
        <t>tachira</t>
      </is>
    </nc>
  </rcc>
  <rcc rId="2617" sId="5" numFmtId="4">
    <nc r="C138">
      <v>53</v>
    </nc>
  </rcc>
  <rcc rId="2618" sId="5" numFmtId="4">
    <nc r="D138">
      <v>6</v>
    </nc>
  </rcc>
  <rcc rId="2619" sId="5" numFmtId="4">
    <nc r="E138">
      <v>11</v>
    </nc>
  </rcc>
  <rcc rId="2620" sId="5" numFmtId="4">
    <nc r="F138">
      <v>15</v>
    </nc>
  </rcc>
  <rcc rId="2621" sId="5" numFmtId="4">
    <nc r="G138">
      <v>0</v>
    </nc>
  </rcc>
  <rcc rId="2622" sId="5" numFmtId="4">
    <nc r="C139">
      <v>53</v>
    </nc>
  </rcc>
  <rcc rId="2623" sId="5" numFmtId="4">
    <nc r="D139">
      <v>5</v>
    </nc>
  </rcc>
  <rcc rId="2624" sId="5" numFmtId="4">
    <nc r="E139">
      <v>1</v>
    </nc>
  </rcc>
  <rcc rId="2625" sId="5" numFmtId="4">
    <nc r="F139">
      <v>25</v>
    </nc>
  </rcc>
  <rcc rId="2626" sId="5" numFmtId="4">
    <nc r="G139">
      <v>0</v>
    </nc>
  </rcc>
  <rcc rId="2627" sId="5" numFmtId="4">
    <nc r="C140">
      <v>53</v>
    </nc>
  </rcc>
  <rcc rId="2628" sId="5" numFmtId="4">
    <nc r="D140">
      <v>9</v>
    </nc>
  </rcc>
  <rcc rId="2629" sId="5" numFmtId="4">
    <nc r="E140">
      <v>7</v>
    </nc>
  </rcc>
  <rcc rId="2630" sId="5" numFmtId="4">
    <nc r="F140">
      <v>20</v>
    </nc>
  </rcc>
  <rcc rId="2631" sId="5" numFmtId="4">
    <nc r="G140">
      <v>0</v>
    </nc>
  </rcc>
  <rcc rId="2632" sId="5" numFmtId="4">
    <nc r="C141">
      <v>53</v>
    </nc>
  </rcc>
  <rcc rId="2633" sId="5" numFmtId="4">
    <nc r="D141">
      <v>10</v>
    </nc>
  </rcc>
  <rcc rId="2634" sId="5" numFmtId="4">
    <nc r="E141">
      <v>8</v>
    </nc>
  </rcc>
  <rcc rId="2635" sId="5" numFmtId="4">
    <nc r="F141">
      <v>16</v>
    </nc>
  </rcc>
  <rcc rId="2636" sId="5" numFmtId="4">
    <nc r="G141">
      <v>0</v>
    </nc>
  </rcc>
  <rcc rId="2637" sId="5" numFmtId="4">
    <nc r="C142">
      <v>53</v>
    </nc>
  </rcc>
  <rcc rId="2638" sId="5" numFmtId="4">
    <nc r="D142">
      <v>8</v>
    </nc>
  </rcc>
  <rcc rId="2639" sId="5" numFmtId="4">
    <nc r="E142">
      <v>5</v>
    </nc>
  </rcc>
  <rcc rId="2640" sId="5" numFmtId="4">
    <nc r="F142">
      <v>20</v>
    </nc>
  </rcc>
  <rcc rId="2641" sId="5" numFmtId="4">
    <nc r="G142">
      <v>1</v>
    </nc>
  </rcc>
  <rcc rId="2642" sId="5" numFmtId="4">
    <nc r="C143">
      <v>53</v>
    </nc>
  </rcc>
  <rcc rId="2643" sId="5" numFmtId="4">
    <nc r="D143">
      <v>7</v>
    </nc>
  </rcc>
  <rcc rId="2644" sId="5" numFmtId="4">
    <nc r="E143">
      <v>7</v>
    </nc>
  </rcc>
  <rcc rId="2645" sId="5" numFmtId="4">
    <nc r="F143">
      <v>20</v>
    </nc>
  </rcc>
  <rcc rId="2646" sId="5" numFmtId="4">
    <nc r="G143">
      <v>1</v>
    </nc>
  </rcc>
  <rcc rId="2647" sId="5" numFmtId="4">
    <nc r="B165">
      <v>18</v>
    </nc>
  </rcc>
  <rcc rId="2648" sId="5" numFmtId="4">
    <nc r="B166">
      <v>18</v>
    </nc>
  </rcc>
  <rcc rId="2649" sId="5" numFmtId="4">
    <nc r="B167">
      <v>18</v>
    </nc>
  </rcc>
  <rcc rId="2650" sId="5" numFmtId="4">
    <nc r="B168">
      <v>18</v>
    </nc>
  </rcc>
  <rcc rId="2651" sId="5" numFmtId="4">
    <nc r="B169">
      <v>18</v>
    </nc>
  </rcc>
  <rcc rId="2652" sId="5" numFmtId="4">
    <nc r="B170">
      <v>18</v>
    </nc>
  </rcc>
  <rcc rId="2653" sId="5" numFmtId="4">
    <nc r="B171">
      <v>18</v>
    </nc>
  </rcc>
  <rcc rId="2654" sId="5" numFmtId="4">
    <nc r="B172">
      <v>18</v>
    </nc>
  </rcc>
  <rcc rId="2655" sId="5" numFmtId="4">
    <nc r="B173">
      <v>18</v>
    </nc>
  </rcc>
  <rcc rId="2656" sId="5" numFmtId="4">
    <nc r="B174">
      <v>18</v>
    </nc>
  </rcc>
  <rcc rId="2657" sId="5" numFmtId="4">
    <nc r="B175">
      <v>18</v>
    </nc>
  </rcc>
  <rcc rId="2658" sId="5" numFmtId="4">
    <nc r="B176">
      <v>18</v>
    </nc>
  </rcc>
  <rcc rId="2659" sId="5" numFmtId="4">
    <nc r="B177">
      <v>18</v>
    </nc>
  </rcc>
  <rcc rId="2660" sId="5" numFmtId="4">
    <nc r="B178">
      <v>18</v>
    </nc>
  </rcc>
  <rcc rId="2661" sId="5" numFmtId="4">
    <nc r="B179">
      <v>18</v>
    </nc>
  </rcc>
  <rcc rId="2662" sId="5" numFmtId="4">
    <nc r="B180">
      <v>18</v>
    </nc>
  </rcc>
  <rcc rId="2663" sId="5" numFmtId="4">
    <nc r="B181">
      <v>18</v>
    </nc>
  </rcc>
  <rcc rId="2664" sId="5" numFmtId="4">
    <nc r="B182">
      <v>18</v>
    </nc>
  </rcc>
  <rcc rId="2665" sId="5" numFmtId="4">
    <nc r="B183">
      <v>18</v>
    </nc>
  </rcc>
  <rcc rId="2666" sId="5" numFmtId="4">
    <nc r="B184">
      <v>18</v>
    </nc>
  </rcc>
  <rcc rId="2667" sId="5" numFmtId="4">
    <nc r="B185">
      <v>18</v>
    </nc>
  </rcc>
  <rcc rId="2668" sId="5" numFmtId="4">
    <nc r="B186">
      <v>18</v>
    </nc>
  </rcc>
  <rcc rId="2669" sId="5" numFmtId="4">
    <nc r="B187">
      <v>18</v>
    </nc>
  </rcc>
  <rcc rId="2670" sId="5" numFmtId="4">
    <nc r="B188">
      <v>18</v>
    </nc>
  </rcc>
  <rcc rId="2671" sId="5" numFmtId="4">
    <nc r="B189">
      <v>18</v>
    </nc>
  </rcc>
  <rcc rId="2672" sId="5" numFmtId="4">
    <nc r="B190">
      <v>18</v>
    </nc>
  </rcc>
  <rcc rId="2673" sId="5" numFmtId="4">
    <nc r="B191">
      <v>18</v>
    </nc>
  </rcc>
  <rcc rId="2674" sId="5" numFmtId="4">
    <nc r="B192">
      <v>18</v>
    </nc>
  </rcc>
  <rcc rId="2675" sId="5" numFmtId="4">
    <nc r="B193">
      <v>18</v>
    </nc>
  </rcc>
  <rcc rId="2676" sId="5" numFmtId="4">
    <nc r="B194">
      <v>18</v>
    </nc>
  </rcc>
  <rcc rId="2677" sId="5" numFmtId="4">
    <nc r="B195">
      <v>18</v>
    </nc>
  </rcc>
  <rcc rId="2678" sId="5" numFmtId="4">
    <nc r="B196">
      <v>18</v>
    </nc>
  </rcc>
  <rcc rId="2679" sId="5" numFmtId="4">
    <nc r="B197">
      <v>18</v>
    </nc>
  </rcc>
  <rcc rId="2680" sId="5" numFmtId="4">
    <nc r="B198">
      <v>18</v>
    </nc>
  </rcc>
  <rcc rId="2681" sId="5" numFmtId="4">
    <nc r="B199">
      <v>18</v>
    </nc>
  </rcc>
  <rcc rId="2682" sId="5" numFmtId="4">
    <nc r="B200">
      <v>18</v>
    </nc>
  </rcc>
  <rcc rId="2683" sId="5" numFmtId="4">
    <nc r="B201">
      <v>18</v>
    </nc>
  </rcc>
  <rcc rId="2684" sId="5" numFmtId="4">
    <nc r="B202">
      <v>18</v>
    </nc>
  </rcc>
  <rcc rId="2685" sId="5" numFmtId="4">
    <nc r="B203">
      <v>18</v>
    </nc>
  </rcc>
  <rcc rId="2686" sId="5" numFmtId="4">
    <nc r="B204">
      <v>18</v>
    </nc>
  </rcc>
  <rcc rId="2687" sId="5" numFmtId="4">
    <nc r="B205">
      <v>18</v>
    </nc>
  </rcc>
</revisions>
</file>

<file path=xl/revisions/revisionLog62.xml><?xml version="1.0" encoding="utf-8"?>
<revisions xmlns="http://schemas.openxmlformats.org/spreadsheetml/2006/main" xmlns:r="http://schemas.openxmlformats.org/officeDocument/2006/relationships">
  <rcc rId="2688" sId="11" numFmtId="4">
    <nc r="C110">
      <v>12</v>
    </nc>
  </rcc>
  <rcc rId="2689" sId="11" numFmtId="4">
    <nc r="D110">
      <v>7</v>
    </nc>
  </rcc>
  <rcc rId="2690" sId="11" numFmtId="4">
    <nc r="E110">
      <v>8</v>
    </nc>
  </rcc>
  <rcc rId="2691" sId="11" numFmtId="4">
    <nc r="F110">
      <v>0</v>
    </nc>
  </rcc>
  <rcc rId="2692" sId="11" numFmtId="4">
    <nc r="G110">
      <v>3</v>
    </nc>
  </rcc>
  <rcc rId="2693" sId="11" numFmtId="4">
    <nc r="H110">
      <v>0</v>
    </nc>
  </rcc>
  <rcc rId="2694" sId="11" numFmtId="4">
    <nc r="C111">
      <v>12</v>
    </nc>
  </rcc>
  <rcc rId="2695" sId="11" numFmtId="4">
    <nc r="D111">
      <v>8</v>
    </nc>
  </rcc>
  <rcc rId="2696" sId="11" numFmtId="4">
    <nc r="E111">
      <v>4</v>
    </nc>
  </rcc>
  <rcc rId="2697" sId="11" numFmtId="4">
    <nc r="F111">
      <v>0</v>
    </nc>
  </rcc>
  <rcc rId="2698" sId="11" numFmtId="4">
    <nc r="G111">
      <v>2</v>
    </nc>
  </rcc>
  <rcc rId="2699" sId="11" numFmtId="4">
    <nc r="H111">
      <v>0</v>
    </nc>
  </rcc>
  <rcc rId="2700" sId="11" numFmtId="4">
    <nc r="C112">
      <v>12</v>
    </nc>
  </rcc>
  <rcc rId="2701" sId="11" numFmtId="4">
    <nc r="D112">
      <v>9</v>
    </nc>
  </rcc>
  <rcc rId="2702" sId="11" numFmtId="4">
    <nc r="E112">
      <v>6</v>
    </nc>
  </rcc>
  <rcc rId="2703" sId="11" numFmtId="4">
    <nc r="F112">
      <v>2</v>
    </nc>
  </rcc>
  <rcc rId="2704" sId="11" numFmtId="4">
    <nc r="G112">
      <v>3</v>
    </nc>
  </rcc>
  <rcc rId="2705" sId="11" numFmtId="4">
    <nc r="H112">
      <v>0</v>
    </nc>
  </rcc>
  <rcc rId="2706" sId="11" numFmtId="4">
    <nc r="C113">
      <v>6</v>
    </nc>
  </rcc>
  <rcc rId="2707" sId="11" numFmtId="4">
    <nc r="D113">
      <v>11</v>
    </nc>
  </rcc>
  <rcc rId="2708" sId="11" numFmtId="4">
    <nc r="E113">
      <v>21</v>
    </nc>
  </rcc>
  <rcc rId="2709" sId="11" numFmtId="4">
    <nc r="F113">
      <v>0</v>
    </nc>
  </rcc>
  <rcc rId="2710" sId="11" numFmtId="4">
    <nc r="G113">
      <v>23</v>
    </nc>
  </rcc>
  <rcc rId="2711" sId="11" numFmtId="4">
    <nc r="H113">
      <v>4</v>
    </nc>
  </rcc>
  <rcc rId="2712" sId="11" numFmtId="4">
    <nc r="C114">
      <v>13</v>
    </nc>
  </rcc>
  <rcc rId="2713" sId="11" numFmtId="4">
    <nc r="D114">
      <v>11</v>
    </nc>
  </rcc>
  <rcc rId="2714" sId="11" numFmtId="4">
    <nc r="E114">
      <v>2</v>
    </nc>
  </rcc>
  <rcc rId="2715" sId="11" numFmtId="4">
    <nc r="F114">
      <v>0</v>
    </nc>
  </rcc>
  <rcc rId="2716" sId="11" numFmtId="4">
    <nc r="G114">
      <v>3</v>
    </nc>
  </rcc>
  <rcc rId="2717" sId="11" numFmtId="4">
    <nc r="H114">
      <v>0</v>
    </nc>
  </rcc>
  <rcc rId="2718" sId="8" numFmtId="4">
    <nc r="C151">
      <v>25</v>
    </nc>
  </rcc>
  <rcc rId="2719" sId="8" numFmtId="4">
    <nc r="D151">
      <v>8</v>
    </nc>
  </rcc>
  <rcc rId="2720" sId="8" numFmtId="4">
    <nc r="E151">
      <v>8</v>
    </nc>
  </rcc>
  <rcc rId="2721" sId="8" numFmtId="4">
    <nc r="F151">
      <v>15</v>
    </nc>
  </rcc>
  <rcc rId="2722" sId="8" numFmtId="4">
    <nc r="G151">
      <v>2</v>
    </nc>
  </rcc>
  <rcc rId="2723" sId="8" numFmtId="4">
    <nc r="C152">
      <v>21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>
  <rcc rId="2724" sId="8" numFmtId="4">
    <nc r="D152">
      <v>1</v>
    </nc>
  </rcc>
  <rcc rId="2725" sId="8" numFmtId="4">
    <nc r="E152">
      <v>9</v>
    </nc>
  </rcc>
  <rcc rId="2726" sId="8" numFmtId="4">
    <nc r="F152">
      <v>12</v>
    </nc>
  </rcc>
  <rcc rId="2727" sId="8" numFmtId="4">
    <nc r="G152">
      <v>4</v>
    </nc>
  </rcc>
  <rcc rId="2728" sId="8" numFmtId="4">
    <nc r="C153">
      <v>26</v>
    </nc>
  </rcc>
  <rcc rId="2729" sId="8" numFmtId="4">
    <nc r="D153">
      <v>11</v>
    </nc>
  </rcc>
  <rcc rId="2730" sId="8" numFmtId="4">
    <nc r="E153">
      <v>11</v>
    </nc>
  </rcc>
  <rcc rId="2731" sId="8" numFmtId="4">
    <nc r="F153">
      <v>59</v>
    </nc>
  </rcc>
  <rcc rId="2732" sId="8" numFmtId="4">
    <nc r="G153">
      <v>1</v>
    </nc>
  </rcc>
  <rcc rId="2733" sId="5" numFmtId="4">
    <nc r="C144">
      <v>50</v>
    </nc>
  </rcc>
  <rcc rId="2734" sId="5" numFmtId="4">
    <nc r="D144">
      <v>11</v>
    </nc>
  </rcc>
  <rcc rId="2735" sId="5" numFmtId="4">
    <nc r="E144">
      <v>11</v>
    </nc>
  </rcc>
  <rcc rId="2736" sId="5" numFmtId="4">
    <nc r="F144">
      <v>14</v>
    </nc>
  </rcc>
  <rcc rId="2737" sId="5" numFmtId="4">
    <nc r="G144">
      <v>0</v>
    </nc>
  </rcc>
  <rcc rId="2738" sId="5" numFmtId="4">
    <nc r="C145">
      <v>39</v>
    </nc>
  </rcc>
  <rcc rId="2739" sId="5" numFmtId="4">
    <nc r="D145">
      <v>11</v>
    </nc>
  </rcc>
  <rcc rId="2740" sId="5" numFmtId="4">
    <nc r="E145">
      <v>7</v>
    </nc>
  </rcc>
  <rcc rId="2741" sId="5" numFmtId="4">
    <nc r="F145">
      <v>3</v>
    </nc>
  </rcc>
  <rcc rId="2742" sId="5" numFmtId="4">
    <nc r="G145">
      <v>4</v>
    </nc>
  </rcc>
  <rcc rId="2743" sId="5" numFmtId="4">
    <nc r="C146">
      <v>62</v>
    </nc>
  </rcc>
  <rcc rId="2744" sId="5" numFmtId="4">
    <nc r="D146">
      <v>11</v>
    </nc>
  </rcc>
  <rcc rId="2745" sId="5" numFmtId="4">
    <nc r="E146">
      <v>13</v>
    </nc>
  </rcc>
  <rcc rId="2746" sId="5" numFmtId="4">
    <nc r="F146">
      <v>12</v>
    </nc>
  </rcc>
  <rcc rId="2747" sId="5" numFmtId="4">
    <nc r="G146">
      <v>5</v>
    </nc>
  </rcc>
  <rcc rId="2748" sId="5" numFmtId="4">
    <nc r="C147">
      <v>48</v>
    </nc>
  </rcc>
  <rcc rId="2749" sId="5" numFmtId="4">
    <nc r="D147">
      <v>11</v>
    </nc>
  </rcc>
  <rcc rId="2750" sId="5" numFmtId="4">
    <nc r="E147">
      <v>8</v>
    </nc>
  </rcc>
  <rcc rId="2751" sId="5" numFmtId="4">
    <nc r="F147">
      <v>12</v>
    </nc>
  </rcc>
  <rcc rId="2752" sId="5" numFmtId="4">
    <nc r="G147">
      <v>0</v>
    </nc>
  </rcc>
  <rcc rId="2753" sId="8" numFmtId="4">
    <nc r="C154">
      <v>18</v>
    </nc>
  </rcc>
  <rcc rId="2754" sId="8" numFmtId="4">
    <nc r="D154">
      <v>11</v>
    </nc>
  </rcc>
  <rcc rId="2755" sId="8" numFmtId="4">
    <nc r="E154">
      <v>7</v>
    </nc>
  </rcc>
  <rcc rId="2756" sId="8" numFmtId="4">
    <nc r="F154">
      <v>8</v>
    </nc>
  </rcc>
  <rcc rId="2757" sId="8" numFmtId="4">
    <nc r="G154">
      <v>0</v>
    </nc>
  </rcc>
  <rcc rId="2758" sId="8" numFmtId="4">
    <nc r="C155">
      <v>33</v>
    </nc>
  </rcc>
  <rcc rId="2759" sId="8" numFmtId="4">
    <nc r="D155">
      <v>11</v>
    </nc>
  </rcc>
  <rcc rId="2760" sId="8" numFmtId="4">
    <nc r="E155">
      <v>1</v>
    </nc>
  </rcc>
  <rcc rId="2761" sId="8" numFmtId="4">
    <nc r="F155">
      <v>23</v>
    </nc>
  </rcc>
  <rcc rId="2762" sId="8" numFmtId="4">
    <nc r="G155">
      <v>1</v>
    </nc>
  </rcc>
  <rcc rId="2763" sId="8" numFmtId="4">
    <nc r="C156">
      <v>19</v>
    </nc>
  </rcc>
  <rcc rId="2764" sId="8" numFmtId="4">
    <nc r="D156">
      <v>11</v>
    </nc>
  </rcc>
  <rcc rId="2765" sId="8" numFmtId="4">
    <nc r="E156">
      <v>4</v>
    </nc>
  </rcc>
  <rcc rId="2766" sId="8" numFmtId="4">
    <nc r="F156">
      <v>8</v>
    </nc>
  </rcc>
  <rcc rId="2767" sId="8" numFmtId="4">
    <nc r="G156">
      <v>0</v>
    </nc>
  </rcc>
  <rcc rId="2768" sId="8" numFmtId="4">
    <nc r="C157">
      <v>23</v>
    </nc>
  </rcc>
  <rcc rId="2769" sId="8" numFmtId="4">
    <nc r="D157">
      <v>11</v>
    </nc>
  </rcc>
  <rcc rId="2770" sId="8" numFmtId="4">
    <nc r="E157">
      <v>14</v>
    </nc>
  </rcc>
  <rcc rId="2771" sId="8" numFmtId="4">
    <nc r="F157">
      <v>10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>
  <rcc rId="2772" sId="8" numFmtId="4">
    <nc r="G157">
      <v>1</v>
    </nc>
  </rcc>
  <rcc rId="2773" sId="8" numFmtId="4">
    <nc r="C158">
      <v>25</v>
    </nc>
  </rcc>
  <rcc rId="2774" sId="8" numFmtId="4">
    <nc r="D158">
      <v>9</v>
    </nc>
  </rcc>
  <rcc rId="2775" sId="8" numFmtId="4">
    <nc r="E158">
      <v>8</v>
    </nc>
  </rcc>
  <rcc rId="2776" sId="8" numFmtId="4">
    <nc r="F158">
      <v>13</v>
    </nc>
  </rcc>
  <rcc rId="2777" sId="8" numFmtId="4">
    <nc r="G158">
      <v>2</v>
    </nc>
  </rcc>
  <rcc rId="2778" sId="8" numFmtId="4">
    <nc r="C159">
      <v>24</v>
    </nc>
  </rcc>
  <rcc rId="2779" sId="8" numFmtId="4">
    <nc r="D159">
      <v>10</v>
    </nc>
  </rcc>
  <rcc rId="2780" sId="8" numFmtId="4">
    <nc r="E159">
      <v>13</v>
    </nc>
  </rcc>
  <rcc rId="2781" sId="8" numFmtId="4">
    <nc r="F159">
      <v>12</v>
    </nc>
  </rcc>
  <rcc rId="2782" sId="8" numFmtId="4">
    <nc r="G159">
      <v>0</v>
    </nc>
  </rcc>
  <rcc rId="2783" sId="8" numFmtId="4">
    <nc r="C160">
      <v>24</v>
    </nc>
  </rcc>
  <rcc rId="2784" sId="8" numFmtId="4">
    <nc r="D160">
      <v>11</v>
    </nc>
  </rcc>
  <rcc rId="2785" sId="8" numFmtId="4">
    <nc r="E160">
      <v>11</v>
    </nc>
  </rcc>
  <rcc rId="2786" sId="8" numFmtId="4">
    <nc r="F160">
      <v>14</v>
    </nc>
  </rcc>
  <rcc rId="2787" sId="8" numFmtId="4">
    <nc r="G160">
      <v>0</v>
    </nc>
  </rcc>
  <rcc rId="2788" sId="8" numFmtId="4">
    <nc r="C161">
      <v>21</v>
    </nc>
  </rcc>
  <rcc rId="2789" sId="8" numFmtId="4">
    <nc r="D161">
      <v>5</v>
    </nc>
  </rcc>
  <rcc rId="2790" sId="8" numFmtId="4">
    <nc r="E161">
      <v>4</v>
    </nc>
  </rcc>
  <rcc rId="2791" sId="8" numFmtId="4">
    <nc r="F161">
      <v>20</v>
    </nc>
  </rcc>
  <rcc rId="2792" sId="8" numFmtId="4">
    <nc r="G161">
      <v>0</v>
    </nc>
  </rcc>
  <rcc rId="2793" sId="8" numFmtId="4">
    <nc r="C162">
      <v>32</v>
    </nc>
  </rcc>
  <rcc rId="2794" sId="8" numFmtId="4">
    <nc r="D162">
      <v>11</v>
    </nc>
  </rcc>
  <rcc rId="2795" sId="8" numFmtId="4">
    <nc r="E162">
      <v>22</v>
    </nc>
  </rcc>
  <rcc rId="2796" sId="8" numFmtId="4">
    <nc r="F162">
      <v>20</v>
    </nc>
  </rcc>
  <rcc rId="2797" sId="8" numFmtId="4">
    <nc r="G162">
      <v>0</v>
    </nc>
  </rcc>
  <rcc rId="2798" sId="11" numFmtId="4">
    <nc r="C115">
      <v>14</v>
    </nc>
  </rcc>
  <rcc rId="2799" sId="11" numFmtId="4">
    <nc r="D115">
      <v>5</v>
    </nc>
  </rcc>
  <rcc rId="2800" sId="11" numFmtId="4">
    <nc r="E115">
      <v>12</v>
    </nc>
  </rcc>
  <rcc rId="2801" sId="11" numFmtId="4">
    <nc r="F115">
      <v>0</v>
    </nc>
  </rcc>
  <rcc rId="2802" sId="11" numFmtId="4">
    <nc r="G115">
      <v>1</v>
    </nc>
  </rcc>
  <rcc rId="2803" sId="11" numFmtId="4">
    <nc r="H115">
      <v>0</v>
    </nc>
  </rcc>
  <rcc rId="2804" sId="11" numFmtId="4">
    <nc r="C116">
      <v>1</v>
    </nc>
  </rcc>
  <rcc rId="2805" sId="11" numFmtId="4">
    <nc r="D116">
      <v>11</v>
    </nc>
  </rcc>
  <rcc rId="2806" sId="11" numFmtId="4">
    <nc r="E116">
      <v>3</v>
    </nc>
  </rcc>
  <rcc rId="2807" sId="11" numFmtId="4">
    <nc r="F116">
      <v>6</v>
    </nc>
  </rcc>
  <rcc rId="2808" sId="11" numFmtId="4">
    <nc r="G116">
      <v>6</v>
    </nc>
  </rcc>
  <rcc rId="2809" sId="11" numFmtId="4">
    <nc r="H116">
      <v>0</v>
    </nc>
  </rcc>
  <rcc rId="2810" sId="11" numFmtId="4">
    <nc r="C117">
      <v>5</v>
    </nc>
  </rcc>
  <rcc rId="2811" sId="11" numFmtId="4">
    <nc r="D117">
      <v>9</v>
    </nc>
  </rcc>
  <rcc rId="2812" sId="11" numFmtId="4">
    <nc r="E117">
      <v>5</v>
    </nc>
  </rcc>
  <rcc rId="2813" sId="11" numFmtId="4">
    <nc r="F117">
      <v>1</v>
    </nc>
  </rcc>
  <rcc rId="2814" sId="11" numFmtId="4">
    <nc r="G117">
      <v>5</v>
    </nc>
  </rcc>
  <rcc rId="2815" sId="11" numFmtId="4">
    <nc r="H117">
      <v>0</v>
    </nc>
  </rcc>
  <rcc rId="2816" sId="11" numFmtId="4">
    <nc r="C118">
      <v>10</v>
    </nc>
  </rcc>
  <rcc rId="2817" sId="11" numFmtId="4">
    <nc r="D118">
      <v>5</v>
    </nc>
  </rcc>
  <rcc rId="2818" sId="11" numFmtId="4">
    <nc r="E118">
      <v>3</v>
    </nc>
  </rcc>
</revisions>
</file>

<file path=xl/revisions/revisionLog65.xml><?xml version="1.0" encoding="utf-8"?>
<revisions xmlns="http://schemas.openxmlformats.org/spreadsheetml/2006/main" xmlns:r="http://schemas.openxmlformats.org/officeDocument/2006/relationships">
  <rcc rId="2819" sId="11" numFmtId="4">
    <nc r="F118">
      <v>1</v>
    </nc>
  </rcc>
  <rcc rId="2820" sId="11" numFmtId="4">
    <nc r="G118">
      <v>18</v>
    </nc>
  </rcc>
  <rcc rId="2821" sId="11" numFmtId="4">
    <nc r="H118">
      <v>1</v>
    </nc>
  </rcc>
  <rcc rId="2822" sId="11" numFmtId="4">
    <nc r="C119">
      <v>10</v>
    </nc>
  </rcc>
  <rcc rId="2823" sId="11" numFmtId="4">
    <nc r="D119">
      <v>6</v>
    </nc>
  </rcc>
  <rcc rId="2824" sId="11" numFmtId="4">
    <nc r="E119">
      <v>8</v>
    </nc>
  </rcc>
  <rcc rId="2825" sId="11" numFmtId="4">
    <nc r="F119">
      <v>3</v>
    </nc>
  </rcc>
  <rcc rId="2826" sId="11" numFmtId="4">
    <nc r="G119">
      <v>25</v>
    </nc>
  </rcc>
  <rcc rId="2827" sId="11" numFmtId="4">
    <nc r="H119">
      <v>0</v>
    </nc>
  </rcc>
  <rcc rId="2828" sId="5" numFmtId="4">
    <nc r="C148">
      <v>44</v>
    </nc>
  </rcc>
  <rcc rId="2829" sId="5" numFmtId="4">
    <nc r="D148">
      <v>11</v>
    </nc>
  </rcc>
  <rcc rId="2830" sId="5" numFmtId="4">
    <nc r="E148">
      <v>5</v>
    </nc>
  </rcc>
  <rcc rId="2831" sId="5" numFmtId="4">
    <nc r="F148">
      <v>5</v>
    </nc>
  </rcc>
  <rcc rId="2832" sId="5" numFmtId="4">
    <nc r="G148">
      <v>3</v>
    </nc>
  </rcc>
  <rcc rId="2833" sId="5" numFmtId="4">
    <nc r="C149">
      <v>50</v>
    </nc>
  </rcc>
  <rcc rId="2834" sId="5" numFmtId="4">
    <nc r="D149">
      <v>12</v>
    </nc>
  </rcc>
  <rcc rId="2835" sId="5" numFmtId="4">
    <nc r="E149">
      <v>7</v>
    </nc>
  </rcc>
  <rcc rId="2836" sId="5" numFmtId="4">
    <nc r="F149">
      <v>17</v>
    </nc>
  </rcc>
  <rcc rId="2837" sId="5" numFmtId="4">
    <nc r="G149">
      <v>0</v>
    </nc>
  </rcc>
  <rcc rId="2838" sId="5" numFmtId="4">
    <nc r="C150">
      <v>39</v>
    </nc>
  </rcc>
  <rcc rId="2839" sId="5" numFmtId="4">
    <nc r="D150">
      <v>12</v>
    </nc>
  </rcc>
  <rcc rId="2840" sId="5" numFmtId="4">
    <nc r="E150">
      <v>5</v>
    </nc>
  </rcc>
  <rcc rId="2841" sId="5" numFmtId="4">
    <nc r="F150">
      <v>2</v>
    </nc>
  </rcc>
  <rcc rId="2842" sId="5" numFmtId="4">
    <nc r="G150">
      <v>2</v>
    </nc>
  </rcc>
  <rcc rId="2843" sId="11" numFmtId="4">
    <nc r="C120">
      <v>4</v>
    </nc>
  </rcc>
  <rcc rId="2844" sId="11" numFmtId="4">
    <nc r="D120">
      <v>9</v>
    </nc>
  </rcc>
  <rcc rId="2845" sId="11" numFmtId="4">
    <nc r="E120">
      <v>2</v>
    </nc>
  </rcc>
  <rcc rId="2846" sId="11" numFmtId="4">
    <nc r="F120">
      <v>2</v>
    </nc>
  </rcc>
  <rcc rId="2847" sId="11" numFmtId="4">
    <nc r="G120">
      <v>15</v>
    </nc>
  </rcc>
  <rcc rId="2848" sId="11" numFmtId="4">
    <nc r="H120">
      <v>0</v>
    </nc>
  </rcc>
  <rcc rId="2849" sId="11" numFmtId="4">
    <nc r="C121">
      <v>4</v>
    </nc>
  </rcc>
  <rcc rId="2850" sId="11" numFmtId="4">
    <nc r="D121">
      <v>12</v>
    </nc>
  </rcc>
  <rcc rId="2851" sId="11" numFmtId="4">
    <nc r="E121">
      <v>2</v>
    </nc>
  </rcc>
  <rcc rId="2852" sId="11" numFmtId="4">
    <nc r="F121">
      <v>1</v>
    </nc>
  </rcc>
  <rcc rId="2853" sId="11" numFmtId="4">
    <nc r="G121">
      <v>20</v>
    </nc>
  </rcc>
  <rcc rId="2854" sId="11" numFmtId="4">
    <nc r="H121">
      <v>0</v>
    </nc>
  </rcc>
  <rcc rId="2855" sId="11" numFmtId="4">
    <nc r="C122">
      <v>4</v>
    </nc>
  </rcc>
  <rcc rId="2856" sId="11" numFmtId="4">
    <nc r="D122">
      <v>13</v>
    </nc>
  </rcc>
  <rcc rId="2857" sId="11" numFmtId="4">
    <nc r="E122">
      <v>1</v>
    </nc>
  </rcc>
  <rcc rId="2858" sId="11" numFmtId="4">
    <nc r="F122">
      <v>2</v>
    </nc>
  </rcc>
  <rcc rId="2859" sId="11" numFmtId="4">
    <nc r="G122">
      <v>5</v>
    </nc>
  </rcc>
  <rcc rId="2860" sId="11" numFmtId="4">
    <nc r="H122">
      <v>0</v>
    </nc>
  </rcc>
  <rcc rId="2861" sId="11" numFmtId="4">
    <nc r="C123">
      <v>8</v>
    </nc>
  </rcc>
  <rcc rId="2862" sId="11" numFmtId="4">
    <nc r="D123">
      <v>9</v>
    </nc>
  </rcc>
  <rcc rId="2863" sId="11" numFmtId="4">
    <nc r="E123">
      <v>7</v>
    </nc>
  </rcc>
  <rcc rId="2864" sId="11" numFmtId="4">
    <nc r="F123">
      <v>1</v>
    </nc>
  </rcc>
  <rcc rId="2865" sId="11" numFmtId="4">
    <nc r="G123">
      <v>4</v>
    </nc>
  </rcc>
  <rcc rId="2866" sId="11" numFmtId="4">
    <nc r="H123">
      <v>0</v>
    </nc>
  </rcc>
  <rcc rId="2867" sId="11" numFmtId="4">
    <nc r="C124">
      <v>5</v>
    </nc>
  </rcc>
  <rcc rId="2868" sId="11" numFmtId="4">
    <nc r="D124">
      <v>10</v>
    </nc>
  </rcc>
  <rcc rId="2869" sId="11" numFmtId="4">
    <nc r="E124">
      <v>5</v>
    </nc>
  </rcc>
  <rcc rId="2870" sId="11" numFmtId="4">
    <nc r="F124">
      <v>1</v>
    </nc>
  </rcc>
  <rcc rId="2871" sId="11" numFmtId="4">
    <nc r="G124">
      <v>5</v>
    </nc>
  </rcc>
  <rcc rId="2872" sId="11" numFmtId="4">
    <nc r="H124">
      <v>0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>
  <rcc rId="2877" sId="11" numFmtId="4">
    <nc r="C125">
      <v>4</v>
    </nc>
  </rcc>
  <rcc rId="2878" sId="11" numFmtId="4">
    <nc r="D125">
      <v>11</v>
    </nc>
  </rcc>
  <rcc rId="2879" sId="11" numFmtId="4">
    <nc r="E125">
      <v>2</v>
    </nc>
  </rcc>
  <rcc rId="2880" sId="11" numFmtId="4">
    <nc r="F125">
      <v>1</v>
    </nc>
  </rcc>
  <rcc rId="2881" sId="11" numFmtId="4">
    <nc r="G125">
      <v>20</v>
    </nc>
  </rcc>
  <rcc rId="2882" sId="11" numFmtId="4">
    <nc r="H125">
      <v>0</v>
    </nc>
  </rcc>
  <rcc rId="2883" sId="11" numFmtId="4">
    <nc r="C126">
      <v>4</v>
    </nc>
  </rcc>
  <rcc rId="2884" sId="11" numFmtId="4">
    <nc r="D126">
      <v>10</v>
    </nc>
  </rcc>
  <rcc rId="2885" sId="11" numFmtId="4">
    <nc r="E126">
      <v>3</v>
    </nc>
  </rcc>
  <rcc rId="2886" sId="11" numFmtId="4">
    <nc r="F126">
      <v>1</v>
    </nc>
  </rcc>
  <rcc rId="2887" sId="11" numFmtId="4">
    <nc r="G126">
      <v>20</v>
    </nc>
  </rcc>
  <rcc rId="2888" sId="11" numFmtId="4">
    <nc r="H126">
      <v>0</v>
    </nc>
  </rcc>
  <rcc rId="2889" sId="5" numFmtId="4">
    <nc r="C151">
      <v>55</v>
    </nc>
  </rcc>
  <rcc rId="2890" sId="5" numFmtId="4">
    <nc r="D151">
      <v>11</v>
    </nc>
  </rcc>
  <rcc rId="2891" sId="5" numFmtId="4">
    <nc r="E151">
      <v>10</v>
    </nc>
  </rcc>
  <rcc rId="2892" sId="5" numFmtId="4">
    <nc r="F151">
      <v>8</v>
    </nc>
  </rcc>
  <rcc rId="2893" sId="5" numFmtId="4">
    <nc r="G151">
      <v>0</v>
    </nc>
  </rcc>
  <rcc rId="2894" sId="5" numFmtId="4">
    <nc r="C152">
      <v>55</v>
    </nc>
  </rcc>
  <rcc rId="2895" sId="5" numFmtId="4">
    <nc r="D152">
      <v>11</v>
    </nc>
  </rcc>
  <rcc rId="2896" sId="5" numFmtId="4">
    <nc r="E152">
      <v>10</v>
    </nc>
  </rcc>
  <rcc rId="2897" sId="5" numFmtId="4">
    <nc r="F152">
      <v>8</v>
    </nc>
  </rcc>
  <rcc rId="2898" sId="5" numFmtId="4">
    <nc r="G152">
      <v>0</v>
    </nc>
  </rcc>
  <rcc rId="2899" sId="5" numFmtId="4">
    <nc r="C153">
      <v>51</v>
    </nc>
  </rcc>
  <rcc rId="2900" sId="5" numFmtId="4">
    <nc r="D153">
      <v>11</v>
    </nc>
  </rcc>
  <rcc rId="2901" sId="5" numFmtId="4">
    <nc r="E153">
      <v>7</v>
    </nc>
  </rcc>
  <rcc rId="2902" sId="5" numFmtId="4">
    <nc r="F153">
      <v>18</v>
    </nc>
  </rcc>
  <rcc rId="2903" sId="5" numFmtId="4">
    <nc r="G153">
      <v>0</v>
    </nc>
  </rcc>
  <rcc rId="2904" sId="8" numFmtId="4">
    <nc r="C163">
      <v>34</v>
    </nc>
  </rcc>
  <rcc rId="2905" sId="8" numFmtId="4">
    <nc r="D163">
      <v>12</v>
    </nc>
  </rcc>
  <rcc rId="2906" sId="8" numFmtId="4">
    <nc r="E163">
      <v>11</v>
    </nc>
  </rcc>
  <rcc rId="2907" sId="8" numFmtId="4">
    <nc r="F163">
      <v>10</v>
    </nc>
  </rcc>
  <rcc rId="2908" sId="8" numFmtId="4">
    <nc r="G163">
      <v>0</v>
    </nc>
  </rcc>
  <rcc rId="2909" sId="8" numFmtId="4">
    <nc r="C164">
      <v>34</v>
    </nc>
  </rcc>
  <rcc rId="2910" sId="8" numFmtId="4">
    <nc r="D164">
      <v>11</v>
    </nc>
  </rcc>
  <rcc rId="2911" sId="8" numFmtId="4">
    <nc r="E164">
      <v>9</v>
    </nc>
  </rcc>
  <rcc rId="2912" sId="8" numFmtId="4">
    <nc r="F164">
      <v>10</v>
    </nc>
  </rcc>
  <rcc rId="2913" sId="8" numFmtId="4">
    <nc r="G164">
      <v>0</v>
    </nc>
  </rcc>
  <rcc rId="2914" sId="8" numFmtId="4">
    <nc r="C165">
      <v>28</v>
    </nc>
  </rcc>
  <rcc rId="2915" sId="8" numFmtId="4">
    <nc r="D165">
      <v>11</v>
    </nc>
  </rcc>
  <rcc rId="2916" sId="8" numFmtId="4">
    <nc r="E165">
      <v>0</v>
    </nc>
  </rcc>
  <rcc rId="2917" sId="8" numFmtId="4">
    <nc r="F165">
      <v>25</v>
    </nc>
  </rcc>
  <rcc rId="2918" sId="8" numFmtId="4">
    <nc r="G165">
      <v>0</v>
    </nc>
  </rcc>
</revisions>
</file>

<file path=xl/revisions/revisionLog67.xml><?xml version="1.0" encoding="utf-8"?>
<revisions xmlns="http://schemas.openxmlformats.org/spreadsheetml/2006/main" xmlns:r="http://schemas.openxmlformats.org/officeDocument/2006/relationships">
  <rcc rId="2919" sId="5" numFmtId="4">
    <nc r="C154">
      <v>49</v>
    </nc>
  </rcc>
  <rcc rId="2920" sId="5" numFmtId="4">
    <nc r="D154">
      <v>12</v>
    </nc>
  </rcc>
  <rcc rId="2921" sId="5" numFmtId="4">
    <nc r="E154">
      <v>1</v>
    </nc>
  </rcc>
  <rcc rId="2922" sId="5" numFmtId="4">
    <nc r="F154">
      <v>11</v>
    </nc>
  </rcc>
  <rcc rId="2923" sId="5" numFmtId="4">
    <nc r="G154">
      <v>2</v>
    </nc>
  </rcc>
  <rcc rId="2924" sId="11" numFmtId="4">
    <nc r="C127">
      <v>5</v>
    </nc>
  </rcc>
  <rcc rId="2925" sId="11" numFmtId="4">
    <nc r="D127">
      <v>11</v>
    </nc>
  </rcc>
  <rcc rId="2926" sId="11" numFmtId="4">
    <nc r="E127">
      <v>5</v>
    </nc>
  </rcc>
  <rcc rId="2927" sId="11" numFmtId="4">
    <nc r="F127">
      <v>1</v>
    </nc>
  </rcc>
  <rcc rId="2928" sId="11" numFmtId="4">
    <nc r="G127">
      <v>5</v>
    </nc>
  </rcc>
  <rcc rId="2929" sId="11" numFmtId="4">
    <nc r="H127">
      <v>0</v>
    </nc>
  </rcc>
  <rcc rId="2930" sId="11" numFmtId="4">
    <nc r="C128">
      <v>2</v>
    </nc>
  </rcc>
  <rcc rId="2931" sId="11" numFmtId="4">
    <nc r="D128">
      <v>11</v>
    </nc>
  </rcc>
  <rcc rId="2932" sId="11" numFmtId="4">
    <nc r="E128">
      <v>10</v>
    </nc>
  </rcc>
  <rcc rId="2933" sId="11" numFmtId="4">
    <nc r="F128">
      <v>15</v>
    </nc>
  </rcc>
  <rcc rId="2934" sId="11" numFmtId="4">
    <nc r="G128">
      <v>2</v>
    </nc>
  </rcc>
  <rcc rId="2935" sId="11" numFmtId="4">
    <nc r="H128">
      <v>2</v>
    </nc>
  </rcc>
  <rcc rId="2936" sId="11" numFmtId="4">
    <nc r="C129">
      <v>2</v>
    </nc>
  </rcc>
  <rcc rId="2937" sId="11" numFmtId="4">
    <nc r="D129">
      <v>8</v>
    </nc>
  </rcc>
  <rcc rId="2938" sId="11" numFmtId="4">
    <nc r="E129">
      <v>20</v>
    </nc>
  </rcc>
  <rcc rId="2939" sId="11" numFmtId="4">
    <nc r="F129">
      <v>10</v>
    </nc>
  </rcc>
  <rcc rId="2940" sId="11" numFmtId="4">
    <nc r="G129">
      <v>20</v>
    </nc>
  </rcc>
  <rcc rId="2941" sId="11" numFmtId="4">
    <nc r="H129">
      <v>0</v>
    </nc>
  </rcc>
</revisions>
</file>

<file path=xl/revisions/revisionLog68.xml><?xml version="1.0" encoding="utf-8"?>
<revisions xmlns="http://schemas.openxmlformats.org/spreadsheetml/2006/main" xmlns:r="http://schemas.openxmlformats.org/officeDocument/2006/relationships">
  <rcc rId="2942" sId="11" numFmtId="4">
    <nc r="C130">
      <v>2</v>
    </nc>
  </rcc>
  <rcc rId="2943" sId="11" numFmtId="4">
    <nc r="D130">
      <v>9</v>
    </nc>
  </rcc>
  <rcc rId="2944" sId="11" numFmtId="4">
    <nc r="E130">
      <v>20</v>
    </nc>
  </rcc>
  <rcc rId="2945" sId="11" numFmtId="4">
    <nc r="F130">
      <v>20</v>
    </nc>
  </rcc>
  <rcc rId="2946" sId="11" numFmtId="4">
    <nc r="G130">
      <v>10</v>
    </nc>
  </rcc>
  <rcc rId="2947" sId="11" numFmtId="4">
    <nc r="H130">
      <v>0</v>
    </nc>
  </rcc>
  <rcc rId="2948" sId="11" numFmtId="4">
    <nc r="C131">
      <v>2</v>
    </nc>
  </rcc>
  <rcc rId="2949" sId="11" numFmtId="4">
    <nc r="D131">
      <v>10</v>
    </nc>
  </rcc>
  <rcc rId="2950" sId="11" numFmtId="4">
    <nc r="E131">
      <v>10</v>
    </nc>
  </rcc>
  <rcc rId="2951" sId="11" numFmtId="4">
    <nc r="F131">
      <v>15</v>
    </nc>
  </rcc>
  <rcc rId="2952" sId="11" numFmtId="4">
    <nc r="G131">
      <v>20</v>
    </nc>
  </rcc>
  <rcc rId="2953" sId="11" numFmtId="4">
    <nc r="H131">
      <v>0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>
  <rcc rId="2954" sId="2" numFmtId="4">
    <nc r="C13">
      <v>70</v>
    </nc>
  </rcc>
  <rcc rId="2955" sId="2" numFmtId="4">
    <nc r="C14">
      <v>70</v>
    </nc>
  </rcc>
  <rcc rId="2956" sId="2" numFmtId="4">
    <nc r="C15">
      <v>70</v>
    </nc>
  </rcc>
  <rcc rId="2957" sId="2" numFmtId="4">
    <nc r="C16">
      <v>70</v>
    </nc>
  </rcc>
  <rcc rId="2958" sId="2" numFmtId="4">
    <nc r="C17">
      <v>70</v>
    </nc>
  </rcc>
  <rcc rId="2959" sId="2" numFmtId="4">
    <nc r="C18">
      <v>70</v>
    </nc>
  </rcc>
  <rcc rId="2960" sId="2" numFmtId="4">
    <nc r="D13">
      <v>4</v>
    </nc>
  </rcc>
  <rcc rId="2961" sId="2" numFmtId="4">
    <nc r="D14">
      <v>5</v>
    </nc>
  </rcc>
  <rcc rId="2962" sId="2" numFmtId="4">
    <nc r="D15">
      <v>6</v>
    </nc>
  </rcc>
  <rcc rId="2963" sId="2" numFmtId="4">
    <nc r="D16">
      <v>7</v>
    </nc>
  </rcc>
  <rcc rId="2964" sId="2" numFmtId="4">
    <nc r="D17">
      <v>8</v>
    </nc>
  </rcc>
  <rcc rId="2965" sId="2" numFmtId="4">
    <nc r="D18">
      <v>9</v>
    </nc>
  </rcc>
  <rcc rId="2966" sId="2" numFmtId="4">
    <nc r="D19">
      <v>10</v>
    </nc>
  </rcc>
  <rcc rId="2967" sId="2" numFmtId="4">
    <nc r="D20">
      <v>11</v>
    </nc>
  </rcc>
  <rcc rId="2968" sId="2" numFmtId="4">
    <nc r="C19">
      <v>70</v>
    </nc>
  </rcc>
  <rcc rId="2969" sId="2" numFmtId="4">
    <nc r="C20">
      <v>70</v>
    </nc>
  </rcc>
  <rcc rId="2970" sId="2" numFmtId="4">
    <nc r="C21">
      <v>72</v>
    </nc>
  </rcc>
  <rcc rId="2971" sId="2" numFmtId="4">
    <nc r="D21">
      <v>12</v>
    </nc>
  </rcc>
  <rcc rId="2972" sId="2" numFmtId="4">
    <nc r="E13">
      <v>55</v>
    </nc>
  </rcc>
  <rcc rId="2973" sId="2" numFmtId="4">
    <nc r="E14">
      <v>55</v>
    </nc>
  </rcc>
  <rcc rId="2974" sId="2" numFmtId="4">
    <nc r="E15">
      <v>55</v>
    </nc>
  </rcc>
  <rcc rId="2975" sId="2" numFmtId="4">
    <nc r="E16">
      <v>55</v>
    </nc>
  </rcc>
  <rcc rId="2976" sId="2" numFmtId="4">
    <nc r="E17">
      <v>55</v>
    </nc>
  </rcc>
  <rcc rId="2977" sId="2" numFmtId="4">
    <nc r="E18">
      <v>55</v>
    </nc>
  </rcc>
  <rcc rId="2978" sId="2" numFmtId="4">
    <nc r="E19">
      <v>55</v>
    </nc>
  </rcc>
  <rcc rId="2979" sId="2" numFmtId="4">
    <nc r="E20">
      <v>55</v>
    </nc>
  </rcc>
  <rcc rId="2980" sId="2" numFmtId="4">
    <nc r="E21">
      <v>55</v>
    </nc>
  </rcc>
  <rcc rId="2981" sId="2" numFmtId="4">
    <nc r="F13">
      <v>30</v>
    </nc>
  </rcc>
  <rcc rId="2982" sId="2" numFmtId="4">
    <nc r="F14">
      <v>30</v>
    </nc>
  </rcc>
  <rcc rId="2983" sId="2" numFmtId="4">
    <nc r="F15">
      <v>30</v>
    </nc>
  </rcc>
  <rcc rId="2984" sId="2" numFmtId="4">
    <nc r="F16">
      <v>30</v>
    </nc>
  </rcc>
  <rcc rId="2985" sId="2" numFmtId="4">
    <nc r="F17">
      <v>30</v>
    </nc>
  </rcc>
  <rcc rId="2986" sId="2" numFmtId="4">
    <nc r="F18">
      <v>30</v>
    </nc>
  </rcc>
  <rcc rId="2987" sId="2" numFmtId="4">
    <nc r="F19">
      <v>30</v>
    </nc>
  </rcc>
  <rcc rId="2988" sId="2" numFmtId="4">
    <nc r="F20">
      <v>30</v>
    </nc>
  </rcc>
  <rcc rId="2989" sId="2" numFmtId="4">
    <nc r="F21">
      <v>30</v>
    </nc>
  </rcc>
  <rcc rId="2990" sId="2" numFmtId="4">
    <nc r="G13">
      <v>19</v>
    </nc>
  </rcc>
  <rcc rId="2991" sId="2" numFmtId="4">
    <nc r="G14">
      <v>19</v>
    </nc>
  </rcc>
  <rcc rId="2992" sId="2" numFmtId="4">
    <nc r="G15">
      <v>19</v>
    </nc>
  </rcc>
  <rcc rId="2993" sId="2" numFmtId="4">
    <nc r="G16">
      <v>19</v>
    </nc>
  </rcc>
  <rcc rId="2994" sId="2" numFmtId="4">
    <nc r="G17">
      <v>19</v>
    </nc>
  </rcc>
  <rcc rId="2995" sId="2" numFmtId="4">
    <nc r="G18">
      <v>19</v>
    </nc>
  </rcc>
  <rcc rId="2996" sId="2" numFmtId="4">
    <nc r="G19">
      <v>19</v>
    </nc>
  </rcc>
  <rcc rId="2997" sId="2" numFmtId="4">
    <nc r="G20">
      <v>19</v>
    </nc>
  </rcc>
  <rcc rId="2998" sId="2" numFmtId="4">
    <nc r="G21">
      <v>19</v>
    </nc>
  </rcc>
</revisions>
</file>

<file path=xl/revisions/revisionLog70.xml><?xml version="1.0" encoding="utf-8"?>
<revisions xmlns="http://schemas.openxmlformats.org/spreadsheetml/2006/main" xmlns:r="http://schemas.openxmlformats.org/officeDocument/2006/relationships">
  <rcc rId="3003" sId="8" numFmtId="4">
    <nc r="C166">
      <v>26</v>
    </nc>
  </rcc>
  <rcc rId="3004" sId="8" numFmtId="4">
    <nc r="D166">
      <v>12</v>
    </nc>
  </rcc>
  <rcc rId="3005" sId="8" numFmtId="4">
    <nc r="E166">
      <v>7</v>
    </nc>
  </rcc>
  <rcc rId="3006" sId="8" numFmtId="4">
    <nc r="F166">
      <v>64</v>
    </nc>
  </rcc>
  <rcc rId="3007" sId="8" numFmtId="4">
    <nc r="G166">
      <v>2</v>
    </nc>
  </rcc>
  <rcc rId="3008" sId="5" numFmtId="4">
    <nc r="C155">
      <v>43</v>
    </nc>
  </rcc>
  <rcc rId="3009" sId="5" numFmtId="4">
    <nc r="D155">
      <v>13</v>
    </nc>
  </rcc>
  <rcc rId="3010" sId="5" numFmtId="4">
    <nc r="E155">
      <v>6</v>
    </nc>
  </rcc>
  <rcc rId="3011" sId="5" numFmtId="4">
    <nc r="F155">
      <v>7</v>
    </nc>
  </rcc>
  <rcc rId="3012" sId="5" numFmtId="4">
    <nc r="G155">
      <v>4</v>
    </nc>
  </rcc>
  <rcc rId="3013" sId="5" numFmtId="4">
    <nc r="C156">
      <v>43</v>
    </nc>
  </rcc>
  <rcc rId="3014" sId="5" numFmtId="4">
    <nc r="D156">
      <v>12</v>
    </nc>
  </rcc>
  <rcc rId="3015" sId="5" numFmtId="4">
    <nc r="E156">
      <v>6</v>
    </nc>
  </rcc>
  <rcc rId="3016" sId="5" numFmtId="4">
    <nc r="F156">
      <v>6</v>
    </nc>
  </rcc>
  <rcc rId="3017" sId="5" numFmtId="4">
    <nc r="G156">
      <v>2</v>
    </nc>
  </rcc>
  <rcc rId="3018" sId="5" numFmtId="4">
    <nc r="C157">
      <v>50</v>
    </nc>
  </rcc>
  <rcc rId="3019" sId="5" numFmtId="4">
    <nc r="D157">
      <v>12</v>
    </nc>
  </rcc>
  <rcc rId="3020" sId="5" numFmtId="4">
    <nc r="E157">
      <v>11</v>
    </nc>
  </rcc>
  <rcc rId="3021" sId="5" numFmtId="4">
    <nc r="F157">
      <v>14</v>
    </nc>
  </rcc>
  <rcc rId="3022" sId="5" numFmtId="4">
    <nc r="G157">
      <v>0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>
  <rcc rId="3023" sId="8" numFmtId="4">
    <nc r="C167">
      <v>21</v>
    </nc>
  </rcc>
  <rcc rId="3024" sId="8" numFmtId="4">
    <nc r="D167">
      <v>11</v>
    </nc>
  </rcc>
  <rcc rId="3025" sId="8" numFmtId="4">
    <nc r="E167">
      <v>9</v>
    </nc>
  </rcc>
  <rcc rId="3026" sId="8" numFmtId="4">
    <nc r="F167">
      <v>12</v>
    </nc>
  </rcc>
  <rcc rId="3027" sId="8" numFmtId="4">
    <nc r="G167">
      <v>4</v>
    </nc>
  </rcc>
  <rcc rId="3028" sId="8" numFmtId="4">
    <nc r="C168">
      <v>21</v>
    </nc>
  </rcc>
  <rcc rId="3029" sId="8" numFmtId="4">
    <nc r="D168">
      <v>12</v>
    </nc>
  </rcc>
  <rcc rId="3030" sId="8" numFmtId="4">
    <nc r="E168">
      <v>12</v>
    </nc>
  </rcc>
  <rcc rId="3031" sId="8" numFmtId="4">
    <nc r="F168">
      <v>12</v>
    </nc>
  </rcc>
  <rcc rId="3032" sId="8" numFmtId="4">
    <nc r="G168">
      <v>1</v>
    </nc>
  </rcc>
</revisions>
</file>

<file path=xl/revisions/revisionLog72.xml><?xml version="1.0" encoding="utf-8"?>
<revisions xmlns="http://schemas.openxmlformats.org/spreadsheetml/2006/main" xmlns:r="http://schemas.openxmlformats.org/officeDocument/2006/relationships">
  <rcc rId="3033" sId="11" numFmtId="4">
    <nc r="C132">
      <v>6</v>
    </nc>
  </rcc>
  <rcc rId="3034" sId="11" numFmtId="4">
    <nc r="D132">
      <v>11</v>
    </nc>
  </rcc>
  <rcc rId="3035" sId="11" numFmtId="4">
    <nc r="E132">
      <v>21</v>
    </nc>
  </rcc>
  <rcc rId="3036" sId="11" numFmtId="4">
    <nc r="F132">
      <v>0</v>
    </nc>
  </rcc>
  <rcc rId="3037" sId="11" numFmtId="4">
    <nc r="G132">
      <v>23</v>
    </nc>
  </rcc>
  <rcc rId="3038" sId="11" numFmtId="4">
    <nc r="H132">
      <v>0</v>
    </nc>
  </rcc>
  <rcc rId="3039" sId="11" numFmtId="4">
    <nc r="C133">
      <v>1</v>
    </nc>
  </rcc>
  <rcc rId="3040" sId="11" numFmtId="4">
    <nc r="D133">
      <v>12</v>
    </nc>
  </rcc>
  <rcc rId="3041" sId="11" numFmtId="4">
    <nc r="E133">
      <v>1</v>
    </nc>
  </rcc>
  <rcc rId="3042" sId="11" numFmtId="4">
    <nc r="F133">
      <v>0</v>
    </nc>
  </rcc>
  <rcc rId="3043" sId="11" numFmtId="4">
    <nc r="G133">
      <v>3</v>
    </nc>
  </rcc>
  <rcc rId="3044" sId="11" numFmtId="4">
    <nc r="H133">
      <v>0</v>
    </nc>
  </rcc>
  <rcc rId="3045" sId="11" numFmtId="4">
    <nc r="C134">
      <v>11</v>
    </nc>
  </rcc>
  <rcc rId="3046" sId="11" numFmtId="4">
    <nc r="D134">
      <v>12</v>
    </nc>
  </rcc>
  <rcc rId="3047" sId="11" numFmtId="4">
    <nc r="E134">
      <v>11</v>
    </nc>
  </rcc>
  <rcc rId="3048" sId="11" numFmtId="4">
    <nc r="F134">
      <v>0</v>
    </nc>
  </rcc>
  <rcc rId="3049" sId="11" numFmtId="4">
    <nc r="G134">
      <v>6</v>
    </nc>
  </rcc>
  <rcc rId="3050" sId="11" numFmtId="4">
    <nc r="H134">
      <v>0</v>
    </nc>
  </rcc>
  <rcc rId="3051" sId="11" numFmtId="4">
    <nc r="C135">
      <v>6</v>
    </nc>
  </rcc>
  <rcc rId="3052" sId="11" numFmtId="4">
    <nc r="D135">
      <v>13</v>
    </nc>
  </rcc>
  <rcc rId="3053" sId="11" numFmtId="4">
    <nc r="E135">
      <v>14</v>
    </nc>
  </rcc>
  <rcc rId="3054" sId="11" numFmtId="4">
    <nc r="F135">
      <v>0</v>
    </nc>
  </rcc>
  <rcc rId="3055" sId="11" numFmtId="4">
    <nc r="G135">
      <v>4</v>
    </nc>
  </rcc>
  <rcc rId="3056" sId="11" numFmtId="4">
    <nc r="H135">
      <v>2</v>
    </nc>
  </rcc>
  <rcc rId="3057" sId="11" numFmtId="4">
    <nc r="C136">
      <v>6</v>
    </nc>
  </rcc>
  <rcc rId="3058" sId="11" numFmtId="4">
    <nc r="D136">
      <v>12</v>
    </nc>
  </rcc>
  <rcc rId="3059" sId="11" numFmtId="4">
    <nc r="E136">
      <v>14</v>
    </nc>
  </rcc>
  <rcc rId="3060" sId="11" numFmtId="4">
    <nc r="F136">
      <v>0</v>
    </nc>
  </rcc>
  <rcc rId="3061" sId="11" numFmtId="4">
    <nc r="G136">
      <v>16</v>
    </nc>
  </rcc>
  <rcc rId="3062" sId="11" numFmtId="4">
    <nc r="H136">
      <v>4</v>
    </nc>
  </rcc>
  <rcc rId="3063" sId="11" numFmtId="4">
    <nc r="C137">
      <v>1</v>
    </nc>
  </rcc>
  <rcc rId="3064" sId="11" numFmtId="4">
    <nc r="D137">
      <v>13</v>
    </nc>
  </rcc>
  <rcc rId="3065" sId="11" numFmtId="4">
    <nc r="E137">
      <v>2</v>
    </nc>
  </rcc>
  <rcc rId="3066" sId="11" numFmtId="4">
    <nc r="F137">
      <v>2</v>
    </nc>
  </rcc>
  <rcc rId="3067" sId="11" numFmtId="4">
    <nc r="G137">
      <v>4</v>
    </nc>
  </rcc>
  <rcc rId="3068" sId="11" numFmtId="4">
    <nc r="H137">
      <v>0</v>
    </nc>
  </rcc>
  <rcc rId="3069" sId="8" numFmtId="4">
    <nc r="C169">
      <v>33</v>
    </nc>
  </rcc>
  <rcc rId="3070" sId="8" numFmtId="4">
    <nc r="D169">
      <v>12</v>
    </nc>
  </rcc>
  <rcc rId="3071" sId="8" numFmtId="4">
    <nc r="E169">
      <v>1</v>
    </nc>
  </rcc>
  <rcc rId="3072" sId="8" numFmtId="4">
    <nc r="F169">
      <v>24</v>
    </nc>
  </rcc>
  <rcc rId="3073" sId="8" numFmtId="4">
    <nc r="G169">
      <v>0</v>
    </nc>
  </rcc>
  <rcc rId="3074" sId="8" numFmtId="4">
    <nc r="C170">
      <v>32</v>
    </nc>
  </rcc>
  <rcc rId="3075" sId="8" numFmtId="4">
    <nc r="D170">
      <v>12</v>
    </nc>
  </rcc>
</revisions>
</file>

<file path=xl/revisions/revisionLog73.xml><?xml version="1.0" encoding="utf-8"?>
<revisions xmlns="http://schemas.openxmlformats.org/spreadsheetml/2006/main" xmlns:r="http://schemas.openxmlformats.org/officeDocument/2006/relationships">
  <rcc rId="3076" sId="8" numFmtId="4">
    <nc r="E170">
      <v>25</v>
    </nc>
  </rcc>
  <rcc rId="3077" sId="8" numFmtId="4">
    <nc r="F170">
      <v>22</v>
    </nc>
  </rcc>
  <rcc rId="3078" sId="8" numFmtId="4">
    <nc r="G170">
      <v>0</v>
    </nc>
  </rcc>
  <rcc rId="3079" sId="8" numFmtId="4">
    <nc r="C171">
      <v>32</v>
    </nc>
  </rcc>
  <rcc rId="3080" sId="8" numFmtId="4">
    <nc r="D171">
      <v>11</v>
    </nc>
  </rcc>
  <rcc rId="3081" sId="8" numFmtId="4">
    <nc r="E171">
      <v>22</v>
    </nc>
  </rcc>
  <rcc rId="3082" sId="8" numFmtId="4">
    <nc r="F171">
      <v>20</v>
    </nc>
  </rcc>
  <rcc rId="3083" sId="8" numFmtId="4">
    <nc r="G171">
      <v>0</v>
    </nc>
  </rcc>
  <rcc rId="3084" sId="8" numFmtId="4">
    <nc r="C172">
      <v>18</v>
    </nc>
  </rcc>
  <rcc rId="3085" sId="8" numFmtId="4">
    <nc r="D172">
      <v>12</v>
    </nc>
  </rcc>
  <rcc rId="3086" sId="8" numFmtId="4">
    <nc r="E172">
      <v>8</v>
    </nc>
  </rcc>
  <rcc rId="3087" sId="8" numFmtId="4">
    <nc r="F172">
      <v>12</v>
    </nc>
  </rcc>
  <rcc rId="3088" sId="8" numFmtId="4">
    <nc r="G172">
      <v>0</v>
    </nc>
  </rcc>
  <rcc rId="3089" sId="5" numFmtId="4">
    <nc r="C158">
      <v>62</v>
    </nc>
  </rcc>
  <rcc rId="3090" sId="5" numFmtId="4">
    <nc r="D158">
      <v>12</v>
    </nc>
  </rcc>
  <rcc rId="3091" sId="5" numFmtId="4">
    <nc r="E158">
      <v>15</v>
    </nc>
  </rcc>
  <rcc rId="3092" sId="5" numFmtId="4">
    <nc r="F158">
      <v>10</v>
    </nc>
  </rcc>
  <rcc rId="3093" sId="5" numFmtId="4">
    <nc r="G158">
      <v>1</v>
    </nc>
  </rcc>
  <rcc rId="3094" sId="5" numFmtId="4">
    <nc r="C159">
      <v>62</v>
    </nc>
  </rcc>
  <rcc rId="3095" sId="5" numFmtId="4">
    <nc r="D159">
      <v>13</v>
    </nc>
  </rcc>
  <rcc rId="3096" sId="5" numFmtId="4">
    <nc r="E159">
      <v>14</v>
    </nc>
  </rcc>
  <rcc rId="3097" sId="5" numFmtId="4">
    <nc r="F159">
      <v>9</v>
    </nc>
  </rcc>
  <rcc rId="3098" sId="5" numFmtId="4">
    <nc r="G159">
      <v>0</v>
    </nc>
  </rcc>
  <rcc rId="3099" sId="5" numFmtId="4">
    <nc r="C160">
      <v>55</v>
    </nc>
  </rcc>
  <rcc rId="3100" sId="5" numFmtId="4">
    <nc r="D160">
      <v>12</v>
    </nc>
  </rcc>
  <rcc rId="3101" sId="5" numFmtId="4">
    <nc r="E160">
      <v>9</v>
    </nc>
  </rcc>
  <rcc rId="3102" sId="5" numFmtId="4">
    <nc r="F160">
      <v>11</v>
    </nc>
  </rcc>
  <rcc rId="3103" sId="5" numFmtId="4">
    <nc r="G160">
      <v>0</v>
    </nc>
  </rcc>
  <rcc rId="3104" sId="5" numFmtId="4">
    <nc r="C161">
      <v>51</v>
    </nc>
  </rcc>
  <rcc rId="3105" sId="5" numFmtId="4">
    <nc r="D161">
      <v>12</v>
    </nc>
  </rcc>
  <rcc rId="3106" sId="5" numFmtId="4">
    <nc r="E161">
      <v>9</v>
    </nc>
  </rcc>
  <rcc rId="3107" sId="5" numFmtId="4">
    <nc r="F161">
      <v>14</v>
    </nc>
  </rcc>
  <rcc rId="3108" sId="5" numFmtId="4">
    <nc r="G161">
      <v>1</v>
    </nc>
  </rcc>
  <rcc rId="3109" sId="5" numFmtId="4">
    <nc r="C162">
      <v>48</v>
    </nc>
  </rcc>
  <rcc rId="3110" sId="5" numFmtId="4">
    <nc r="D162">
      <v>12</v>
    </nc>
  </rcc>
  <rcc rId="3111" sId="5" numFmtId="4">
    <nc r="E162">
      <v>10</v>
    </nc>
  </rcc>
  <rcc rId="3112" sId="5" numFmtId="4">
    <nc r="F162">
      <v>12</v>
    </nc>
  </rcc>
  <rcc rId="3113" sId="5" numFmtId="4">
    <nc r="G162">
      <v>0</v>
    </nc>
  </rcc>
  <rcc rId="3114" sId="5" numFmtId="4">
    <nc r="C163">
      <v>38</v>
    </nc>
  </rcc>
  <rcc rId="3115" sId="5" numFmtId="4">
    <nc r="D163">
      <v>13</v>
    </nc>
  </rcc>
  <rcc rId="3116" sId="5" numFmtId="4">
    <nc r="E163">
      <v>6</v>
    </nc>
  </rcc>
  <rcc rId="3117" sId="5" numFmtId="4">
    <nc r="F163">
      <v>4</v>
    </nc>
  </rcc>
  <rcc rId="3118" sId="5" numFmtId="4">
    <nc r="G163">
      <v>9</v>
    </nc>
  </rcc>
  <rcc rId="3119" sId="5" numFmtId="4">
    <nc r="C164">
      <v>38</v>
    </nc>
  </rcc>
  <rcc rId="3120" sId="5" numFmtId="4">
    <nc r="D164">
      <v>12</v>
    </nc>
  </rcc>
  <rcc rId="3121" sId="5" numFmtId="4">
    <nc r="E164">
      <v>12</v>
    </nc>
  </rcc>
  <rcc rId="3122" sId="5" numFmtId="4">
    <nc r="F164">
      <v>3</v>
    </nc>
  </rcc>
  <rcc rId="3123" sId="5" numFmtId="4">
    <nc r="G164">
      <v>8</v>
    </nc>
  </rcc>
  <rcc rId="3124" sId="5" numFmtId="4">
    <nc r="C165">
      <v>38</v>
    </nc>
  </rcc>
  <rcc rId="3125" sId="5" numFmtId="4">
    <nc r="D165">
      <v>11</v>
    </nc>
  </rcc>
  <rcc rId="3126" sId="5" numFmtId="4">
    <nc r="E165">
      <v>5</v>
    </nc>
  </rcc>
  <rcc rId="3127" sId="5" numFmtId="4">
    <nc r="F165">
      <v>9</v>
    </nc>
  </rcc>
  <rcc rId="3128" sId="5" numFmtId="4">
    <nc r="G165">
      <v>10</v>
    </nc>
  </rcc>
  <rcc rId="3129" sId="5" numFmtId="4">
    <nc r="C166">
      <v>44</v>
    </nc>
  </rcc>
  <rcc rId="3130" sId="5" numFmtId="4">
    <nc r="D166">
      <v>13</v>
    </nc>
  </rcc>
  <rcc rId="3131" sId="5" numFmtId="4">
    <nc r="E166">
      <v>6</v>
    </nc>
  </rcc>
  <rcc rId="3132" sId="5" numFmtId="4">
    <nc r="F166">
      <v>5</v>
    </nc>
  </rcc>
  <rcc rId="3133" sId="5" numFmtId="4">
    <nc r="G166">
      <v>1</v>
    </nc>
  </rcc>
  <rcc rId="3134" sId="5" numFmtId="4">
    <nc r="C167">
      <v>44</v>
    </nc>
  </rcc>
  <rcc rId="3135" sId="5" numFmtId="4">
    <nc r="D167">
      <v>12</v>
    </nc>
  </rcc>
</revisions>
</file>

<file path=xl/revisions/revisionLog74.xml><?xml version="1.0" encoding="utf-8"?>
<revisions xmlns="http://schemas.openxmlformats.org/spreadsheetml/2006/main" xmlns:r="http://schemas.openxmlformats.org/officeDocument/2006/relationships">
  <rcc rId="3136" sId="5" numFmtId="4">
    <nc r="E167">
      <v>7</v>
    </nc>
  </rcc>
  <rcc rId="3137" sId="5" numFmtId="4">
    <nc r="F167">
      <v>9</v>
    </nc>
  </rcc>
  <rcc rId="3138" sId="5" numFmtId="4">
    <nc r="G167">
      <v>3</v>
    </nc>
  </rcc>
  <rcc rId="3139" sId="5" numFmtId="4">
    <nc r="C168">
      <v>55</v>
    </nc>
  </rcc>
  <rcc rId="3140" sId="5" numFmtId="4">
    <nc r="D168">
      <v>13</v>
    </nc>
  </rcc>
  <rcc rId="3141" sId="5" numFmtId="4">
    <nc r="E168">
      <v>12</v>
    </nc>
  </rcc>
  <rcc rId="3142" sId="5" numFmtId="4">
    <nc r="F168">
      <v>7</v>
    </nc>
  </rcc>
  <rcc rId="3143" sId="5" numFmtId="4">
    <nc r="G168">
      <v>1</v>
    </nc>
  </rcc>
  <rcc rId="3144" sId="5" numFmtId="4">
    <nc r="C169">
      <v>51</v>
    </nc>
  </rcc>
  <rcc rId="3145" sId="5" numFmtId="4">
    <nc r="D169">
      <v>13</v>
    </nc>
  </rcc>
  <rcc rId="3146" sId="5" numFmtId="4">
    <nc r="E169">
      <v>8</v>
    </nc>
  </rcc>
  <rcc rId="3147" sId="5" numFmtId="4">
    <nc r="F169">
      <v>10</v>
    </nc>
  </rcc>
  <rcc rId="3148" sId="5" numFmtId="4">
    <nc r="G169">
      <v>2</v>
    </nc>
  </rcc>
  <rcc rId="3149" sId="11" numFmtId="4">
    <nc r="C138">
      <v>17</v>
    </nc>
  </rcc>
  <rcc rId="3150" sId="11" numFmtId="4">
    <nc r="D138">
      <v>6</v>
    </nc>
  </rcc>
  <rcc rId="3151" sId="11" numFmtId="4">
    <nc r="E138">
      <v>5</v>
    </nc>
  </rcc>
  <rcc rId="3152" sId="11" numFmtId="4">
    <nc r="F138">
      <v>0</v>
    </nc>
  </rcc>
  <rcc rId="3153" sId="11" numFmtId="4">
    <nc r="G138">
      <v>2</v>
    </nc>
  </rcc>
  <rcc rId="3154" sId="11" numFmtId="4">
    <nc r="H138">
      <v>0</v>
    </nc>
  </rcc>
  <rcc rId="3155" sId="11" numFmtId="4">
    <nc r="C139">
      <v>17</v>
    </nc>
  </rcc>
  <rcc rId="3156" sId="11" numFmtId="4">
    <nc r="D139">
      <v>7</v>
    </nc>
  </rcc>
  <rcc rId="3157" sId="11" numFmtId="4">
    <nc r="E139">
      <v>4</v>
    </nc>
  </rcc>
  <rcc rId="3158" sId="11" numFmtId="4">
    <nc r="F139">
      <v>2</v>
    </nc>
  </rcc>
  <rcc rId="3159" sId="11" numFmtId="4">
    <nc r="G139">
      <v>4</v>
    </nc>
  </rcc>
  <rcc rId="3160" sId="11" numFmtId="4">
    <nc r="H139">
      <v>0</v>
    </nc>
  </rcc>
  <rcc rId="3161" sId="11" numFmtId="4">
    <nc r="C140">
      <v>5</v>
    </nc>
  </rcc>
  <rcc rId="3162" sId="11" numFmtId="4">
    <nc r="D140">
      <v>13</v>
    </nc>
  </rcc>
  <rcc rId="3163" sId="11" numFmtId="4">
    <nc r="E140">
      <v>4</v>
    </nc>
  </rcc>
  <rcc rId="3164" sId="11" numFmtId="4">
    <nc r="F140">
      <v>2</v>
    </nc>
  </rcc>
  <rcc rId="3165" sId="11" numFmtId="4">
    <nc r="G140">
      <v>4</v>
    </nc>
  </rcc>
  <rcc rId="3166" sId="11" numFmtId="4">
    <nc r="H140">
      <v>0</v>
    </nc>
  </rcc>
  <rcc rId="3167" sId="11" numFmtId="4">
    <nc r="C141">
      <v>5</v>
    </nc>
  </rcc>
  <rcc rId="3168" sId="11" numFmtId="4">
    <nc r="D141">
      <v>12</v>
    </nc>
  </rcc>
  <rcc rId="3169" sId="11" numFmtId="4">
    <nc r="E141">
      <v>5</v>
    </nc>
  </rcc>
  <rcc rId="3170" sId="11" numFmtId="4">
    <nc r="F141">
      <v>0</v>
    </nc>
  </rcc>
  <rcc rId="3171" sId="11" numFmtId="4">
    <nc r="G141">
      <v>2</v>
    </nc>
  </rcc>
  <rcc rId="3172" sId="11" numFmtId="4">
    <nc r="H141">
      <v>0</v>
    </nc>
  </rcc>
  <rcc rId="3173" sId="8" numFmtId="4">
    <nc r="C173">
      <v>29</v>
    </nc>
  </rcc>
  <rcc rId="3174" sId="8" numFmtId="4">
    <nc r="D173">
      <v>13</v>
    </nc>
  </rcc>
  <rcc rId="3175" sId="8" numFmtId="4">
    <nc r="E173">
      <v>15</v>
    </nc>
  </rcc>
  <rcc rId="3176" sId="8" numFmtId="4">
    <nc r="F173">
      <v>9</v>
    </nc>
  </rcc>
  <rcc rId="3177" sId="8" numFmtId="4">
    <nc r="G173">
      <v>1</v>
    </nc>
  </rcc>
  <rcc rId="3178" sId="8" numFmtId="4">
    <nc r="C174">
      <v>29</v>
    </nc>
  </rcc>
  <rcc rId="3179" sId="8" numFmtId="4">
    <nc r="D174">
      <v>12</v>
    </nc>
  </rcc>
  <rcc rId="3180" sId="8" numFmtId="4">
    <nc r="E174">
      <v>12</v>
    </nc>
  </rcc>
  <rcc rId="3181" sId="8" numFmtId="4">
    <nc r="F174">
      <v>13</v>
    </nc>
  </rcc>
  <rcc rId="3182" sId="8" numFmtId="4">
    <nc r="G174">
      <v>1</v>
    </nc>
  </rcc>
  <rcc rId="3183" sId="8" numFmtId="4">
    <nc r="C175">
      <v>29</v>
    </nc>
  </rcc>
  <rcc rId="3184" sId="8" numFmtId="4">
    <nc r="D175">
      <v>11</v>
    </nc>
  </rcc>
  <rcc rId="3185" sId="8" numFmtId="4">
    <nc r="E175">
      <v>14</v>
    </nc>
  </rcc>
  <rcc rId="3186" sId="8" numFmtId="4">
    <nc r="F175">
      <v>10</v>
    </nc>
  </rcc>
  <rcc rId="3187" sId="8" numFmtId="4">
    <nc r="G175">
      <v>9</v>
    </nc>
  </rcc>
  <rcc rId="3188" sId="8" numFmtId="4">
    <nc r="C176">
      <v>28</v>
    </nc>
  </rcc>
  <rcc rId="3189" sId="8" numFmtId="4">
    <nc r="D176">
      <v>13</v>
    </nc>
  </rcc>
  <rcc rId="3190" sId="8" numFmtId="4">
    <nc r="E176">
      <v>0</v>
    </nc>
  </rcc>
  <rcc rId="3191" sId="8" numFmtId="4">
    <nc r="F176">
      <v>12</v>
    </nc>
  </rcc>
  <rcc rId="3192" sId="8" numFmtId="4">
    <nc r="G176">
      <v>1</v>
    </nc>
  </rcc>
  <rcc rId="3193" sId="8" numFmtId="4">
    <nc r="C177">
      <v>28</v>
    </nc>
  </rcc>
  <rcc rId="3194" sId="8" numFmtId="4">
    <nc r="D177">
      <v>12</v>
    </nc>
  </rcc>
  <rcc rId="3195" sId="8" numFmtId="4">
    <nc r="E177">
      <v>2</v>
    </nc>
  </rcc>
  <rcc rId="3196" sId="8" numFmtId="4">
    <nc r="F177">
      <v>21</v>
    </nc>
  </rcc>
  <rcc rId="3197" sId="8" numFmtId="4">
    <nc r="G177">
      <v>1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>
  <rcc rId="3198" sId="8" numFmtId="4">
    <nc r="C178">
      <v>26</v>
    </nc>
  </rcc>
  <rcc rId="3199" sId="8" numFmtId="4">
    <nc r="D178">
      <v>13</v>
    </nc>
  </rcc>
  <rcc rId="3200" sId="8" numFmtId="4">
    <nc r="E178">
      <v>4</v>
    </nc>
  </rcc>
  <rcc rId="3201" sId="8" numFmtId="4">
    <nc r="F178">
      <v>28</v>
    </nc>
  </rcc>
  <rcc rId="3202" sId="8" numFmtId="4">
    <nc r="G178">
      <v>0</v>
    </nc>
  </rcc>
  <rcc rId="3203" sId="8" numFmtId="4">
    <nc r="C179">
      <v>24</v>
    </nc>
  </rcc>
  <rcc rId="3204" sId="8" numFmtId="4">
    <nc r="D179">
      <v>12</v>
    </nc>
  </rcc>
  <rcc rId="3205" sId="8" numFmtId="4">
    <nc r="E179">
      <v>14</v>
    </nc>
  </rcc>
  <rcc rId="3206" sId="8" numFmtId="4">
    <nc r="F179">
      <v>11</v>
    </nc>
  </rcc>
  <rcc rId="3207" sId="8" numFmtId="4">
    <nc r="G179">
      <v>0</v>
    </nc>
  </rcc>
  <rcc rId="3208" sId="8" numFmtId="4">
    <nc r="C180">
      <v>24</v>
    </nc>
  </rcc>
  <rcc rId="3209" sId="8" numFmtId="4">
    <nc r="D180">
      <v>11</v>
    </nc>
  </rcc>
  <rcc rId="3210" sId="8" numFmtId="4">
    <nc r="E180">
      <v>11</v>
    </nc>
  </rcc>
  <rcc rId="3211" sId="8" numFmtId="4">
    <nc r="F180">
      <v>14</v>
    </nc>
  </rcc>
  <rcc rId="3212" sId="8" numFmtId="4">
    <nc r="G180">
      <v>0</v>
    </nc>
  </rcc>
  <rcc rId="3213" sId="8" numFmtId="4">
    <nc r="C181">
      <v>27</v>
    </nc>
  </rcc>
  <rcc rId="3214" sId="8" numFmtId="4">
    <nc r="D181">
      <v>12</v>
    </nc>
  </rcc>
  <rcc rId="3215" sId="8" numFmtId="4">
    <nc r="E181">
      <v>4</v>
    </nc>
  </rcc>
  <rcc rId="3216" sId="8" numFmtId="4">
    <nc r="F181">
      <v>20</v>
    </nc>
  </rcc>
  <rcc rId="3217" sId="8" numFmtId="4">
    <nc r="G181">
      <v>1</v>
    </nc>
  </rcc>
  <rcc rId="3218" sId="8" numFmtId="4">
    <nc r="C182">
      <v>27</v>
    </nc>
  </rcc>
  <rcc rId="3219" sId="8" numFmtId="4">
    <nc r="D182">
      <v>11</v>
    </nc>
  </rcc>
  <rcc rId="3220" sId="8" numFmtId="4">
    <nc r="E182">
      <v>9</v>
    </nc>
  </rcc>
  <rcc rId="3221" sId="8" numFmtId="4">
    <nc r="F182">
      <v>18</v>
    </nc>
  </rcc>
  <rcc rId="3222" sId="8" numFmtId="4">
    <nc r="G182">
      <v>0</v>
    </nc>
  </rcc>
  <rcc rId="3223" sId="8" numFmtId="4">
    <nc r="C183">
      <v>34</v>
    </nc>
  </rcc>
  <rcc rId="3224" sId="8" numFmtId="4">
    <nc r="D183">
      <v>13</v>
    </nc>
  </rcc>
  <rcc rId="3225" sId="8" numFmtId="4">
    <nc r="E183">
      <v>9</v>
    </nc>
  </rcc>
  <rcc rId="3226" sId="8" numFmtId="4">
    <nc r="F183">
      <v>22</v>
    </nc>
  </rcc>
  <rcc rId="3227" sId="8" numFmtId="4">
    <nc r="G183">
      <v>0</v>
    </nc>
  </rcc>
  <rcc rId="3228" sId="8" numFmtId="4">
    <nc r="C184">
      <v>23</v>
    </nc>
  </rcc>
  <rcc rId="3229" sId="8" numFmtId="4">
    <nc r="D184">
      <v>12</v>
    </nc>
  </rcc>
  <rcc rId="3230" sId="8" numFmtId="4">
    <nc r="E184">
      <v>10</v>
    </nc>
  </rcc>
  <rcc rId="3231" sId="8" numFmtId="4">
    <nc r="F184">
      <v>13</v>
    </nc>
  </rcc>
  <rcc rId="3232" sId="8" numFmtId="4">
    <nc r="G184">
      <v>0</v>
    </nc>
  </rcc>
  <rcc rId="3233" sId="8" numFmtId="4">
    <nc r="C185">
      <v>21</v>
    </nc>
  </rcc>
  <rcc rId="3234" sId="8" numFmtId="4">
    <nc r="D185">
      <v>13</v>
    </nc>
  </rcc>
  <rcc rId="3235" sId="8" numFmtId="4">
    <nc r="E185">
      <v>11</v>
    </nc>
  </rcc>
  <rcc rId="3236" sId="8" numFmtId="4">
    <nc r="F185">
      <v>13</v>
    </nc>
  </rcc>
  <rcc rId="3237" sId="8" numFmtId="4">
    <nc r="G185">
      <v>1</v>
    </nc>
  </rcc>
  <rcc rId="3238" sId="8" numFmtId="4">
    <nc r="C186">
      <v>37</v>
    </nc>
  </rcc>
  <rcc rId="3239" sId="8" numFmtId="4">
    <nc r="D186">
      <v>9</v>
    </nc>
  </rcc>
  <rcc rId="3240" sId="8" numFmtId="4">
    <nc r="E186">
      <v>0</v>
    </nc>
  </rcc>
  <rcc rId="3241" sId="8" numFmtId="4">
    <nc r="F186">
      <v>7</v>
    </nc>
  </rcc>
  <rcc rId="3242" sId="8" numFmtId="4">
    <nc r="G186">
      <v>0</v>
    </nc>
  </rcc>
  <rcc rId="3243" sId="8" numFmtId="4">
    <nc r="C187">
      <v>37</v>
    </nc>
  </rcc>
  <rcc rId="3244" sId="8" numFmtId="4">
    <nc r="D187">
      <v>8</v>
    </nc>
  </rcc>
  <rcc rId="3245" sId="8" numFmtId="4">
    <nc r="E187">
      <v>12</v>
    </nc>
  </rcc>
  <rcc rId="3246" sId="8" numFmtId="4">
    <nc r="F187">
      <v>2</v>
    </nc>
  </rcc>
  <rcc rId="3247" sId="8" numFmtId="4">
    <nc r="G187">
      <v>0</v>
    </nc>
  </rcc>
  <rcc rId="3248" sId="8" numFmtId="4">
    <nc r="C188">
      <v>37</v>
    </nc>
  </rcc>
  <rcc rId="3249" sId="8" numFmtId="4">
    <nc r="D188">
      <v>10</v>
    </nc>
  </rcc>
  <rcc rId="3250" sId="8" numFmtId="4">
    <nc r="E188">
      <v>7</v>
    </nc>
  </rcc>
  <rcc rId="3251" sId="8" numFmtId="4">
    <nc r="F188">
      <v>7</v>
    </nc>
  </rcc>
  <rcc rId="3252" sId="8" numFmtId="4">
    <nc r="G188">
      <v>0</v>
    </nc>
  </rcc>
  <rcc rId="3253" sId="8" numFmtId="4">
    <nc r="C189">
      <v>37</v>
    </nc>
  </rcc>
  <rcc rId="3254" sId="8" numFmtId="4">
    <nc r="D189">
      <v>7</v>
    </nc>
  </rcc>
  <rcc rId="3255" sId="8" numFmtId="4">
    <nc r="E189">
      <v>10</v>
    </nc>
  </rcc>
  <rcc rId="3256" sId="8" numFmtId="4">
    <nc r="F189">
      <v>6</v>
    </nc>
  </rcc>
  <rcc rId="3257" sId="8" numFmtId="4">
    <nc r="G189">
      <v>0</v>
    </nc>
  </rcc>
  <rcc rId="3258" sId="8" numFmtId="4">
    <nc r="C190">
      <v>37</v>
    </nc>
  </rcc>
  <rcc rId="3259" sId="8" numFmtId="4">
    <nc r="D190">
      <v>6</v>
    </nc>
  </rcc>
  <rcc rId="3260" sId="8" numFmtId="4">
    <nc r="E190">
      <v>11</v>
    </nc>
  </rcc>
  <rcc rId="3261" sId="8" numFmtId="4">
    <nc r="F190">
      <v>10</v>
    </nc>
  </rcc>
  <rcc rId="3262" sId="8" numFmtId="4">
    <nc r="G190">
      <v>0</v>
    </nc>
  </rcc>
</revisions>
</file>

<file path=xl/revisions/revisionLog76.xml><?xml version="1.0" encoding="utf-8"?>
<revisions xmlns="http://schemas.openxmlformats.org/spreadsheetml/2006/main" xmlns:r="http://schemas.openxmlformats.org/officeDocument/2006/relationships">
  <rcc rId="3263" sId="8" numFmtId="4">
    <nc r="C191">
      <v>37</v>
    </nc>
  </rcc>
  <rcc rId="3264" sId="8" numFmtId="4">
    <nc r="D191">
      <v>5</v>
    </nc>
  </rcc>
  <rcc rId="3265" sId="8" numFmtId="4">
    <nc r="E191">
      <v>10</v>
    </nc>
  </rcc>
  <rcc rId="3266" sId="8" numFmtId="4">
    <nc r="F191">
      <v>9</v>
    </nc>
  </rcc>
  <rcc rId="3267" sId="8" numFmtId="4">
    <nc r="G191">
      <v>0</v>
    </nc>
  </rcc>
  <rcc rId="3268" sId="8" numFmtId="4">
    <nc r="C192">
      <v>30</v>
    </nc>
  </rcc>
  <rcc rId="3269" sId="8" numFmtId="4">
    <nc r="D192">
      <v>11</v>
    </nc>
  </rcc>
  <rcc rId="3270" sId="8" numFmtId="4">
    <nc r="E192">
      <v>4</v>
    </nc>
  </rcc>
  <rcc rId="3271" sId="8" numFmtId="4">
    <nc r="F192">
      <v>44</v>
    </nc>
  </rcc>
  <rcc rId="3272" sId="8" numFmtId="4">
    <nc r="G192">
      <v>0</v>
    </nc>
  </rcc>
  <rcc rId="3273" sId="8" numFmtId="4">
    <nc r="C193">
      <v>30</v>
    </nc>
  </rcc>
  <rcc rId="3274" sId="8" numFmtId="4">
    <nc r="D193">
      <v>10</v>
    </nc>
  </rcc>
  <rcc rId="3275" sId="8" numFmtId="4">
    <nc r="E193">
      <v>10</v>
    </nc>
  </rcc>
  <rcc rId="3276" sId="8" numFmtId="4">
    <nc r="F193">
      <v>23</v>
    </nc>
  </rcc>
  <rcc rId="3277" sId="8" numFmtId="4">
    <nc r="G193">
      <v>0</v>
    </nc>
  </rcc>
  <rcc rId="3278" sId="8" numFmtId="4">
    <nc r="C194">
      <v>25</v>
    </nc>
  </rcc>
  <rcc rId="3279" sId="8" numFmtId="4">
    <nc r="D194">
      <v>10</v>
    </nc>
  </rcc>
  <rcc rId="3280" sId="8" numFmtId="4">
    <nc r="E194">
      <v>8</v>
    </nc>
  </rcc>
  <rcc rId="3281" sId="8" numFmtId="4">
    <nc r="F194">
      <v>13</v>
    </nc>
  </rcc>
  <rcc rId="3282" sId="8" numFmtId="4">
    <nc r="G194">
      <v>2</v>
    </nc>
  </rcc>
  <rcc rId="3283" sId="8" numFmtId="4">
    <nc r="C195">
      <v>25</v>
    </nc>
  </rcc>
  <rcc rId="3284" sId="8" numFmtId="4">
    <nc r="D195">
      <v>11</v>
    </nc>
  </rcc>
  <rcc rId="3285" sId="8" numFmtId="4">
    <nc r="E195">
      <v>9</v>
    </nc>
  </rcc>
  <rcc rId="3286" sId="8" numFmtId="4">
    <nc r="F195">
      <v>26</v>
    </nc>
  </rcc>
  <rcc rId="3287" sId="8" numFmtId="4">
    <nc r="G195">
      <v>2</v>
    </nc>
  </rcc>
  <rcc rId="3288" sId="8" numFmtId="4">
    <nc r="C196">
      <v>31</v>
    </nc>
  </rcc>
  <rcc rId="3289" sId="8" numFmtId="4">
    <nc r="D196">
      <v>8</v>
    </nc>
  </rcc>
  <rcc rId="3290" sId="8" numFmtId="4">
    <nc r="E196">
      <v>13</v>
    </nc>
  </rcc>
  <rcc rId="3291" sId="8" numFmtId="4">
    <nc r="F196">
      <v>12</v>
    </nc>
  </rcc>
  <rcc rId="3292" sId="8" numFmtId="4">
    <nc r="G196">
      <v>0</v>
    </nc>
  </rcc>
  <rcc rId="3293" sId="8" numFmtId="4">
    <nc r="C197">
      <v>31</v>
    </nc>
  </rcc>
  <rcc rId="3294" sId="8" numFmtId="4">
    <nc r="D197">
      <v>7</v>
    </nc>
  </rcc>
  <rcc rId="3295" sId="8" numFmtId="4">
    <nc r="E197">
      <v>13</v>
    </nc>
  </rcc>
  <rcc rId="3296" sId="8" numFmtId="4">
    <nc r="F197">
      <v>12</v>
    </nc>
  </rcc>
  <rcc rId="3297" sId="8" numFmtId="4">
    <nc r="G197">
      <v>0</v>
    </nc>
  </rcc>
  <rcc rId="3298" sId="8" numFmtId="4">
    <nc r="C198">
      <v>21</v>
    </nc>
  </rcc>
  <rcc rId="3299" sId="8" numFmtId="4">
    <nc r="D198">
      <v>14</v>
    </nc>
  </rcc>
  <rcc rId="3300" sId="8" numFmtId="4">
    <nc r="E198">
      <v>6</v>
    </nc>
  </rcc>
  <rcc rId="3301" sId="8" numFmtId="4">
    <nc r="F198">
      <v>19</v>
    </nc>
  </rcc>
  <rcc rId="3302" sId="8" numFmtId="4">
    <nc r="G198">
      <v>0</v>
    </nc>
  </rcc>
  <rcc rId="3303" sId="8" numFmtId="4">
    <nc r="C199">
      <v>26</v>
    </nc>
  </rcc>
  <rcc rId="3304" sId="8" numFmtId="4">
    <nc r="D199">
      <v>14</v>
    </nc>
  </rcc>
  <rcc rId="3305" sId="8" numFmtId="4">
    <nc r="E199">
      <v>4</v>
    </nc>
  </rcc>
  <rcc rId="3306" sId="8" numFmtId="4">
    <nc r="F199">
      <v>24</v>
    </nc>
  </rcc>
  <rcc rId="3307" sId="8" numFmtId="4">
    <nc r="G199">
      <v>0</v>
    </nc>
  </rcc>
  <rcc rId="3308" sId="5" numFmtId="4">
    <nc r="C170">
      <v>60</v>
    </nc>
  </rcc>
  <rcc rId="3309" sId="5" numFmtId="4">
    <nc r="D170">
      <v>8</v>
    </nc>
  </rcc>
  <rcc rId="3310" sId="5" numFmtId="4">
    <nc r="E170">
      <v>3</v>
    </nc>
  </rcc>
  <rcc rId="3311" sId="5" numFmtId="4">
    <nc r="F170">
      <v>22</v>
    </nc>
  </rcc>
  <rcc rId="3312" sId="5" numFmtId="4">
    <nc r="G170">
      <v>0</v>
    </nc>
  </rcc>
  <rcc rId="3313" sId="5" numFmtId="4">
    <nc r="C171">
      <v>60</v>
    </nc>
  </rcc>
  <rcc rId="3314" sId="5" numFmtId="4">
    <nc r="D171">
      <v>7</v>
    </nc>
  </rcc>
  <rcc rId="3315" sId="5" numFmtId="4">
    <nc r="E171">
      <v>18</v>
    </nc>
  </rcc>
  <rcc rId="3316" sId="5" numFmtId="4">
    <nc r="F171">
      <v>32</v>
    </nc>
  </rcc>
  <rcc rId="3317" sId="5" numFmtId="4">
    <nc r="G171">
      <v>0</v>
    </nc>
  </rcc>
  <rcc rId="3318" sId="5" numFmtId="4">
    <nc r="C172">
      <v>43</v>
    </nc>
  </rcc>
  <rcc rId="3319" sId="5" numFmtId="4">
    <nc r="D172">
      <v>14</v>
    </nc>
  </rcc>
  <rcc rId="3320" sId="5" numFmtId="4">
    <nc r="E172">
      <v>5</v>
    </nc>
  </rcc>
  <rcc rId="3321" sId="5" numFmtId="4">
    <nc r="F172">
      <v>4</v>
    </nc>
  </rcc>
  <rcc rId="3322" sId="5" numFmtId="4">
    <nc r="G172">
      <v>3</v>
    </nc>
  </rcc>
  <rcc rId="3323" sId="5" numFmtId="4">
    <nc r="C173">
      <v>48</v>
    </nc>
  </rcc>
  <rcc rId="3324" sId="5" numFmtId="4">
    <nc r="D173">
      <v>13</v>
    </nc>
  </rcc>
  <rcc rId="3325" sId="5" numFmtId="4">
    <nc r="E173">
      <v>12</v>
    </nc>
  </rcc>
  <rcc rId="3326" sId="5" numFmtId="4">
    <nc r="F173">
      <v>10</v>
    </nc>
  </rcc>
  <rcc rId="3327" sId="5" numFmtId="4">
    <nc r="G173">
      <v>3</v>
    </nc>
  </rcc>
</revisions>
</file>

<file path=xl/revisions/revisionLog77.xml><?xml version="1.0" encoding="utf-8"?>
<revisions xmlns="http://schemas.openxmlformats.org/spreadsheetml/2006/main" xmlns:r="http://schemas.openxmlformats.org/officeDocument/2006/relationships">
  <rcc rId="3332" sId="5" numFmtId="4">
    <nc r="C174">
      <v>50</v>
    </nc>
  </rcc>
  <rcc rId="3333" sId="5" numFmtId="4">
    <nc r="D174">
      <v>13</v>
    </nc>
  </rcc>
  <rcc rId="3334" sId="5" numFmtId="4">
    <nc r="E174">
      <v>12</v>
    </nc>
  </rcc>
  <rcc rId="3335" sId="5" numFmtId="4">
    <nc r="F174">
      <v>12</v>
    </nc>
  </rcc>
  <rcc rId="3336" sId="5" numFmtId="4">
    <nc r="G174">
      <v>1</v>
    </nc>
  </rcc>
  <rcc rId="3337" sId="5" numFmtId="4">
    <nc r="C175">
      <v>49</v>
    </nc>
  </rcc>
  <rcc rId="3338" sId="5" numFmtId="4">
    <nc r="D175">
      <v>13</v>
    </nc>
  </rcc>
  <rcc rId="3339" sId="5" numFmtId="4">
    <nc r="E175">
      <v>5</v>
    </nc>
  </rcc>
  <rcc rId="3340" sId="5" numFmtId="4">
    <nc r="F175">
      <v>6</v>
    </nc>
  </rcc>
  <rcc rId="3341" sId="5" numFmtId="4">
    <nc r="G175">
      <v>3</v>
    </nc>
  </rcc>
  <rcc rId="3342" sId="5" numFmtId="4">
    <nc r="C176">
      <v>45</v>
    </nc>
  </rcc>
  <rcc rId="3343" sId="5" numFmtId="4">
    <nc r="D176">
      <v>8</v>
    </nc>
  </rcc>
  <rcc rId="3344" sId="5" numFmtId="4">
    <nc r="E176">
      <v>10</v>
    </nc>
  </rcc>
  <rcc rId="3345" sId="5" numFmtId="4">
    <nc r="F176">
      <v>12</v>
    </nc>
  </rcc>
  <rcc rId="3346" sId="5" numFmtId="4">
    <nc r="G176">
      <v>4</v>
    </nc>
  </rcc>
  <rcc rId="3347" sId="5" numFmtId="4">
    <nc r="C177">
      <v>45</v>
    </nc>
  </rcc>
  <rcc rId="3348" sId="5" numFmtId="4">
    <nc r="D177">
      <v>9</v>
    </nc>
  </rcc>
  <rcc rId="3349" sId="5" numFmtId="4">
    <nc r="E177">
      <v>13</v>
    </nc>
  </rcc>
  <rcc rId="3350" sId="5" numFmtId="4">
    <nc r="F177">
      <v>10</v>
    </nc>
  </rcc>
  <rcc rId="3351" sId="5" numFmtId="4">
    <nc r="G177">
      <v>0</v>
    </nc>
  </rcc>
  <rcc rId="3352" sId="11" numFmtId="4">
    <nc r="C142">
      <v>1</v>
    </nc>
  </rcc>
  <rcc rId="3353" sId="11" numFmtId="4">
    <nc r="D142">
      <v>14</v>
    </nc>
  </rcc>
  <rcc rId="3354" sId="11" numFmtId="4">
    <nc r="E142">
      <v>1</v>
    </nc>
  </rcc>
  <rcc rId="3355" sId="11" numFmtId="4">
    <nc r="F142">
      <v>2</v>
    </nc>
  </rcc>
  <rcc rId="3356" sId="11" numFmtId="4">
    <nc r="G142">
      <v>1</v>
    </nc>
  </rcc>
  <rcc rId="3357" sId="11" numFmtId="4">
    <nc r="H142">
      <v>0</v>
    </nc>
  </rcc>
  <rcc rId="3358" sId="11" numFmtId="4">
    <nc r="C143">
      <v>12</v>
    </nc>
  </rcc>
  <rcc rId="3359" sId="11" numFmtId="4">
    <nc r="D143">
      <v>10</v>
    </nc>
  </rcc>
  <rcc rId="3360" sId="11" numFmtId="4">
    <nc r="E143">
      <v>9</v>
    </nc>
  </rcc>
  <rcc rId="3361" sId="11" numFmtId="4">
    <nc r="F143">
      <v>0</v>
    </nc>
  </rcc>
  <rcc rId="3362" sId="11" numFmtId="4">
    <nc r="G143">
      <v>6</v>
    </nc>
  </rcc>
  <rcc rId="3363" sId="11" numFmtId="4">
    <nc r="H143">
      <v>0</v>
    </nc>
  </rcc>
  <rcc rId="3364" sId="11" numFmtId="4">
    <nc r="C144">
      <v>3</v>
    </nc>
  </rcc>
  <rcc rId="3365" sId="11" numFmtId="4">
    <nc r="D144">
      <v>12</v>
    </nc>
  </rcc>
  <rcc rId="3366" sId="11" numFmtId="4">
    <nc r="E144">
      <v>1</v>
    </nc>
  </rcc>
  <rcc rId="3367" sId="11" numFmtId="4">
    <nc r="F144">
      <v>0</v>
    </nc>
  </rcc>
  <rcc rId="3368" sId="11" numFmtId="4">
    <nc r="G144">
      <v>3</v>
    </nc>
  </rcc>
  <rcc rId="3369" sId="11" numFmtId="4">
    <nc r="H144">
      <v>0</v>
    </nc>
  </rcc>
  <rcc rId="3370" sId="11" numFmtId="4">
    <nc r="C145">
      <v>3</v>
    </nc>
  </rcc>
  <rcc rId="3371" sId="11" numFmtId="4">
    <nc r="D145">
      <v>11</v>
    </nc>
  </rcc>
  <rcc rId="3372" sId="11" numFmtId="4">
    <nc r="E145">
      <v>3</v>
    </nc>
  </rcc>
  <rcc rId="3373" sId="11" numFmtId="4">
    <nc r="F145">
      <v>0</v>
    </nc>
  </rcc>
  <rcc rId="3374" sId="11" numFmtId="4">
    <nc r="G145">
      <v>6</v>
    </nc>
  </rcc>
  <rcc rId="3375" sId="11" numFmtId="4">
    <nc r="H145">
      <v>0</v>
    </nc>
  </rcc>
  <rcc rId="3376" sId="11" numFmtId="4">
    <nc r="C146">
      <v>3</v>
    </nc>
  </rcc>
  <rcc rId="3377" sId="11" numFmtId="4">
    <nc r="D146">
      <v>10</v>
    </nc>
  </rcc>
  <rcc rId="3378" sId="11" numFmtId="4">
    <nc r="E146">
      <v>0</v>
    </nc>
  </rcc>
  <rcc rId="3379" sId="11" numFmtId="4">
    <nc r="F146">
      <v>2</v>
    </nc>
  </rcc>
  <rcc rId="3380" sId="11" numFmtId="4">
    <nc r="G146">
      <v>4</v>
    </nc>
  </rcc>
  <rcc rId="3381" sId="11" numFmtId="4">
    <nc r="H146">
      <v>0</v>
    </nc>
  </rcc>
  <rcc rId="3382" sId="11" numFmtId="4">
    <nc r="C147">
      <v>3</v>
    </nc>
  </rcc>
  <rcc rId="3383" sId="11" numFmtId="4">
    <nc r="D147">
      <v>13</v>
    </nc>
  </rcc>
  <rcc rId="3384" sId="11" numFmtId="4">
    <nc r="E147">
      <v>2</v>
    </nc>
  </rcc>
  <rcc rId="3385" sId="11" numFmtId="4">
    <nc r="F147">
      <v>3</v>
    </nc>
  </rcc>
  <rcc rId="3386" sId="11" numFmtId="4">
    <nc r="G147">
      <v>5</v>
    </nc>
  </rcc>
  <rcc rId="3387" sId="11" numFmtId="4">
    <nc r="H147">
      <v>0</v>
    </nc>
  </rcc>
  <rcc rId="3388" sId="11" numFmtId="4">
    <nc r="C148">
      <v>15</v>
    </nc>
  </rcc>
  <rcc rId="3389" sId="11" numFmtId="4">
    <nc r="D148">
      <v>6</v>
    </nc>
  </rcc>
  <rcc rId="3390" sId="11" numFmtId="4">
    <nc r="E148">
      <v>8</v>
    </nc>
  </rcc>
  <rcc rId="3391" sId="11" numFmtId="4">
    <nc r="F148">
      <v>1</v>
    </nc>
  </rcc>
  <rcc rId="3392" sId="11" numFmtId="4">
    <nc r="G148">
      <v>10</v>
    </nc>
  </rcc>
  <rcc rId="3393" sId="11" numFmtId="4">
    <nc r="H148">
      <v>1</v>
    </nc>
  </rcc>
  <rcc rId="3394" sId="11" numFmtId="4">
    <nc r="C149">
      <v>15</v>
    </nc>
  </rcc>
  <rcc rId="3395" sId="11" numFmtId="4">
    <nc r="D149">
      <v>7</v>
    </nc>
  </rcc>
  <rcc rId="3396" sId="11" numFmtId="4">
    <nc r="E149">
      <v>6</v>
    </nc>
  </rcc>
  <rcc rId="3397" sId="11" numFmtId="4">
    <nc r="F149">
      <v>5</v>
    </nc>
  </rcc>
  <rcc rId="3398" sId="11" numFmtId="4">
    <nc r="G149">
      <v>9</v>
    </nc>
  </rcc>
  <rcc rId="3399" sId="11" numFmtId="4">
    <nc r="H149">
      <v>0</v>
    </nc>
  </rcc>
  <rcc rId="3400" sId="11" numFmtId="4">
    <nc r="C150">
      <v>15</v>
    </nc>
  </rcc>
  <rcc rId="3401" sId="11" numFmtId="4">
    <nc r="D150">
      <v>8</v>
    </nc>
  </rcc>
  <rcc rId="3402" sId="11" numFmtId="4">
    <nc r="E150">
      <v>1</v>
    </nc>
  </rcc>
  <rcc rId="3403" sId="11" numFmtId="4">
    <nc r="F150">
      <v>1</v>
    </nc>
  </rcc>
  <rcc rId="3404" sId="11" numFmtId="4">
    <nc r="G150">
      <v>2</v>
    </nc>
  </rcc>
  <rcc rId="3405" sId="11" numFmtId="4">
    <nc r="H150">
      <v>0</v>
    </nc>
  </rcc>
</revisions>
</file>

<file path=xl/revisions/revisionLog78.xml><?xml version="1.0" encoding="utf-8"?>
<revisions xmlns="http://schemas.openxmlformats.org/spreadsheetml/2006/main" xmlns:r="http://schemas.openxmlformats.org/officeDocument/2006/relationships">
  <rcc rId="3406" sId="11" numFmtId="4">
    <nc r="C151">
      <v>15</v>
    </nc>
  </rcc>
  <rcc rId="3407" sId="11" numFmtId="4">
    <nc r="D151">
      <v>9</v>
    </nc>
  </rcc>
  <rcc rId="3408" sId="11" numFmtId="4">
    <nc r="E151">
      <v>0</v>
    </nc>
  </rcc>
  <rcc rId="3409" sId="11" numFmtId="4">
    <nc r="F151">
      <v>3</v>
    </nc>
  </rcc>
  <rcc rId="3410" sId="11" numFmtId="4">
    <nc r="G151">
      <v>11</v>
    </nc>
  </rcc>
  <rcc rId="3411" sId="11" numFmtId="4">
    <nc r="H151">
      <v>0</v>
    </nc>
  </rcc>
  <rcc rId="3412" sId="11" numFmtId="4">
    <nc r="C152">
      <v>15</v>
    </nc>
  </rcc>
  <rcc rId="3413" sId="11" numFmtId="4">
    <nc r="D152">
      <v>10</v>
    </nc>
  </rcc>
  <rcc rId="3414" sId="11" numFmtId="4">
    <nc r="E152">
      <v>2</v>
    </nc>
  </rcc>
  <rcc rId="3415" sId="11" numFmtId="4">
    <nc r="F152">
      <v>5</v>
    </nc>
  </rcc>
  <rcc rId="3416" sId="11" numFmtId="4">
    <nc r="G152">
      <v>10</v>
    </nc>
  </rcc>
  <rcc rId="3417" sId="11" numFmtId="4">
    <nc r="H152">
      <v>2</v>
    </nc>
  </rcc>
  <rcc rId="3418" sId="11" numFmtId="4">
    <nc r="C153">
      <v>15</v>
    </nc>
  </rcc>
  <rcc rId="3419" sId="11" numFmtId="4">
    <nc r="D153">
      <v>11</v>
    </nc>
  </rcc>
  <rcc rId="3420" sId="11" numFmtId="4">
    <nc r="E153">
      <v>3</v>
    </nc>
  </rcc>
  <rcc rId="3421" sId="11" numFmtId="4">
    <nc r="F153">
      <v>6</v>
    </nc>
  </rcc>
  <rcc rId="3422" sId="11" numFmtId="4">
    <nc r="G153">
      <v>6</v>
    </nc>
  </rcc>
  <rcc rId="3423" sId="11" numFmtId="4">
    <nc r="H153">
      <v>0</v>
    </nc>
  </rcc>
  <rcc rId="3424" sId="11" numFmtId="4">
    <nc r="C154">
      <v>15</v>
    </nc>
  </rcc>
  <rcc rId="3425" sId="11" numFmtId="4">
    <nc r="D154">
      <v>12</v>
    </nc>
  </rcc>
  <rcc rId="3426" sId="11" numFmtId="4">
    <nc r="E154">
      <v>1</v>
    </nc>
  </rcc>
  <rcc rId="3427" sId="11" numFmtId="4">
    <nc r="F154">
      <v>0</v>
    </nc>
  </rcc>
  <rcc rId="3428" sId="11" numFmtId="4">
    <nc r="G154">
      <v>3</v>
    </nc>
  </rcc>
  <rcc rId="3429" sId="11" numFmtId="4">
    <nc r="H154">
      <v>0</v>
    </nc>
  </rcc>
  <rcc rId="3430" sId="11" numFmtId="4">
    <nc r="C155">
      <v>15</v>
    </nc>
  </rcc>
  <rcc rId="3431" sId="11" numFmtId="4">
    <nc r="D155">
      <v>13</v>
    </nc>
  </rcc>
  <rcc rId="3432" sId="11" numFmtId="4">
    <nc r="E155">
      <v>2</v>
    </nc>
  </rcc>
  <rcc rId="3433" sId="11" numFmtId="4">
    <nc r="F155">
      <v>2</v>
    </nc>
  </rcc>
  <rcc rId="3434" sId="11" numFmtId="4">
    <nc r="G155">
      <v>4</v>
    </nc>
  </rcc>
  <rcc rId="3435" sId="11" numFmtId="4">
    <nc r="H155">
      <v>0</v>
    </nc>
  </rcc>
  <rcc rId="3436" sId="11" numFmtId="4">
    <nc r="C156">
      <v>15</v>
    </nc>
  </rcc>
  <rcc rId="3437" sId="11" numFmtId="4">
    <nc r="D156">
      <v>14</v>
    </nc>
  </rcc>
  <rcc rId="3438" sId="11" numFmtId="4">
    <nc r="E156">
      <v>0</v>
    </nc>
  </rcc>
  <rcc rId="3439" sId="11" numFmtId="4">
    <nc r="F156">
      <v>0</v>
    </nc>
  </rcc>
  <rcc rId="3440" sId="11" numFmtId="4">
    <nc r="G156">
      <v>5</v>
    </nc>
  </rcc>
  <rcc rId="3441" sId="11" numFmtId="4">
    <nc r="H156">
      <v>0</v>
    </nc>
  </rcc>
  <rcc rId="3442" sId="11" numFmtId="4">
    <nc r="C157">
      <v>8</v>
    </nc>
  </rcc>
  <rcc rId="3443" sId="11" numFmtId="4">
    <nc r="D157">
      <v>10</v>
    </nc>
  </rcc>
  <rcc rId="3444" sId="11" numFmtId="4">
    <nc r="E157">
      <v>11</v>
    </nc>
  </rcc>
  <rcc rId="3445" sId="11" numFmtId="4">
    <nc r="F157">
      <v>3</v>
    </nc>
  </rcc>
  <rcc rId="3446" sId="11" numFmtId="4">
    <nc r="G157">
      <v>11</v>
    </nc>
  </rcc>
  <rcc rId="3447" sId="11" numFmtId="4">
    <nc r="H157">
      <v>0</v>
    </nc>
  </rcc>
  <rcc rId="3448" sId="11" numFmtId="4">
    <nc r="C158">
      <v>8</v>
    </nc>
  </rcc>
  <rcc rId="3449" sId="11" numFmtId="4">
    <nc r="D158">
      <v>11</v>
    </nc>
  </rcc>
  <rcc rId="3450" sId="11" numFmtId="4">
    <nc r="E158">
      <v>6</v>
    </nc>
  </rcc>
  <rcc rId="3451" sId="11" numFmtId="4">
    <nc r="F158">
      <v>0</v>
    </nc>
  </rcc>
  <rcc rId="3452" sId="11" numFmtId="4">
    <nc r="G158">
      <v>16</v>
    </nc>
  </rcc>
  <rcc rId="3453" sId="11" numFmtId="4">
    <nc r="H158">
      <v>0</v>
    </nc>
  </rcc>
  <rcc rId="3454" sId="11" numFmtId="4">
    <nc r="C159">
      <v>8</v>
    </nc>
  </rcc>
  <rcc rId="3455" sId="11" numFmtId="4">
    <nc r="D159">
      <v>12</v>
    </nc>
  </rcc>
  <rcc rId="3456" sId="11" numFmtId="4">
    <nc r="E159">
      <v>16</v>
    </nc>
  </rcc>
  <rcc rId="3457" sId="11" numFmtId="4">
    <nc r="F159">
      <v>0</v>
    </nc>
  </rcc>
  <rcc rId="3458" sId="11" numFmtId="4">
    <nc r="G159">
      <v>12</v>
    </nc>
  </rcc>
  <rcc rId="3459" sId="11" numFmtId="4">
    <nc r="H159">
      <v>1</v>
    </nc>
  </rcc>
  <rcc rId="3460" sId="11" numFmtId="4">
    <nc r="C160">
      <v>7</v>
    </nc>
  </rcc>
  <rcc rId="3461" sId="11" numFmtId="4">
    <nc r="D160">
      <v>12</v>
    </nc>
  </rcc>
  <rcc rId="3462" sId="11" numFmtId="4">
    <nc r="E160">
      <v>9</v>
    </nc>
  </rcc>
  <rcc rId="3463" sId="11" numFmtId="4">
    <nc r="F160">
      <v>4</v>
    </nc>
  </rcc>
  <rcc rId="3464" sId="11" numFmtId="4">
    <nc r="G160">
      <v>12</v>
    </nc>
  </rcc>
  <rcc rId="3465" sId="11" numFmtId="4">
    <nc r="H160">
      <v>7</v>
    </nc>
  </rcc>
  <rcc rId="3466" sId="11" numFmtId="4">
    <nc r="C161">
      <v>11</v>
    </nc>
  </rcc>
  <rcc rId="3467" sId="11" numFmtId="4">
    <nc r="D161">
      <v>13</v>
    </nc>
  </rcc>
  <rcc rId="3468" sId="11" numFmtId="4">
    <nc r="E161">
      <v>14</v>
    </nc>
  </rcc>
  <rcc rId="3469" sId="11" numFmtId="4">
    <nc r="F161">
      <v>17</v>
    </nc>
  </rcc>
  <rcc rId="3470" sId="11" numFmtId="4">
    <nc r="G161">
      <v>10</v>
    </nc>
  </rcc>
  <rcc rId="3471" sId="11" numFmtId="4">
    <nc r="H161">
      <v>0</v>
    </nc>
  </rcc>
  <rcc rId="3472" sId="11" numFmtId="4">
    <nc r="C162">
      <v>13</v>
    </nc>
  </rcc>
  <rcc rId="3473" sId="11" numFmtId="4">
    <nc r="D162">
      <v>13</v>
    </nc>
  </rcc>
  <rcc rId="3474" sId="11" numFmtId="4">
    <nc r="E162">
      <v>0</v>
    </nc>
  </rcc>
  <rcc rId="3475" sId="11" numFmtId="4">
    <nc r="F162">
      <v>0</v>
    </nc>
  </rcc>
  <rcc rId="3476" sId="11" numFmtId="4">
    <nc r="G162">
      <v>20</v>
    </nc>
  </rcc>
  <rcc rId="3477" sId="11" numFmtId="4">
    <nc r="H162">
      <v>0</v>
    </nc>
  </rcc>
  <rcc rId="3478" sId="11" numFmtId="4">
    <nc r="C163">
      <v>14</v>
    </nc>
  </rcc>
  <rcc rId="3479" sId="11" numFmtId="4">
    <nc r="D163">
      <v>7</v>
    </nc>
  </rcc>
  <rcc rId="3480" sId="11" numFmtId="4">
    <nc r="E163">
      <v>19</v>
    </nc>
  </rcc>
  <rcc rId="3481" sId="11" numFmtId="4">
    <nc r="F163">
      <v>2</v>
    </nc>
  </rcc>
  <rcc rId="3482" sId="11" numFmtId="4">
    <nc r="G163">
      <v>5</v>
    </nc>
  </rcc>
  <rcc rId="3483" sId="11" numFmtId="4">
    <nc r="H163">
      <v>0</v>
    </nc>
  </rcc>
  <rcc rId="3484" sId="11" numFmtId="4">
    <nc r="C164">
      <v>14</v>
    </nc>
  </rcc>
  <rcc rId="3485" sId="11" numFmtId="4">
    <nc r="D164">
      <v>6</v>
    </nc>
  </rcc>
  <rcc rId="3486" sId="11" numFmtId="4">
    <nc r="E164">
      <v>4</v>
    </nc>
  </rcc>
  <rcc rId="3487" sId="11" numFmtId="4">
    <nc r="F164">
      <v>1</v>
    </nc>
  </rcc>
  <rcc rId="3488" sId="11" numFmtId="4">
    <nc r="G164">
      <v>4</v>
    </nc>
  </rcc>
  <rcc rId="3489" sId="11" numFmtId="4">
    <nc r="H164">
      <v>1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>
  <rcc rId="3490" sId="8" numFmtId="4">
    <nc r="C200">
      <v>32</v>
    </nc>
  </rcc>
  <rcc rId="3491" sId="8" numFmtId="4">
    <nc r="D200">
      <v>13</v>
    </nc>
  </rcc>
  <rcc rId="3492" sId="8" numFmtId="4">
    <nc r="E200">
      <v>23</v>
    </nc>
  </rcc>
  <rcc rId="3493" sId="8" numFmtId="4">
    <nc r="F200">
      <v>25</v>
    </nc>
  </rcc>
  <rcc rId="3494" sId="8" numFmtId="4">
    <nc r="G200">
      <v>0</v>
    </nc>
  </rcc>
  <rcc rId="3495" sId="8" numFmtId="4">
    <nc r="C201">
      <v>28</v>
    </nc>
  </rcc>
  <rcc rId="3496" sId="8" numFmtId="4">
    <nc r="D201">
      <v>14</v>
    </nc>
  </rcc>
  <rcc rId="3497" sId="8" numFmtId="4">
    <nc r="E201">
      <v>2</v>
    </nc>
  </rcc>
  <rcc rId="3498" sId="8" numFmtId="4">
    <nc r="F201">
      <v>15</v>
    </nc>
  </rcc>
  <rcc rId="3499" sId="8" numFmtId="4">
    <nc r="G201">
      <v>0</v>
    </nc>
  </rcc>
  <rcc rId="3500" sId="8" numFmtId="4">
    <nc r="C202">
      <v>28</v>
    </nc>
  </rcc>
  <rcc rId="3501" sId="8" numFmtId="4">
    <nc r="D202">
      <v>15</v>
    </nc>
  </rcc>
  <rcc rId="3502" sId="8" numFmtId="4">
    <nc r="E202">
      <v>1</v>
    </nc>
  </rcc>
  <rcc rId="3503" sId="8" numFmtId="4">
    <nc r="F202">
      <v>20</v>
    </nc>
  </rcc>
  <rcc rId="3504" sId="8" numFmtId="4">
    <nc r="G202">
      <v>0</v>
    </nc>
  </rcc>
  <rcc rId="3505" sId="8" numFmtId="4">
    <nc r="C203">
      <v>34</v>
    </nc>
  </rcc>
  <rcc rId="3506" sId="8" numFmtId="4">
    <nc r="D203">
      <v>14</v>
    </nc>
  </rcc>
  <rcc rId="3507" sId="8" numFmtId="4">
    <nc r="E203">
      <v>5</v>
    </nc>
  </rcc>
  <rcc rId="3508" sId="8" numFmtId="4">
    <nc r="F203">
      <v>20</v>
    </nc>
  </rcc>
  <rcc rId="3509" sId="8" numFmtId="4">
    <nc r="G203">
      <v>0</v>
    </nc>
  </rcc>
  <rcc rId="3510" sId="8" numFmtId="4">
    <nc r="C204">
      <v>30</v>
    </nc>
  </rcc>
  <rcc rId="3511" sId="8" numFmtId="4">
    <nc r="D204">
      <v>12</v>
    </nc>
  </rcc>
  <rcc rId="3512" sId="8" numFmtId="4">
    <nc r="E204">
      <v>8</v>
    </nc>
  </rcc>
  <rcc rId="3513" sId="8" numFmtId="4">
    <nc r="F204">
      <v>36</v>
    </nc>
  </rcc>
  <rcc rId="3514" sId="8" numFmtId="4">
    <nc r="G204">
      <v>0</v>
    </nc>
  </rcc>
  <rcc rId="3515" sId="8" numFmtId="4">
    <nc r="C205">
      <v>33</v>
    </nc>
  </rcc>
  <rcc rId="3516" sId="8" numFmtId="4">
    <nc r="D205">
      <v>13</v>
    </nc>
  </rcc>
  <rcc rId="3517" sId="8" numFmtId="4">
    <nc r="E205">
      <v>0</v>
    </nc>
  </rcc>
  <rcc rId="3518" sId="8" numFmtId="4">
    <nc r="F205">
      <v>23</v>
    </nc>
  </rcc>
  <rcc rId="3519" sId="8" numFmtId="4">
    <nc r="G205">
      <v>2</v>
    </nc>
  </rcc>
  <rcc rId="3520" sId="5" numFmtId="4">
    <nc r="C178">
      <v>55</v>
    </nc>
  </rcc>
  <rcc rId="3521" sId="5" numFmtId="4">
    <nc r="D178">
      <v>14</v>
    </nc>
  </rcc>
  <rcc rId="3522" sId="5" numFmtId="4">
    <nc r="E178">
      <v>10</v>
    </nc>
  </rcc>
  <rcc rId="3523" sId="5" numFmtId="4">
    <nc r="F178">
      <v>8</v>
    </nc>
  </rcc>
  <rcc rId="3524" sId="5" numFmtId="4">
    <nc r="G178">
      <v>0</v>
    </nc>
  </rcc>
  <rcc rId="3525" sId="5" numFmtId="4">
    <nc r="C179">
      <v>51</v>
    </nc>
  </rcc>
  <rcc rId="3526" sId="5" numFmtId="4">
    <nc r="D179">
      <v>14</v>
    </nc>
  </rcc>
  <rcc rId="3527" sId="5" numFmtId="4">
    <nc r="E179">
      <v>5</v>
    </nc>
  </rcc>
  <rcc rId="3528" sId="5" numFmtId="4">
    <nc r="F179">
      <v>15</v>
    </nc>
  </rcc>
  <rcc rId="3529" sId="5" numFmtId="4">
    <nc r="G179">
      <v>0</v>
    </nc>
  </rcc>
  <rcc rId="3530" sId="5" numFmtId="4">
    <nc r="C180">
      <v>44</v>
    </nc>
  </rcc>
  <rcc rId="3531" sId="5" numFmtId="4">
    <nc r="D180">
      <v>14</v>
    </nc>
  </rcc>
  <rcc rId="3532" sId="5" numFmtId="4">
    <nc r="E180">
      <v>4</v>
    </nc>
  </rcc>
  <rcc rId="3533" sId="5" numFmtId="4">
    <nc r="F180">
      <v>5</v>
    </nc>
  </rcc>
  <rcc rId="3534" sId="5" numFmtId="4">
    <nc r="G180">
      <v>2</v>
    </nc>
  </rcc>
  <rcc rId="3535" sId="5" numFmtId="4">
    <nc r="C181">
      <v>50</v>
    </nc>
  </rcc>
  <rcc rId="3536" sId="5" numFmtId="4">
    <nc r="D181">
      <v>14</v>
    </nc>
  </rcc>
  <rcc rId="3537" sId="5" numFmtId="4">
    <nc r="E181">
      <v>9</v>
    </nc>
  </rcc>
  <rcc rId="3538" sId="5" numFmtId="4">
    <nc r="F181">
      <v>13</v>
    </nc>
  </rcc>
  <rcc rId="3539" sId="5" numFmtId="4">
    <nc r="G181">
      <v>1</v>
    </nc>
  </rcc>
  <rcc rId="3540" sId="5" numFmtId="4">
    <nc r="C182">
      <v>39</v>
    </nc>
  </rcc>
  <rcc rId="3541" sId="5" numFmtId="4">
    <nc r="D182">
      <v>13</v>
    </nc>
  </rcc>
  <rcc rId="3542" sId="5" numFmtId="4">
    <nc r="E182">
      <v>7</v>
    </nc>
  </rcc>
  <rcc rId="3543" sId="5" numFmtId="4">
    <nc r="F182">
      <v>11</v>
    </nc>
  </rcc>
  <rcc rId="3544" sId="5" numFmtId="4">
    <nc r="G182">
      <v>7</v>
    </nc>
  </rcc>
  <rcc rId="3545" sId="5" numFmtId="4">
    <nc r="C183">
      <v>53</v>
    </nc>
  </rcc>
  <rcc rId="3546" sId="5" numFmtId="4">
    <nc r="D183">
      <v>13</v>
    </nc>
  </rcc>
  <rcc rId="3547" sId="5" numFmtId="4">
    <nc r="E183">
      <v>3</v>
    </nc>
  </rcc>
  <rcc rId="3548" sId="5" numFmtId="4">
    <nc r="F183">
      <v>15</v>
    </nc>
  </rcc>
  <rcc rId="3549" sId="5" numFmtId="4">
    <nc r="G183">
      <v>0</v>
    </nc>
  </rcc>
  <rcc rId="3550" sId="5" numFmtId="4">
    <nc r="C184">
      <v>53</v>
    </nc>
  </rcc>
  <rcc rId="3551" sId="5" numFmtId="4">
    <nc r="D184">
      <v>12</v>
    </nc>
  </rcc>
  <rcc rId="3552" sId="5" numFmtId="4">
    <nc r="E184">
      <v>4</v>
    </nc>
  </rcc>
  <rcc rId="3553" sId="5" numFmtId="4">
    <nc r="F184">
      <v>16</v>
    </nc>
  </rcc>
  <rcc rId="3554" sId="5" numFmtId="4">
    <nc r="G184">
      <v>1</v>
    </nc>
  </rcc>
  <rcc rId="3555" sId="5" numFmtId="4">
    <nc r="C185">
      <v>53</v>
    </nc>
  </rcc>
  <rcc rId="3556" sId="5" numFmtId="4">
    <nc r="D185">
      <v>11</v>
    </nc>
  </rcc>
  <rcc rId="3557" sId="5" numFmtId="4">
    <nc r="E185">
      <v>12</v>
    </nc>
  </rcc>
  <rcc rId="3558" sId="5" numFmtId="4">
    <nc r="F185">
      <v>14</v>
    </nc>
  </rcc>
  <rcc rId="3559" sId="5" numFmtId="4">
    <nc r="G185">
      <v>0</v>
    </nc>
  </rcc>
  <rcc rId="3560" sId="5" numFmtId="4">
    <nc r="C186">
      <v>55</v>
    </nc>
  </rcc>
  <rcc rId="3561" sId="5" numFmtId="4">
    <nc r="D186">
      <v>15</v>
    </nc>
  </rcc>
  <rcc rId="3562" sId="5" numFmtId="4">
    <nc r="E186">
      <v>7</v>
    </nc>
  </rcc>
  <rcc rId="3563" sId="5" numFmtId="4">
    <nc r="F186">
      <v>5</v>
    </nc>
  </rcc>
  <rcc rId="3564" sId="5" numFmtId="4">
    <nc r="G186">
      <v>0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>
  <rcc rId="3565" sId="5" numFmtId="4">
    <nc r="C187">
      <v>49</v>
    </nc>
  </rcc>
  <rcc rId="3566" sId="5" numFmtId="4">
    <nc r="D187">
      <v>14</v>
    </nc>
  </rcc>
  <rcc rId="3567" sId="5" numFmtId="4">
    <nc r="E187">
      <v>4</v>
    </nc>
  </rcc>
  <rcc rId="3568" sId="5" numFmtId="4">
    <nc r="F187">
      <v>4</v>
    </nc>
  </rcc>
  <rcc rId="3569" sId="5" numFmtId="4">
    <nc r="G187">
      <v>1</v>
    </nc>
  </rcc>
  <rcc rId="3570" sId="5" numFmtId="4">
    <nc r="C188">
      <v>39</v>
    </nc>
  </rcc>
  <rcc rId="3571" sId="5" numFmtId="4">
    <nc r="D188">
      <v>13</v>
    </nc>
  </rcc>
  <rcc rId="3572" sId="5" numFmtId="4">
    <nc r="E188">
      <v>8</v>
    </nc>
  </rcc>
  <rcc rId="3573" sId="5" numFmtId="4">
    <nc r="F188">
      <v>6</v>
    </nc>
  </rcc>
  <rcc rId="3574" sId="5" numFmtId="4">
    <nc r="G188">
      <v>4</v>
    </nc>
  </rcc>
  <rcc rId="3575" sId="8" numFmtId="4">
    <nc r="B213">
      <v>12</v>
    </nc>
  </rcc>
  <rcc rId="3576" sId="8" numFmtId="4">
    <nc r="B214">
      <v>12</v>
    </nc>
  </rcc>
  <rcc rId="3577" sId="8" numFmtId="4">
    <nc r="B215">
      <v>12</v>
    </nc>
  </rcc>
  <rcc rId="3578" sId="8" numFmtId="4">
    <nc r="B216">
      <v>12</v>
    </nc>
  </rcc>
  <rcc rId="3579" sId="8" numFmtId="4">
    <nc r="B217">
      <v>12</v>
    </nc>
  </rcc>
  <rcc rId="3580" sId="8" numFmtId="4">
    <nc r="B218">
      <v>12</v>
    </nc>
  </rcc>
  <rcc rId="3581" sId="8" numFmtId="4">
    <nc r="B219">
      <v>12</v>
    </nc>
  </rcc>
  <rcc rId="3582" sId="8" numFmtId="4">
    <nc r="B220">
      <v>12</v>
    </nc>
  </rcc>
  <rcc rId="3583" sId="8" numFmtId="4">
    <nc r="B221">
      <v>12</v>
    </nc>
  </rcc>
  <rcc rId="3584" sId="8" numFmtId="4">
    <nc r="B222">
      <v>12</v>
    </nc>
  </rcc>
  <rcc rId="3585" sId="8" numFmtId="4">
    <nc r="B223">
      <v>12</v>
    </nc>
  </rcc>
  <rcc rId="3586" sId="8" numFmtId="4">
    <nc r="B224">
      <v>12</v>
    </nc>
  </rcc>
  <rcc rId="3587" sId="8" numFmtId="4">
    <nc r="B225">
      <v>12</v>
    </nc>
  </rcc>
  <rcc rId="3588" sId="8" numFmtId="4">
    <nc r="B226">
      <v>12</v>
    </nc>
  </rcc>
  <rcc rId="3589" sId="8" numFmtId="4">
    <nc r="B227">
      <v>12</v>
    </nc>
  </rcc>
  <rcc rId="3590" sId="8" numFmtId="4">
    <nc r="B228">
      <v>12</v>
    </nc>
  </rcc>
  <rcc rId="3591" sId="8" numFmtId="4">
    <nc r="B229">
      <v>12</v>
    </nc>
  </rcc>
  <rcc rId="3592" sId="8" numFmtId="4">
    <nc r="B230">
      <v>12</v>
    </nc>
  </rcc>
  <rcc rId="3593" sId="8" numFmtId="4">
    <nc r="B231">
      <v>12</v>
    </nc>
  </rcc>
  <rcc rId="3594" sId="8" numFmtId="4">
    <nc r="B232">
      <v>12</v>
    </nc>
  </rcc>
  <rcc rId="3595" sId="8" numFmtId="4">
    <nc r="B233">
      <v>12</v>
    </nc>
  </rcc>
  <rcc rId="3596" sId="8" numFmtId="4">
    <nc r="B234">
      <v>12</v>
    </nc>
  </rcc>
  <rcc rId="3597" sId="8" numFmtId="4">
    <nc r="B235">
      <v>12</v>
    </nc>
  </rcc>
  <rcc rId="3598" sId="8" numFmtId="4">
    <nc r="B236">
      <v>12</v>
    </nc>
  </rcc>
  <rcc rId="3599" sId="8" numFmtId="4">
    <nc r="B237">
      <v>12</v>
    </nc>
  </rcc>
  <rcc rId="3600" sId="8" numFmtId="4">
    <nc r="B238">
      <v>12</v>
    </nc>
  </rcc>
  <rcc rId="3601" sId="8" numFmtId="4">
    <nc r="B239">
      <v>12</v>
    </nc>
  </rcc>
  <rcc rId="3602" sId="8" numFmtId="4">
    <nc r="B240">
      <v>12</v>
    </nc>
  </rcc>
  <rcc rId="3603" sId="8" numFmtId="4">
    <nc r="B241">
      <v>12</v>
    </nc>
  </rcc>
  <rcc rId="3604" sId="8" numFmtId="4">
    <nc r="B242">
      <v>12</v>
    </nc>
  </rcc>
  <rcc rId="3605" sId="8" numFmtId="4">
    <nc r="B243">
      <v>12</v>
    </nc>
  </rcc>
  <rcc rId="3606" sId="8" numFmtId="4">
    <nc r="B244">
      <v>12</v>
    </nc>
  </rcc>
  <rcc rId="3607" sId="8" numFmtId="4">
    <nc r="B245">
      <v>12</v>
    </nc>
  </rcc>
  <rcc rId="3608" sId="8" numFmtId="4">
    <nc r="B246">
      <v>12</v>
    </nc>
  </rcc>
  <rcc rId="3609" sId="8" numFmtId="4">
    <nc r="B247">
      <v>12</v>
    </nc>
  </rcc>
  <rcc rId="3610" sId="8" numFmtId="4">
    <nc r="B248">
      <v>12</v>
    </nc>
  </rcc>
  <rcc rId="3611" sId="8" numFmtId="4">
    <nc r="B249">
      <v>12</v>
    </nc>
  </rcc>
  <rcc rId="3612" sId="8" numFmtId="4">
    <nc r="B250">
      <v>12</v>
    </nc>
  </rcc>
  <rcc rId="3613" sId="8" numFmtId="4">
    <nc r="B251">
      <v>12</v>
    </nc>
  </rcc>
  <rcc rId="3614" sId="8" numFmtId="4">
    <nc r="B252">
      <v>12</v>
    </nc>
  </rcc>
  <rcc rId="3615" sId="8" numFmtId="4">
    <nc r="B253">
      <v>12</v>
    </nc>
  </rcc>
  <rcc rId="3616" sId="8" numFmtId="4">
    <nc r="B254">
      <v>12</v>
    </nc>
  </rcc>
  <rcc rId="3617" sId="8" numFmtId="4">
    <nc r="B255">
      <v>12</v>
    </nc>
  </rcc>
  <rcc rId="3618" sId="8" numFmtId="4">
    <nc r="B256">
      <v>12</v>
    </nc>
  </rcc>
  <rcc rId="3619" sId="8" numFmtId="4">
    <nc r="B257">
      <v>12</v>
    </nc>
  </rcc>
  <rcc rId="3620" sId="8" numFmtId="4">
    <nc r="B258">
      <v>12</v>
    </nc>
  </rcc>
  <rcc rId="3621" sId="8" numFmtId="4">
    <nc r="B259">
      <v>12</v>
    </nc>
  </rcc>
  <rcc rId="3622" sId="8" numFmtId="4">
    <nc r="B260">
      <v>12</v>
    </nc>
  </rcc>
  <rcc rId="3623" sId="8" numFmtId="4">
    <nc r="B261">
      <v>12</v>
    </nc>
  </rcc>
  <rcc rId="3624" sId="8" numFmtId="4">
    <nc r="B262">
      <v>12</v>
    </nc>
  </rcc>
  <rcc rId="3625" sId="8" numFmtId="4">
    <nc r="B263">
      <v>12</v>
    </nc>
  </rcc>
  <rcc rId="3626" sId="8" numFmtId="4">
    <nc r="B264">
      <v>12</v>
    </nc>
  </rcc>
  <rcc rId="3627" sId="8" numFmtId="4">
    <nc r="B265">
      <v>12</v>
    </nc>
  </rcc>
  <rcc rId="3628" sId="8" numFmtId="4">
    <nc r="B266">
      <v>12</v>
    </nc>
  </rcc>
  <rcc rId="3629" sId="8" numFmtId="4">
    <nc r="B267">
      <v>12</v>
    </nc>
  </rcc>
  <rcc rId="3630" sId="8" numFmtId="4">
    <nc r="B268">
      <v>12</v>
    </nc>
  </rcc>
  <rcc rId="3631" sId="8" numFmtId="4">
    <nc r="B269">
      <v>12</v>
    </nc>
  </rcc>
  <rcc rId="3632" sId="8" numFmtId="4">
    <nc r="B270">
      <v>12</v>
    </nc>
  </rcc>
  <rcc rId="3633" sId="8" numFmtId="4">
    <nc r="B271">
      <v>12</v>
    </nc>
  </rcc>
  <rcc rId="3634" sId="8" numFmtId="4">
    <nc r="B272">
      <v>12</v>
    </nc>
  </rcc>
  <rcc rId="3635" sId="8" numFmtId="4">
    <nc r="B273">
      <v>12</v>
    </nc>
  </rcc>
  <rcc rId="3636" sId="8" numFmtId="4">
    <nc r="B274">
      <v>12</v>
    </nc>
  </rcc>
  <rcc rId="3637" sId="8" numFmtId="4">
    <nc r="B275">
      <v>12</v>
    </nc>
  </rcc>
  <rcc rId="3638" sId="8" numFmtId="4">
    <nc r="B276">
      <v>12</v>
    </nc>
  </rcc>
  <rcc rId="3639" sId="8" numFmtId="4">
    <nc r="B277">
      <v>12</v>
    </nc>
  </rcc>
  <rcc rId="3640" sId="8" numFmtId="4">
    <nc r="B278">
      <v>12</v>
    </nc>
  </rcc>
  <rcc rId="3641" sId="8" numFmtId="4">
    <nc r="B279">
      <v>12</v>
    </nc>
  </rcc>
  <rcc rId="3642" sId="8" numFmtId="4">
    <nc r="B280">
      <v>12</v>
    </nc>
  </rcc>
  <rcc rId="3643" sId="8" numFmtId="4">
    <nc r="B281">
      <v>12</v>
    </nc>
  </rcc>
  <rcc rId="3644" sId="8" numFmtId="4">
    <nc r="B282">
      <v>12</v>
    </nc>
  </rcc>
  <rcc rId="3645" sId="8" numFmtId="4">
    <nc r="B283">
      <v>12</v>
    </nc>
  </rcc>
  <rcc rId="3646" sId="8" numFmtId="4">
    <nc r="B284">
      <v>12</v>
    </nc>
  </rcc>
  <rcc rId="3647" sId="8" numFmtId="4">
    <nc r="B285">
      <v>12</v>
    </nc>
  </rcc>
  <rcc rId="3648" sId="8" numFmtId="4">
    <nc r="B286">
      <v>12</v>
    </nc>
  </rcc>
  <rcc rId="3649" sId="8" numFmtId="4">
    <nc r="B287">
      <v>12</v>
    </nc>
  </rcc>
  <rcc rId="3650" sId="8" numFmtId="4">
    <nc r="B288">
      <v>12</v>
    </nc>
  </rcc>
  <rcc rId="3651" sId="8" numFmtId="4">
    <nc r="B289">
      <v>12</v>
    </nc>
  </rcc>
  <rcc rId="3652" sId="8" numFmtId="4">
    <nc r="B290">
      <v>12</v>
    </nc>
  </rcc>
  <rcc rId="3653" sId="8" numFmtId="4">
    <nc r="B291">
      <v>12</v>
    </nc>
  </rcc>
  <rcc rId="3654" sId="8" numFmtId="4">
    <nc r="B292">
      <v>12</v>
    </nc>
  </rcc>
  <rcc rId="3655" sId="8" numFmtId="4">
    <nc r="B293">
      <v>12</v>
    </nc>
  </rcc>
  <rcc rId="3656" sId="8" numFmtId="4">
    <nc r="B294">
      <v>12</v>
    </nc>
  </rcc>
  <rcc rId="3657" sId="8" numFmtId="4">
    <nc r="B295">
      <v>12</v>
    </nc>
  </rcc>
  <rcc rId="3658" sId="8" numFmtId="4">
    <nc r="B296">
      <v>12</v>
    </nc>
  </rcc>
  <rcc rId="3659" sId="8" numFmtId="4">
    <nc r="B297">
      <v>12</v>
    </nc>
  </rcc>
  <rcc rId="3660" sId="8" numFmtId="4">
    <nc r="B298">
      <v>12</v>
    </nc>
  </rcc>
  <rcc rId="3661" sId="8" numFmtId="4">
    <nc r="B299">
      <v>12</v>
    </nc>
  </rcc>
  <rcc rId="3662" sId="8" numFmtId="4">
    <nc r="B300">
      <v>12</v>
    </nc>
  </rcc>
  <rcc rId="3663" sId="8" numFmtId="4">
    <nc r="B301">
      <v>12</v>
    </nc>
  </rcc>
  <rcc rId="3664" sId="8" numFmtId="4">
    <nc r="B302">
      <v>12</v>
    </nc>
  </rcc>
  <rcc rId="3665" sId="8" numFmtId="4">
    <nc r="B303">
      <v>12</v>
    </nc>
  </rcc>
  <rcc rId="3666" sId="8" numFmtId="4">
    <nc r="B304">
      <v>12</v>
    </nc>
  </rcc>
  <rcc rId="3667" sId="8" numFmtId="4">
    <nc r="B305">
      <v>12</v>
    </nc>
  </rcc>
  <rcc rId="3668" sId="8" numFmtId="4">
    <nc r="B306">
      <v>12</v>
    </nc>
  </rcc>
  <rcc rId="3669" sId="8" numFmtId="4">
    <nc r="B307">
      <v>12</v>
    </nc>
  </rcc>
  <rcc rId="3670" sId="8" numFmtId="4">
    <nc r="B308">
      <v>12</v>
    </nc>
  </rcc>
  <rcc rId="3671" sId="8" numFmtId="4">
    <nc r="B309">
      <v>12</v>
    </nc>
  </rcc>
  <rcc rId="3672" sId="8" numFmtId="4">
    <nc r="B310">
      <v>12</v>
    </nc>
  </rcc>
  <rcc rId="3673" sId="8" numFmtId="4">
    <nc r="B311">
      <v>12</v>
    </nc>
  </rcc>
  <rcc rId="3674" sId="8" numFmtId="4">
    <nc r="B312">
      <v>12</v>
    </nc>
  </rcc>
  <rcc rId="3675" sId="8" numFmtId="4">
    <nc r="B313">
      <v>12</v>
    </nc>
  </rcc>
  <rcc rId="3676" sId="8" numFmtId="4">
    <nc r="B314">
      <v>12</v>
    </nc>
  </rcc>
  <rcc rId="3677" sId="8" numFmtId="4">
    <nc r="B315">
      <v>12</v>
    </nc>
  </rcc>
  <rcc rId="3678" sId="8" numFmtId="4">
    <nc r="B316">
      <v>12</v>
    </nc>
  </rcc>
  <rcc rId="3679" sId="8" numFmtId="4">
    <nc r="B317">
      <v>12</v>
    </nc>
  </rcc>
  <rcc rId="3680" sId="8" numFmtId="4">
    <nc r="B318">
      <v>12</v>
    </nc>
  </rcc>
  <rcc rId="3681" sId="8" numFmtId="4">
    <nc r="B319">
      <v>12</v>
    </nc>
  </rcc>
  <rcc rId="3682" sId="8" numFmtId="4">
    <nc r="B320">
      <v>12</v>
    </nc>
  </rcc>
  <rcc rId="3683" sId="8" numFmtId="4">
    <nc r="B321">
      <v>12</v>
    </nc>
  </rcc>
  <rcc rId="3684" sId="8" numFmtId="4">
    <nc r="B322">
      <v>12</v>
    </nc>
  </rcc>
  <rcc rId="3685" sId="8" numFmtId="4">
    <nc r="B323">
      <v>12</v>
    </nc>
  </rcc>
  <rcc rId="3686" sId="8" numFmtId="4">
    <nc r="B324">
      <v>12</v>
    </nc>
  </rcc>
  <rcc rId="3687" sId="8" numFmtId="4">
    <nc r="B325">
      <v>12</v>
    </nc>
  </rcc>
  <rcc rId="3688" sId="8" numFmtId="4">
    <nc r="B326">
      <v>12</v>
    </nc>
  </rcc>
  <rcc rId="3689" sId="8" numFmtId="4">
    <nc r="B327">
      <v>12</v>
    </nc>
  </rcc>
  <rcc rId="3690" sId="8" numFmtId="4">
    <nc r="B328">
      <v>12</v>
    </nc>
  </rcc>
  <rcc rId="3691" sId="8" numFmtId="4">
    <nc r="B329">
      <v>12</v>
    </nc>
  </rcc>
  <rcc rId="3692" sId="8" numFmtId="4">
    <nc r="B330">
      <v>12</v>
    </nc>
  </rcc>
  <rcc rId="3693" sId="8" numFmtId="4">
    <nc r="B331">
      <v>12</v>
    </nc>
  </rcc>
  <rcc rId="3694" sId="8" numFmtId="4">
    <nc r="B332">
      <v>12</v>
    </nc>
  </rcc>
  <rcc rId="3695" sId="8" numFmtId="4">
    <nc r="B333">
      <v>12</v>
    </nc>
  </rcc>
  <rcc rId="3696" sId="8" numFmtId="4">
    <nc r="B334">
      <v>12</v>
    </nc>
  </rcc>
  <rcc rId="3697" sId="8" numFmtId="4">
    <nc r="B335">
      <v>12</v>
    </nc>
  </rcc>
  <rcc rId="3698" sId="8" numFmtId="4">
    <nc r="B336">
      <v>12</v>
    </nc>
  </rcc>
  <rcc rId="3699" sId="8" numFmtId="4">
    <nc r="B337">
      <v>12</v>
    </nc>
  </rcc>
  <rcc rId="3700" sId="8" numFmtId="4">
    <nc r="B338">
      <v>12</v>
    </nc>
  </rcc>
  <rcc rId="3701" sId="8" numFmtId="4">
    <nc r="B339">
      <v>12</v>
    </nc>
  </rcc>
  <rcc rId="3702" sId="8" numFmtId="4">
    <nc r="B340">
      <v>12</v>
    </nc>
  </rcc>
  <rcc rId="3703" sId="8" numFmtId="4">
    <nc r="B341">
      <v>12</v>
    </nc>
  </rcc>
  <rcc rId="3704" sId="8" numFmtId="4">
    <nc r="B342">
      <v>12</v>
    </nc>
  </rcc>
  <rcc rId="3705" sId="8" numFmtId="4">
    <nc r="B343">
      <v>12</v>
    </nc>
  </rcc>
  <rcc rId="3706" sId="8" numFmtId="4">
    <nc r="B344">
      <v>12</v>
    </nc>
  </rcc>
  <rcc rId="3707" sId="8" numFmtId="4">
    <nc r="B345">
      <v>12</v>
    </nc>
  </rcc>
  <rcc rId="3708" sId="8" numFmtId="4">
    <nc r="B346">
      <v>12</v>
    </nc>
  </rcc>
  <rcc rId="3709" sId="8" numFmtId="4">
    <nc r="B347">
      <v>12</v>
    </nc>
  </rcc>
  <rcc rId="3710" sId="8" numFmtId="4">
    <nc r="B348">
      <v>12</v>
    </nc>
  </rcc>
  <rcc rId="3711" sId="8" numFmtId="4">
    <nc r="B349">
      <v>12</v>
    </nc>
  </rcc>
  <rcc rId="3712" sId="8" numFmtId="4">
    <nc r="B350">
      <v>12</v>
    </nc>
  </rcc>
  <rcc rId="3713" sId="8" numFmtId="4">
    <nc r="B351">
      <v>12</v>
    </nc>
  </rcc>
  <rcc rId="3714" sId="8" numFmtId="4">
    <nc r="B352">
      <v>12</v>
    </nc>
  </rcc>
  <rcc rId="3715" sId="8" numFmtId="4">
    <nc r="B353">
      <v>12</v>
    </nc>
  </rcc>
  <rcc rId="3716" sId="8" numFmtId="4">
    <nc r="B354">
      <v>12</v>
    </nc>
  </rcc>
  <rcc rId="3717" sId="8" numFmtId="4">
    <nc r="B355">
      <v>12</v>
    </nc>
  </rcc>
  <rcc rId="3718" sId="8" numFmtId="4">
    <nc r="B356">
      <v>12</v>
    </nc>
  </rcc>
  <rcc rId="3719" sId="8" numFmtId="4">
    <nc r="B357">
      <v>12</v>
    </nc>
  </rcc>
  <rcc rId="3720" sId="8" numFmtId="4">
    <nc r="B358">
      <v>12</v>
    </nc>
  </rcc>
  <rcc rId="3721" sId="8" numFmtId="4">
    <nc r="B359">
      <v>12</v>
    </nc>
  </rcc>
  <rcc rId="3722" sId="8" numFmtId="4">
    <nc r="B360">
      <v>12</v>
    </nc>
  </rcc>
  <rcc rId="3723" sId="8" numFmtId="4">
    <nc r="B361">
      <v>12</v>
    </nc>
  </rcc>
  <rcc rId="3724" sId="8" numFmtId="4">
    <nc r="B362">
      <v>12</v>
    </nc>
  </rcc>
  <rcc rId="3725" sId="8" numFmtId="4">
    <nc r="B363">
      <v>12</v>
    </nc>
  </rcc>
  <rcc rId="3726" sId="8" numFmtId="4">
    <nc r="B364">
      <v>12</v>
    </nc>
  </rcc>
  <rcc rId="3727" sId="8" numFmtId="4">
    <nc r="B365">
      <v>12</v>
    </nc>
  </rcc>
  <rcc rId="3728" sId="8" numFmtId="4">
    <nc r="B366">
      <v>12</v>
    </nc>
  </rcc>
  <rcc rId="3729" sId="8" numFmtId="4">
    <nc r="B367">
      <v>12</v>
    </nc>
  </rcc>
  <rcc rId="3730" sId="8" numFmtId="4">
    <nc r="B368">
      <v>12</v>
    </nc>
  </rcc>
  <rcc rId="3731" sId="8" numFmtId="4">
    <nc r="B369">
      <v>12</v>
    </nc>
  </rcc>
  <rcc rId="3732" sId="8" numFmtId="4">
    <nc r="B370">
      <v>12</v>
    </nc>
  </rcc>
  <rcc rId="3733" sId="8" numFmtId="4">
    <nc r="B371">
      <v>12</v>
    </nc>
  </rcc>
  <rcc rId="3734" sId="8" numFmtId="4">
    <nc r="B372">
      <v>12</v>
    </nc>
  </rcc>
  <rcc rId="3735" sId="8" numFmtId="4">
    <nc r="B373">
      <v>12</v>
    </nc>
  </rcc>
  <rcc rId="3736" sId="8" numFmtId="4">
    <nc r="B374">
      <v>12</v>
    </nc>
  </rcc>
  <rcc rId="3737" sId="8" numFmtId="4">
    <nc r="B375">
      <v>12</v>
    </nc>
  </rcc>
  <rcc rId="3738" sId="8" numFmtId="4">
    <nc r="B376">
      <v>12</v>
    </nc>
  </rcc>
  <rcc rId="3739" sId="8" numFmtId="4">
    <nc r="B377">
      <v>12</v>
    </nc>
  </rcc>
  <rcc rId="3740" sId="8" numFmtId="4">
    <nc r="B378">
      <v>12</v>
    </nc>
  </rcc>
  <rcc rId="3741" sId="8" numFmtId="4">
    <nc r="B379">
      <v>12</v>
    </nc>
  </rcc>
  <rcc rId="3742" sId="8" numFmtId="4">
    <nc r="B380">
      <v>12</v>
    </nc>
  </rcc>
  <rcc rId="3743" sId="8" numFmtId="4">
    <nc r="B381">
      <v>12</v>
    </nc>
  </rcc>
  <rcc rId="3744" sId="8" numFmtId="4">
    <nc r="B382">
      <v>12</v>
    </nc>
  </rcc>
  <rcc rId="3745" sId="8" numFmtId="4">
    <nc r="B383">
      <v>12</v>
    </nc>
  </rcc>
  <rcc rId="3746" sId="8" numFmtId="4">
    <nc r="B384">
      <v>12</v>
    </nc>
  </rcc>
  <rcc rId="3747" sId="8" numFmtId="4">
    <nc r="B385">
      <v>12</v>
    </nc>
  </rcc>
  <rcc rId="3748" sId="8" numFmtId="4">
    <nc r="B386">
      <v>12</v>
    </nc>
  </rcc>
  <rcc rId="3749" sId="8" numFmtId="4">
    <nc r="B387">
      <v>12</v>
    </nc>
  </rcc>
  <rcc rId="3750" sId="8" numFmtId="4">
    <nc r="B388">
      <v>12</v>
    </nc>
  </rcc>
  <rcc rId="3751" sId="8" numFmtId="4">
    <nc r="B389">
      <v>12</v>
    </nc>
  </rcc>
  <rcc rId="3752" sId="8" numFmtId="4">
    <nc r="B390">
      <v>12</v>
    </nc>
  </rcc>
  <rcc rId="3753" sId="8" numFmtId="4">
    <nc r="B391">
      <v>12</v>
    </nc>
  </rcc>
  <rcc rId="3754" sId="8" numFmtId="4">
    <nc r="B392">
      <v>12</v>
    </nc>
  </rcc>
  <rcc rId="3755" sId="8" numFmtId="4">
    <nc r="B393">
      <v>12</v>
    </nc>
  </rcc>
  <rcc rId="3756" sId="8" numFmtId="4">
    <nc r="B394">
      <v>12</v>
    </nc>
  </rcc>
  <rcc rId="3757" sId="8" numFmtId="4">
    <nc r="B395">
      <v>12</v>
    </nc>
  </rcc>
  <rcc rId="3758" sId="8" numFmtId="4">
    <nc r="B396">
      <v>12</v>
    </nc>
  </rcc>
  <rcc rId="3759" sId="8" numFmtId="4">
    <nc r="B397">
      <v>12</v>
    </nc>
  </rcc>
  <rcc rId="3760" sId="8" numFmtId="4">
    <nc r="B398">
      <v>12</v>
    </nc>
  </rcc>
  <rcc rId="3761" sId="8" numFmtId="4">
    <nc r="B399">
      <v>12</v>
    </nc>
  </rcc>
  <rcc rId="3762" sId="8" numFmtId="4">
    <nc r="B400">
      <v>12</v>
    </nc>
  </rcc>
  <rcc rId="3763" sId="8" numFmtId="4">
    <nc r="B401">
      <v>12</v>
    </nc>
  </rcc>
  <rcc rId="3764" sId="8" numFmtId="4">
    <nc r="B402">
      <v>12</v>
    </nc>
  </rcc>
  <rcc rId="3765" sId="8" numFmtId="4">
    <nc r="B403">
      <v>12</v>
    </nc>
  </rcc>
  <rcc rId="3766" sId="8" numFmtId="4">
    <nc r="B404">
      <v>12</v>
    </nc>
  </rcc>
  <rcc rId="3767" sId="8" numFmtId="4">
    <nc r="B405">
      <v>12</v>
    </nc>
  </rcc>
  <rcc rId="3768" sId="8" numFmtId="4">
    <nc r="B406">
      <v>12</v>
    </nc>
  </rcc>
  <rcc rId="3769" sId="8" numFmtId="4">
    <nc r="C206">
      <v>34</v>
    </nc>
  </rcc>
  <rcc rId="3770" sId="8" numFmtId="4">
    <nc r="D206">
      <v>15</v>
    </nc>
  </rcc>
  <rcc rId="3771" sId="8" numFmtId="4">
    <nc r="E206">
      <v>5</v>
    </nc>
  </rcc>
  <rcc rId="3772" sId="8" numFmtId="4">
    <nc r="F206">
      <v>20</v>
    </nc>
  </rcc>
  <rcc rId="3773" sId="8" numFmtId="4">
    <nc r="G206">
      <v>0</v>
    </nc>
  </rcc>
  <rcc rId="3774" sId="8" numFmtId="4">
    <nc r="C207">
      <v>21</v>
    </nc>
  </rcc>
  <rcc rId="3775" sId="8" numFmtId="4">
    <nc r="D207">
      <v>10</v>
    </nc>
  </rcc>
  <rcc rId="3776" sId="8" numFmtId="4">
    <nc r="E207">
      <v>7</v>
    </nc>
  </rcc>
  <rcc rId="3777" sId="8" numFmtId="4">
    <nc r="F207">
      <v>18</v>
    </nc>
  </rcc>
  <rcc rId="3778" sId="8" numFmtId="4">
    <nc r="G207">
      <v>0</v>
    </nc>
  </rcc>
  <rcc rId="3779" sId="8" numFmtId="4">
    <nc r="C208">
      <v>21</v>
    </nc>
  </rcc>
  <rcc rId="3780" sId="8" numFmtId="4">
    <nc r="D208">
      <v>9</v>
    </nc>
  </rcc>
  <rcc rId="3781" sId="8" numFmtId="4">
    <nc r="E208">
      <v>9</v>
    </nc>
  </rcc>
  <rcc rId="3782" sId="8" numFmtId="4">
    <nc r="F208">
      <v>16</v>
    </nc>
  </rcc>
  <rcc rId="3783" sId="8" numFmtId="4">
    <nc r="G208">
      <v>0</v>
    </nc>
  </rcc>
  <rcc rId="3784" sId="8" numFmtId="4">
    <nc r="C209">
      <v>21</v>
    </nc>
  </rcc>
  <rcc rId="3785" sId="8" numFmtId="4">
    <nc r="D209">
      <v>8</v>
    </nc>
  </rcc>
  <rcc rId="3786" sId="8" numFmtId="4">
    <nc r="E209">
      <v>6</v>
    </nc>
  </rcc>
  <rcc rId="3787" sId="8" numFmtId="4">
    <nc r="F209">
      <v>19</v>
    </nc>
  </rcc>
  <rcc rId="3788" sId="8" numFmtId="4">
    <nc r="G209">
      <v>0</v>
    </nc>
  </rcc>
  <rcc rId="3789" sId="8" numFmtId="4">
    <nc r="C210">
      <v>21</v>
    </nc>
  </rcc>
  <rcc rId="3790" sId="8" numFmtId="4">
    <nc r="D210">
      <v>7</v>
    </nc>
  </rcc>
  <rcc rId="3791" sId="8" numFmtId="4">
    <nc r="E210">
      <v>1</v>
    </nc>
  </rcc>
  <rcc rId="3792" sId="8" numFmtId="4">
    <nc r="F210">
      <v>24</v>
    </nc>
  </rcc>
  <rcc rId="3793" sId="8" numFmtId="4">
    <nc r="G210">
      <v>0</v>
    </nc>
  </rcc>
  <rcc rId="3794" sId="8" numFmtId="4">
    <nc r="C211">
      <v>21</v>
    </nc>
  </rcc>
  <rcc rId="3795" sId="8" numFmtId="4">
    <nc r="D211">
      <v>6</v>
    </nc>
  </rcc>
  <rcc rId="3796" sId="8" numFmtId="4">
    <nc r="E211">
      <v>3</v>
    </nc>
  </rcc>
  <rcc rId="3797" sId="8" numFmtId="4">
    <nc r="F211">
      <v>22</v>
    </nc>
  </rcc>
  <rcc rId="3798" sId="8" numFmtId="4">
    <nc r="G211">
      <v>0</v>
    </nc>
  </rcc>
  <rcc rId="3799" sId="8" numFmtId="4">
    <nc r="C212">
      <v>26</v>
    </nc>
  </rcc>
  <rcc rId="3800" sId="8" numFmtId="4">
    <nc r="D212">
      <v>15</v>
    </nc>
  </rcc>
  <rcc rId="3801" sId="8" numFmtId="4">
    <nc r="E212">
      <v>2</v>
    </nc>
  </rcc>
  <rcc rId="3802" sId="8" numFmtId="4">
    <nc r="F212">
      <v>26</v>
    </nc>
  </rcc>
  <rcc rId="3803" sId="8" numFmtId="4">
    <nc r="G212">
      <v>0</v>
    </nc>
  </rcc>
  <rcc rId="3804" sId="8" numFmtId="4">
    <nc r="C213">
      <v>21</v>
    </nc>
  </rcc>
  <rcc rId="3805" sId="8" numFmtId="4">
    <nc r="D213">
      <v>15</v>
    </nc>
  </rcc>
  <rcc rId="3806" sId="8" numFmtId="4">
    <nc r="E213">
      <v>8</v>
    </nc>
  </rcc>
  <rcc rId="3807" sId="8" numFmtId="4">
    <nc r="F213">
      <v>17</v>
    </nc>
  </rcc>
  <rcc rId="3808" sId="8" numFmtId="4">
    <nc r="G213">
      <v>0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>
  <rcc rId="3809" sId="8" numFmtId="4">
    <nc r="C214">
      <v>25</v>
    </nc>
  </rcc>
  <rcc rId="3810" sId="8" numFmtId="4">
    <nc r="D214">
      <v>12</v>
    </nc>
  </rcc>
  <rcc rId="3811" sId="8" numFmtId="4">
    <nc r="E214">
      <v>11</v>
    </nc>
  </rcc>
  <rcc rId="3812" sId="8" numFmtId="4">
    <nc r="F214">
      <v>14</v>
    </nc>
  </rcc>
  <rcc rId="3813" sId="8" numFmtId="4">
    <nc r="G214">
      <v>0</v>
    </nc>
  </rcc>
  <rcc rId="3814" sId="11" numFmtId="4">
    <nc r="C165">
      <v>4</v>
    </nc>
  </rcc>
  <rcc rId="3815" sId="11" numFmtId="4">
    <nc r="D165">
      <v>15</v>
    </nc>
  </rcc>
  <rcc rId="3816" sId="11" numFmtId="4">
    <nc r="E165">
      <v>5</v>
    </nc>
  </rcc>
  <rcc rId="3817" sId="11" numFmtId="4">
    <nc r="F165">
      <v>1</v>
    </nc>
  </rcc>
  <rcc rId="3818" sId="11" numFmtId="4">
    <nc r="G165">
      <v>16</v>
    </nc>
  </rcc>
  <rcc rId="3819" sId="11" numFmtId="4">
    <nc r="H165">
      <v>0</v>
    </nc>
  </rcc>
  <rcc rId="3820" sId="11" numFmtId="4">
    <nc r="C166">
      <v>4</v>
    </nc>
  </rcc>
  <rcc rId="3821" sId="11" numFmtId="4">
    <nc r="D166">
      <v>14</v>
    </nc>
  </rcc>
  <rcc rId="3822" sId="11" numFmtId="4">
    <nc r="E166">
      <v>3</v>
    </nc>
  </rcc>
  <rcc rId="3823" sId="11" numFmtId="4">
    <nc r="F166">
      <v>5</v>
    </nc>
  </rcc>
  <rcc rId="3824" sId="11" numFmtId="4">
    <nc r="G166">
      <v>15</v>
    </nc>
  </rcc>
  <rcc rId="3825" sId="11" numFmtId="4">
    <nc r="H166">
      <v>0</v>
    </nc>
  </rcc>
  <rcc rId="3826" sId="11" numFmtId="4">
    <nc r="C167">
      <v>5</v>
    </nc>
  </rcc>
  <rcc rId="3827" sId="11" numFmtId="4">
    <nc r="D167">
      <v>14</v>
    </nc>
  </rcc>
  <rcc rId="3828" sId="11" numFmtId="4">
    <nc r="E167">
      <v>14</v>
    </nc>
  </rcc>
  <rcc rId="3829" sId="11" numFmtId="4">
    <nc r="F167">
      <v>3</v>
    </nc>
  </rcc>
  <rcc rId="3830" sId="11" numFmtId="4">
    <nc r="G167">
      <v>8</v>
    </nc>
  </rcc>
  <rcc rId="3831" sId="11" numFmtId="4">
    <nc r="H167">
      <v>0</v>
    </nc>
  </rcc>
  <rcc rId="3832" sId="11" numFmtId="4">
    <nc r="C168">
      <v>7</v>
    </nc>
  </rcc>
  <rcc rId="3833" sId="11" numFmtId="4">
    <nc r="D168">
      <v>14</v>
    </nc>
  </rcc>
  <rcc rId="3834" sId="11" numFmtId="4">
    <nc r="E168">
      <v>10</v>
    </nc>
  </rcc>
  <rcc rId="3835" sId="11" numFmtId="4">
    <nc r="F168">
      <v>2</v>
    </nc>
  </rcc>
  <rcc rId="3836" sId="11" numFmtId="4">
    <nc r="G168">
      <v>15</v>
    </nc>
  </rcc>
  <rcc rId="3837" sId="11" numFmtId="4">
    <nc r="H168">
      <v>5</v>
    </nc>
  </rcc>
  <rcc rId="3838" sId="11" numFmtId="4">
    <nc r="C169">
      <v>10</v>
    </nc>
  </rcc>
  <rcc rId="3839" sId="11" numFmtId="4">
    <nc r="D169">
      <v>9</v>
    </nc>
  </rcc>
  <rcc rId="3840" sId="11" numFmtId="4">
    <nc r="E169">
      <v>7</v>
    </nc>
  </rcc>
  <rcc rId="3841" sId="11" numFmtId="4">
    <nc r="F169">
      <v>3</v>
    </nc>
  </rcc>
  <rcc rId="3842" sId="11" numFmtId="4">
    <nc r="G169">
      <v>18</v>
    </nc>
  </rcc>
  <rcc rId="3843" sId="11" numFmtId="4">
    <nc r="H169">
      <v>0</v>
    </nc>
  </rcc>
  <rcc rId="3844" sId="11" numFmtId="4">
    <nc r="C170">
      <v>10</v>
    </nc>
  </rcc>
  <rcc rId="3845" sId="11" numFmtId="4">
    <nc r="D170">
      <v>8</v>
    </nc>
  </rcc>
  <rcc rId="3846" sId="11" numFmtId="4">
    <nc r="E170">
      <v>18</v>
    </nc>
  </rcc>
  <rcc rId="3847" sId="11" numFmtId="4">
    <nc r="F170">
      <v>4</v>
    </nc>
  </rcc>
  <rcc rId="3848" sId="11" numFmtId="4">
    <nc r="G170">
      <v>13</v>
    </nc>
  </rcc>
  <rcc rId="3849" sId="11" numFmtId="4">
    <nc r="H170">
      <v>0</v>
    </nc>
  </rcc>
  <rcc rId="3850" sId="11" numFmtId="4">
    <nc r="C171">
      <v>10</v>
    </nc>
  </rcc>
  <rcc rId="3851" sId="11" numFmtId="4">
    <nc r="D171">
      <v>7</v>
    </nc>
  </rcc>
  <rcc rId="3852" sId="11" numFmtId="4">
    <nc r="E171">
      <v>8</v>
    </nc>
  </rcc>
  <rcc rId="3853" sId="11" numFmtId="4">
    <nc r="F171">
      <v>3</v>
    </nc>
  </rcc>
  <rcc rId="3854" sId="11" numFmtId="4">
    <nc r="G171">
      <v>25</v>
    </nc>
  </rcc>
  <rcc rId="3855" sId="11" numFmtId="4">
    <nc r="H171">
      <v>0</v>
    </nc>
  </rcc>
  <rcc rId="3856" sId="11" numFmtId="4">
    <nc r="C172">
      <v>6</v>
    </nc>
  </rcc>
</revisions>
</file>

<file path=xl/revisions/revisionLog82.xml><?xml version="1.0" encoding="utf-8"?>
<revisions xmlns="http://schemas.openxmlformats.org/spreadsheetml/2006/main" xmlns:r="http://schemas.openxmlformats.org/officeDocument/2006/relationships">
  <rcc rId="3857" sId="11" numFmtId="4">
    <nc r="D172">
      <v>13</v>
    </nc>
  </rcc>
  <rcc rId="3858" sId="11" numFmtId="4">
    <nc r="E172">
      <v>14</v>
    </nc>
  </rcc>
  <rcc rId="3859" sId="11" numFmtId="4">
    <nc r="F172">
      <v>0</v>
    </nc>
  </rcc>
  <rcc rId="3860" sId="11" numFmtId="4">
    <nc r="G172">
      <v>16</v>
    </nc>
  </rcc>
  <rcc rId="3861" sId="11" numFmtId="4">
    <nc r="H172">
      <v>0</v>
    </nc>
  </rcc>
  <rcc rId="3862" sId="11" numFmtId="4">
    <nc r="C173">
      <v>6</v>
    </nc>
  </rcc>
  <rcc rId="3863" sId="11" numFmtId="4">
    <nc r="D173">
      <v>14</v>
    </nc>
  </rcc>
  <rcc rId="3864" sId="11" numFmtId="4">
    <nc r="E173">
      <v>10</v>
    </nc>
  </rcc>
  <rcc rId="3865" sId="11" numFmtId="4">
    <nc r="F173">
      <v>0</v>
    </nc>
  </rcc>
  <rcc rId="3866" sId="11" numFmtId="4">
    <nc r="G173">
      <v>8</v>
    </nc>
  </rcc>
  <rcc rId="3867" sId="11" numFmtId="4">
    <nc r="H173">
      <v>0</v>
    </nc>
  </rcc>
  <rcc rId="3868" sId="11" numFmtId="4">
    <nc r="C174">
      <v>6</v>
    </nc>
  </rcc>
  <rcc rId="3869" sId="11" numFmtId="4">
    <nc r="D174">
      <v>15</v>
    </nc>
  </rcc>
  <rcc rId="3870" sId="11" numFmtId="4">
    <nc r="E174">
      <v>6</v>
    </nc>
  </rcc>
  <rcc rId="3871" sId="11" numFmtId="4">
    <nc r="F174">
      <v>1</v>
    </nc>
  </rcc>
  <rcc rId="3872" sId="11" numFmtId="4">
    <nc r="G174">
      <v>6</v>
    </nc>
  </rcc>
  <rcc rId="3873" sId="11" numFmtId="4">
    <nc r="H174">
      <v>1</v>
    </nc>
  </rcc>
  <rcc rId="3874" sId="11" numFmtId="4">
    <nc r="C175">
      <v>6</v>
    </nc>
  </rcc>
  <rcc rId="3875" sId="11" numFmtId="4">
    <nc r="D175">
      <v>16</v>
    </nc>
  </rcc>
  <rcc rId="3876" sId="11" numFmtId="4">
    <nc r="E175">
      <v>4</v>
    </nc>
  </rcc>
  <rcc rId="3877" sId="11" numFmtId="4">
    <nc r="F175">
      <v>6</v>
    </nc>
  </rcc>
  <rcc rId="3878" sId="11" numFmtId="4">
    <nc r="G175">
      <v>0</v>
    </nc>
  </rcc>
  <rcc rId="3879" sId="11" numFmtId="4">
    <nc r="H175">
      <v>3</v>
    </nc>
  </rcc>
  <rcc rId="3880" sId="5" numFmtId="4">
    <nc r="C189">
      <v>39</v>
    </nc>
  </rcc>
  <rcc rId="3881" sId="5" numFmtId="4">
    <nc r="D189">
      <v>15</v>
    </nc>
  </rcc>
  <rcc rId="3882" sId="5" numFmtId="4">
    <nc r="E189">
      <v>9</v>
    </nc>
  </rcc>
  <rcc rId="3883" sId="5" numFmtId="4">
    <nc r="F189">
      <v>4</v>
    </nc>
  </rcc>
  <rcc rId="3884" sId="5" numFmtId="4">
    <nc r="G189">
      <v>4</v>
    </nc>
  </rcc>
  <rcc rId="3885" sId="5" numFmtId="4">
    <nc r="C190">
      <v>55</v>
    </nc>
  </rcc>
  <rcc rId="3886" sId="5" numFmtId="4">
    <nc r="D190">
      <v>16</v>
    </nc>
  </rcc>
  <rcc rId="3887" sId="5" numFmtId="4">
    <nc r="E190">
      <v>8</v>
    </nc>
  </rcc>
  <rcc rId="3888" sId="5" numFmtId="4">
    <nc r="F190">
      <v>10</v>
    </nc>
  </rcc>
  <rcc rId="3889" sId="5" numFmtId="4">
    <nc r="G190">
      <v>0</v>
    </nc>
  </rcc>
  <rcc rId="3890" sId="5" numFmtId="4">
    <nc r="C191">
      <v>55</v>
    </nc>
  </rcc>
  <rcc rId="3891" sId="5" numFmtId="4">
    <nc r="D191">
      <v>17</v>
    </nc>
  </rcc>
  <rcc rId="3892" sId="5" numFmtId="4">
    <nc r="E191">
      <v>7</v>
    </nc>
  </rcc>
  <rcc rId="3893" sId="5" numFmtId="4">
    <nc r="F191">
      <v>10</v>
    </nc>
  </rcc>
  <rcc rId="3894" sId="5" numFmtId="4">
    <nc r="G191">
      <v>0</v>
    </nc>
  </rcc>
  <rcc rId="3895" sId="5" numFmtId="4">
    <nc r="C192">
      <v>49</v>
    </nc>
  </rcc>
  <rcc rId="3896" sId="5" numFmtId="4">
    <nc r="D192">
      <v>15</v>
    </nc>
  </rcc>
  <rcc rId="3897" sId="5" numFmtId="4">
    <nc r="E192">
      <v>6</v>
    </nc>
  </rcc>
  <rcc rId="3898" sId="5" numFmtId="4">
    <nc r="F192">
      <v>3</v>
    </nc>
  </rcc>
  <rcc rId="3899" sId="5" numFmtId="4">
    <nc r="G192">
      <v>3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>
  <rcc rId="3900" sId="5" numFmtId="4">
    <nc r="C193">
      <v>51</v>
    </nc>
  </rcc>
  <rcc rId="3901" sId="5" numFmtId="4">
    <nc r="D193">
      <v>15</v>
    </nc>
  </rcc>
  <rcc rId="3902" sId="5" numFmtId="4">
    <nc r="E193">
      <v>8</v>
    </nc>
  </rcc>
  <rcc rId="3903" sId="5" numFmtId="4">
    <nc r="F193">
      <v>10</v>
    </nc>
  </rcc>
  <rcc rId="3904" sId="5" numFmtId="4">
    <nc r="G193">
      <v>2</v>
    </nc>
  </rcc>
  <rcc rId="3905" sId="5" numFmtId="4">
    <nc r="C194">
      <v>44</v>
    </nc>
  </rcc>
  <rcc rId="3906" sId="5" numFmtId="4">
    <nc r="D194">
      <v>15</v>
    </nc>
  </rcc>
  <rcc rId="3907" sId="5" numFmtId="4">
    <nc r="E194">
      <v>5</v>
    </nc>
  </rcc>
  <rcc rId="3908" sId="5" numFmtId="4">
    <nc r="F194">
      <v>7</v>
    </nc>
  </rcc>
  <rcc rId="3909" sId="5" numFmtId="4">
    <nc r="G194">
      <v>2</v>
    </nc>
  </rcc>
  <rcc rId="3910" sId="5" numFmtId="4">
    <nc r="C195">
      <v>45</v>
    </nc>
  </rcc>
  <rcc rId="3911" sId="5" numFmtId="4">
    <nc r="D195">
      <v>11</v>
    </nc>
  </rcc>
  <rcc rId="3912" sId="5" numFmtId="4">
    <nc r="E195">
      <v>7</v>
    </nc>
  </rcc>
  <rcc rId="3913" sId="5" numFmtId="4">
    <nc r="F195">
      <v>5</v>
    </nc>
  </rcc>
  <rcc rId="3914" sId="5" numFmtId="4">
    <nc r="G195">
      <v>2</v>
    </nc>
  </rcc>
  <rcc rId="3915" sId="5" numFmtId="4">
    <nc r="C196">
      <v>45</v>
    </nc>
  </rcc>
  <rcc rId="3916" sId="5" numFmtId="4">
    <nc r="D196">
      <v>10</v>
    </nc>
  </rcc>
  <rcc rId="3917" sId="5" numFmtId="4">
    <nc r="E196">
      <v>12</v>
    </nc>
  </rcc>
  <rcc rId="3918" sId="5" numFmtId="4">
    <nc r="F196">
      <v>13</v>
    </nc>
  </rcc>
  <rcc rId="3919" sId="5" numFmtId="4">
    <nc r="G196">
      <v>1</v>
    </nc>
  </rcc>
  <rcc rId="3920" sId="11" numFmtId="4">
    <nc r="B189">
      <v>5</v>
    </nc>
  </rcc>
  <rcc rId="3921" sId="11" numFmtId="4">
    <nc r="B190">
      <v>5</v>
    </nc>
  </rcc>
  <rcc rId="3922" sId="11" numFmtId="4">
    <nc r="B191">
      <v>5</v>
    </nc>
  </rcc>
  <rcc rId="3923" sId="11" numFmtId="4">
    <nc r="B192">
      <v>5</v>
    </nc>
  </rcc>
  <rcc rId="3924" sId="11" numFmtId="4">
    <nc r="B193">
      <v>5</v>
    </nc>
  </rcc>
  <rcc rId="3925" sId="11" numFmtId="4">
    <nc r="B194">
      <v>5</v>
    </nc>
  </rcc>
  <rcc rId="3926" sId="11" numFmtId="4">
    <nc r="B195">
      <v>5</v>
    </nc>
  </rcc>
  <rcc rId="3927" sId="11" numFmtId="4">
    <nc r="B196">
      <v>5</v>
    </nc>
  </rcc>
  <rcc rId="3928" sId="11" numFmtId="4">
    <nc r="B197">
      <v>5</v>
    </nc>
  </rcc>
  <rcc rId="3929" sId="11" numFmtId="4">
    <nc r="B198">
      <v>5</v>
    </nc>
  </rcc>
  <rcc rId="3930" sId="11" numFmtId="4">
    <nc r="B199">
      <v>5</v>
    </nc>
  </rcc>
  <rcc rId="3931" sId="11" numFmtId="4">
    <nc r="B200">
      <v>5</v>
    </nc>
  </rcc>
  <rcc rId="3932" sId="11" numFmtId="4">
    <nc r="B201">
      <v>5</v>
    </nc>
  </rcc>
  <rcc rId="3933" sId="11" numFmtId="4">
    <nc r="B202">
      <v>5</v>
    </nc>
  </rcc>
  <rcc rId="3934" sId="11" numFmtId="4">
    <nc r="C176">
      <v>2</v>
    </nc>
  </rcc>
  <rcc rId="3935" sId="11" numFmtId="4">
    <nc r="D176">
      <v>8</v>
    </nc>
  </rcc>
  <rcc rId="3936" sId="11" numFmtId="4">
    <nc r="E176">
      <v>15</v>
    </nc>
  </rcc>
  <rcc rId="3937" sId="11" numFmtId="4">
    <nc r="F176">
      <v>10</v>
    </nc>
  </rcc>
  <rcc rId="3938" sId="11" numFmtId="4">
    <nc r="G176">
      <v>10</v>
    </nc>
  </rcc>
  <rcc rId="3939" sId="11" numFmtId="4">
    <nc r="H176">
      <v>2</v>
    </nc>
  </rcc>
  <rcc rId="3940" sId="11" numFmtId="4">
    <nc r="C177">
      <v>2</v>
    </nc>
  </rcc>
  <rcc rId="3941" sId="11" numFmtId="4">
    <nc r="D177">
      <v>9</v>
    </nc>
  </rcc>
  <rcc rId="3942" sId="11" numFmtId="4">
    <nc r="E177">
      <v>15</v>
    </nc>
  </rcc>
  <rcc rId="3943" sId="11" numFmtId="4">
    <nc r="F177">
      <v>10</v>
    </nc>
  </rcc>
  <rcc rId="3944" sId="11" numFmtId="4">
    <nc r="G177">
      <v>10</v>
    </nc>
  </rcc>
  <rcc rId="3945" sId="11" numFmtId="4">
    <nc r="H177">
      <v>12</v>
    </nc>
  </rcc>
  <rcc rId="3946" sId="11" numFmtId="4">
    <nc r="C178">
      <v>2</v>
    </nc>
  </rcc>
  <rcc rId="3947" sId="11" numFmtId="4">
    <nc r="D178">
      <v>13</v>
    </nc>
  </rcc>
  <rcc rId="3948" sId="11" numFmtId="4">
    <nc r="E178">
      <v>10</v>
    </nc>
  </rcc>
  <rcc rId="3949" sId="11" numFmtId="4">
    <nc r="F178">
      <v>10</v>
    </nc>
  </rcc>
  <rcc rId="3950" sId="11" numFmtId="4">
    <nc r="G178">
      <v>10</v>
    </nc>
  </rcc>
  <rcc rId="3951" sId="11" numFmtId="4">
    <nc r="H178">
      <v>0</v>
    </nc>
  </rcc>
  <rcc rId="3952" sId="11" numFmtId="4">
    <nc r="C179">
      <v>5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>
  <rcc rId="3953" sId="11" numFmtId="4">
    <nc r="D179">
      <v>15</v>
    </nc>
  </rcc>
  <rcc rId="3954" sId="11" numFmtId="4">
    <nc r="E179">
      <v>8</v>
    </nc>
  </rcc>
  <rcc rId="3955" sId="11" numFmtId="4">
    <nc r="F179">
      <v>1</v>
    </nc>
  </rcc>
  <rcc rId="3956" sId="11" numFmtId="4">
    <nc r="G179">
      <v>10</v>
    </nc>
  </rcc>
  <rcc rId="3957" sId="11" numFmtId="4">
    <nc r="H179">
      <v>0</v>
    </nc>
  </rcc>
  <rcc rId="3958" sId="11" numFmtId="4">
    <nc r="C180">
      <v>2</v>
    </nc>
  </rcc>
  <rcc rId="3959" sId="11" numFmtId="4">
    <nc r="D180">
      <v>11</v>
    </nc>
  </rcc>
  <rcc rId="3960" sId="11" numFmtId="4">
    <nc r="E180">
      <v>20</v>
    </nc>
  </rcc>
  <rcc rId="3961" sId="11" numFmtId="4">
    <nc r="F180">
      <v>12</v>
    </nc>
  </rcc>
  <rcc rId="3962" sId="11" numFmtId="4">
    <nc r="G180">
      <v>10</v>
    </nc>
  </rcc>
  <rcc rId="3963" sId="11" numFmtId="4">
    <nc r="H180">
      <v>10</v>
    </nc>
  </rcc>
  <rcc rId="3964" sId="11" numFmtId="4">
    <nc r="C181">
      <v>2</v>
    </nc>
  </rcc>
  <rcc rId="3965" sId="11" numFmtId="4">
    <nc r="D181">
      <v>10</v>
    </nc>
  </rcc>
  <rcc rId="3966" sId="11" numFmtId="4">
    <nc r="E181">
      <v>10</v>
    </nc>
  </rcc>
  <rcc rId="3967" sId="11" numFmtId="4">
    <nc r="F181">
      <v>10</v>
    </nc>
  </rcc>
  <rcc rId="3968" sId="11" numFmtId="4">
    <nc r="G181">
      <v>15</v>
    </nc>
  </rcc>
  <rcc rId="3969" sId="11" numFmtId="4">
    <nc r="H181">
      <v>4</v>
    </nc>
  </rcc>
  <rcc rId="3970" sId="11" numFmtId="4">
    <nc r="C182">
      <v>2</v>
    </nc>
  </rcc>
  <rcc rId="3971" sId="11" numFmtId="4">
    <nc r="D182">
      <v>12</v>
    </nc>
  </rcc>
  <rcc rId="3972" sId="11" numFmtId="4">
    <nc r="E182">
      <v>10</v>
    </nc>
  </rcc>
  <rcc rId="3973" sId="11" numFmtId="4">
    <nc r="F182">
      <v>10</v>
    </nc>
  </rcc>
  <rcc rId="3974" sId="11" numFmtId="4">
    <nc r="G182">
      <v>10</v>
    </nc>
  </rcc>
  <rcc rId="3975" sId="11" numFmtId="4">
    <nc r="H182">
      <v>13</v>
    </nc>
  </rcc>
  <rcc rId="3976" sId="11" numFmtId="4">
    <nc r="C183">
      <v>12</v>
    </nc>
  </rcc>
  <rcc rId="3977" sId="11" numFmtId="4">
    <nc r="D183">
      <v>14</v>
    </nc>
  </rcc>
  <rcc rId="3978" sId="11" numFmtId="4">
    <nc r="E183">
      <v>6</v>
    </nc>
  </rcc>
  <rcc rId="3979" sId="11" numFmtId="4">
    <nc r="F183">
      <v>1</v>
    </nc>
  </rcc>
  <rcc rId="3980" sId="11" numFmtId="4">
    <nc r="G183">
      <v>8</v>
    </nc>
  </rcc>
  <rcc rId="3981" sId="11" numFmtId="4">
    <nc r="H183">
      <v>0</v>
    </nc>
  </rcc>
  <rcc rId="3982" sId="11" numFmtId="4">
    <nc r="C184">
      <v>12</v>
    </nc>
  </rcc>
  <rcc rId="3983" sId="11" numFmtId="4">
    <nc r="D184">
      <v>13</v>
    </nc>
  </rcc>
  <rcc rId="3984" sId="11" numFmtId="4">
    <nc r="E184">
      <v>12</v>
    </nc>
  </rcc>
  <rcc rId="3985" sId="11" numFmtId="4">
    <nc r="F184">
      <v>2</v>
    </nc>
  </rcc>
  <rcc rId="3986" sId="11" numFmtId="4">
    <nc r="G184">
      <v>15</v>
    </nc>
  </rcc>
  <rcc rId="3987" sId="11" numFmtId="4">
    <nc r="H184">
      <v>0</v>
    </nc>
  </rcc>
  <rcc rId="3988" sId="11" numFmtId="4">
    <nc r="C185">
      <v>12</v>
    </nc>
  </rcc>
  <rcc rId="3989" sId="11" numFmtId="4">
    <nc r="D185">
      <v>12</v>
    </nc>
  </rcc>
  <rcc rId="3990" sId="11" numFmtId="4">
    <nc r="E185">
      <v>12</v>
    </nc>
  </rcc>
  <rcc rId="3991" sId="11" numFmtId="4">
    <nc r="F185">
      <v>1</v>
    </nc>
  </rcc>
  <rcc rId="3992" sId="11" numFmtId="4">
    <nc r="G185">
      <v>14</v>
    </nc>
  </rcc>
  <rcc rId="3993" sId="11" numFmtId="4">
    <nc r="H185">
      <v>0</v>
    </nc>
  </rcc>
  <rcc rId="3994" sId="11" numFmtId="4">
    <nc r="C186">
      <v>12</v>
    </nc>
  </rcc>
  <rcc rId="3995" sId="11" numFmtId="4">
    <nc r="D186">
      <v>11</v>
    </nc>
  </rcc>
  <rcc rId="3996" sId="11" numFmtId="4">
    <nc r="E186">
      <v>5</v>
    </nc>
  </rcc>
  <rcc rId="3997" sId="11" numFmtId="4">
    <nc r="F186">
      <v>2</v>
    </nc>
  </rcc>
  <rcc rId="3998" sId="11" numFmtId="4">
    <nc r="G186">
      <v>10</v>
    </nc>
  </rcc>
  <rcc rId="3999" sId="11" numFmtId="4">
    <nc r="H186">
      <v>0</v>
    </nc>
  </rcc>
  <rcc rId="4000" sId="11" numFmtId="4">
    <nc r="C187">
      <v>1</v>
    </nc>
  </rcc>
  <rcc rId="4001" sId="11" numFmtId="4">
    <nc r="D187">
      <v>15</v>
    </nc>
  </rcc>
  <rcc rId="4002" sId="11" numFmtId="4">
    <nc r="E187">
      <v>1</v>
    </nc>
  </rcc>
  <rcc rId="4003" sId="11" numFmtId="4">
    <nc r="F187">
      <v>0</v>
    </nc>
  </rcc>
  <rcc rId="4004" sId="11" numFmtId="4">
    <nc r="G187">
      <v>1</v>
    </nc>
  </rcc>
  <rcc rId="4005" sId="11" numFmtId="4">
    <nc r="H187">
      <v>0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>
  <rcc rId="4006" sId="11" numFmtId="4">
    <nc r="C188">
      <v>13</v>
    </nc>
  </rcc>
  <rcc rId="4007" sId="11" numFmtId="4">
    <nc r="D188">
      <v>14</v>
    </nc>
  </rcc>
  <rcc rId="4008" sId="11" numFmtId="4">
    <nc r="E188">
      <v>12</v>
    </nc>
  </rcc>
  <rcc rId="4009" sId="11" numFmtId="4">
    <nc r="F188">
      <v>8</v>
    </nc>
  </rcc>
  <rcc rId="4010" sId="11" numFmtId="4">
    <nc r="G188">
      <v>0</v>
    </nc>
  </rcc>
  <rcc rId="4011" sId="11" numFmtId="4">
    <nc r="H188">
      <v>0</v>
    </nc>
  </rcc>
  <rcc rId="4012" sId="8" numFmtId="4">
    <nc r="C215">
      <v>30</v>
    </nc>
  </rcc>
  <rcc rId="4013" sId="8" numFmtId="4">
    <nc r="D215">
      <v>12</v>
    </nc>
  </rcc>
  <rcc rId="4014" sId="8" numFmtId="4">
    <nc r="E215">
      <v>9</v>
    </nc>
  </rcc>
  <rcc rId="4015" sId="8" numFmtId="4">
    <nc r="F215">
      <v>24</v>
    </nc>
  </rcc>
  <rcc rId="4016" sId="8" numFmtId="4">
    <nc r="G215">
      <v>0</v>
    </nc>
  </rcc>
  <rcc rId="4017" sId="8" numFmtId="4">
    <nc r="C216">
      <v>21</v>
    </nc>
  </rcc>
  <rcc rId="4018" sId="8" numFmtId="4">
    <nc r="D216">
      <v>16</v>
    </nc>
  </rcc>
  <rcc rId="4019" sId="8" numFmtId="4">
    <nc r="E216">
      <v>4</v>
    </nc>
  </rcc>
  <rcc rId="4020" sId="8" numFmtId="4">
    <nc r="F216">
      <v>20</v>
    </nc>
  </rcc>
  <rcc rId="4021" sId="8" numFmtId="4">
    <nc r="G216">
      <v>1</v>
    </nc>
  </rcc>
  <rcc rId="4022" sId="8" numFmtId="4">
    <nc r="C217">
      <v>33</v>
    </nc>
  </rcc>
  <rcc rId="4023" sId="8" numFmtId="4">
    <nc r="D217">
      <v>14</v>
    </nc>
  </rcc>
  <rcc rId="4024" sId="8" numFmtId="4">
    <nc r="E217">
      <v>4</v>
    </nc>
  </rcc>
  <rcc rId="4025" sId="8" numFmtId="4">
    <nc r="F217">
      <v>21</v>
    </nc>
  </rcc>
  <rcc rId="4026" sId="8" numFmtId="4">
    <nc r="G217">
      <v>0</v>
    </nc>
  </rcc>
  <rcc rId="4027" sId="8" numFmtId="4">
    <nc r="C218">
      <v>32</v>
    </nc>
  </rcc>
  <rcc rId="4028" sId="8" numFmtId="4">
    <nc r="D218">
      <v>14</v>
    </nc>
  </rcc>
  <rcc rId="4029" sId="8" numFmtId="4">
    <nc r="E218">
      <v>14</v>
    </nc>
  </rcc>
  <rcc rId="4030" sId="8" numFmtId="4">
    <nc r="F218">
      <v>28</v>
    </nc>
  </rcc>
  <rcc rId="4031" sId="8" numFmtId="4">
    <nc r="G218">
      <v>4</v>
    </nc>
  </rcc>
  <rcc rId="4032" sId="8" numFmtId="4">
    <nc r="C219">
      <v>29</v>
    </nc>
  </rcc>
  <rcc rId="4033" sId="8" numFmtId="4">
    <nc r="D219">
      <v>16</v>
    </nc>
  </rcc>
  <rcc rId="4034" sId="8" numFmtId="4">
    <nc r="E219">
      <v>15</v>
    </nc>
  </rcc>
  <rcc rId="4035" sId="8" numFmtId="4">
    <nc r="F219">
      <v>10</v>
    </nc>
  </rcc>
  <rcc rId="4036" sId="8" numFmtId="4">
    <nc r="G219">
      <v>0</v>
    </nc>
  </rcc>
  <rcc rId="4037" sId="8" numFmtId="4">
    <nc r="C220">
      <v>34</v>
    </nc>
  </rcc>
  <rcc rId="4038" sId="8" numFmtId="4">
    <nc r="D220">
      <v>16</v>
    </nc>
  </rcc>
  <rcc rId="4039" sId="8" numFmtId="4">
    <nc r="E220">
      <v>11</v>
    </nc>
  </rcc>
  <rcc rId="4040" sId="8" numFmtId="4">
    <nc r="F220">
      <v>32</v>
    </nc>
  </rcc>
  <rcc rId="4041" sId="8" numFmtId="4">
    <nc r="G220">
      <v>0</v>
    </nc>
  </rcc>
  <rcc rId="4042" sId="8" numFmtId="4">
    <nc r="C221">
      <v>29</v>
    </nc>
  </rcc>
  <rcc rId="4043" sId="8" numFmtId="4">
    <nc r="D221">
      <v>15</v>
    </nc>
  </rcc>
  <rcc rId="4044" sId="8" numFmtId="4">
    <nc r="E221">
      <v>10</v>
    </nc>
  </rcc>
  <rcc rId="4045" sId="8" numFmtId="4">
    <nc r="F221">
      <v>14</v>
    </nc>
  </rcc>
  <rcc rId="4046" sId="8" numFmtId="4">
    <nc r="G221">
      <v>9</v>
    </nc>
  </rcc>
  <rcc rId="4047" sId="8" numFmtId="4">
    <nc r="C222">
      <v>29</v>
    </nc>
  </rcc>
  <rcc rId="4048" sId="8" numFmtId="4">
    <nc r="D222">
      <v>14</v>
    </nc>
  </rcc>
  <rcc rId="4049" sId="8" numFmtId="4">
    <nc r="E222">
      <v>9</v>
    </nc>
  </rcc>
  <rcc rId="4050" sId="8" numFmtId="4">
    <nc r="F222">
      <v>16</v>
    </nc>
  </rcc>
  <rcc rId="4051" sId="8" numFmtId="4">
    <nc r="G222">
      <v>1</v>
    </nc>
  </rcc>
  <rcc rId="4052" sId="8" numFmtId="4">
    <nc r="C223">
      <v>21</v>
    </nc>
  </rcc>
  <rcc rId="4053" sId="8" numFmtId="4">
    <nc r="D223">
      <v>17</v>
    </nc>
  </rcc>
  <rcc rId="4054" sId="8" numFmtId="4">
    <nc r="E223">
      <v>1</v>
    </nc>
  </rcc>
  <rcc rId="4055" sId="8" numFmtId="4">
    <nc r="F223">
      <v>23</v>
    </nc>
  </rcc>
  <rcc rId="4056" sId="8" numFmtId="4">
    <nc r="G223">
      <v>1</v>
    </nc>
  </rcc>
  <rcc rId="4057" sId="8" numFmtId="4">
    <nc r="C224">
      <v>27</v>
    </nc>
  </rcc>
  <rcc rId="4058" sId="8" numFmtId="4">
    <nc r="D224">
      <v>14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>
  <rcc rId="4059" sId="8" numFmtId="4">
    <nc r="E224">
      <v>6</v>
    </nc>
  </rcc>
  <rcc rId="4060" sId="8" numFmtId="4">
    <nc r="F224">
      <v>23</v>
    </nc>
  </rcc>
  <rcc rId="4061" sId="8" numFmtId="4">
    <nc r="G224">
      <v>3</v>
    </nc>
  </rcc>
  <rcc rId="4062" sId="8" numFmtId="4">
    <nc r="C225">
      <v>27</v>
    </nc>
  </rcc>
  <rcc rId="4063" sId="8" numFmtId="4">
    <nc r="D225">
      <v>13</v>
    </nc>
  </rcc>
  <rcc rId="4064" sId="8" numFmtId="4">
    <nc r="E225">
      <v>13</v>
    </nc>
  </rcc>
  <rcc rId="4065" sId="8" numFmtId="4">
    <nc r="F225">
      <v>17</v>
    </nc>
  </rcc>
  <rcc rId="4066" sId="8" numFmtId="4">
    <nc r="G225">
      <v>1</v>
    </nc>
  </rcc>
  <rcc rId="4067" sId="11" numFmtId="4">
    <nc r="C189">
      <v>13</v>
    </nc>
  </rcc>
  <rcc rId="4068" sId="11" numFmtId="4">
    <nc r="D189">
      <v>16</v>
    </nc>
  </rcc>
  <rcc rId="4069" sId="11" numFmtId="4">
    <nc r="E189">
      <v>6</v>
    </nc>
  </rcc>
  <rcc rId="4070" sId="11" numFmtId="4">
    <nc r="F189">
      <v>0</v>
    </nc>
  </rcc>
  <rcc rId="4071" sId="11" numFmtId="4">
    <nc r="G189">
      <v>25</v>
    </nc>
  </rcc>
  <rcc rId="4072" sId="11" numFmtId="4">
    <nc r="H189">
      <v>0</v>
    </nc>
  </rcc>
  <rcc rId="4073" sId="11" numFmtId="4">
    <nc r="C190">
      <v>5</v>
    </nc>
  </rcc>
  <rcc rId="4074" sId="11" numFmtId="4">
    <nc r="D190">
      <v>16</v>
    </nc>
  </rcc>
  <rcc rId="4075" sId="11" numFmtId="4">
    <nc r="E190">
      <v>14</v>
    </nc>
  </rcc>
  <rcc rId="4076" sId="11" numFmtId="4">
    <nc r="F190">
      <v>5</v>
    </nc>
  </rcc>
  <rcc rId="4077" sId="11" numFmtId="4">
    <nc r="G190">
      <v>14</v>
    </nc>
  </rcc>
  <rcc rId="4078" sId="11" numFmtId="4">
    <nc r="H190">
      <v>0</v>
    </nc>
  </rcc>
  <rcc rId="4079" sId="5" numFmtId="4">
    <nc r="B206">
      <v>18</v>
    </nc>
  </rcc>
  <rcc rId="4080" sId="5" numFmtId="4">
    <nc r="B207">
      <v>18</v>
    </nc>
  </rcc>
  <rcc rId="4081" sId="5" numFmtId="4">
    <nc r="B208">
      <v>18</v>
    </nc>
  </rcc>
  <rcc rId="4082" sId="5" numFmtId="4">
    <nc r="B209">
      <v>18</v>
    </nc>
  </rcc>
  <rcc rId="4083" sId="5" numFmtId="4">
    <nc r="B210">
      <v>18</v>
    </nc>
  </rcc>
  <rcc rId="4084" sId="5" numFmtId="4">
    <nc r="B211">
      <v>18</v>
    </nc>
  </rcc>
  <rcc rId="4085" sId="5" numFmtId="4">
    <nc r="B212">
      <v>18</v>
    </nc>
  </rcc>
  <rcc rId="4086" sId="5" numFmtId="4">
    <nc r="B213">
      <v>18</v>
    </nc>
  </rcc>
  <rcc rId="4087" sId="5" numFmtId="4">
    <nc r="B214">
      <v>18</v>
    </nc>
  </rcc>
  <rcc rId="4088" sId="5" numFmtId="4">
    <nc r="B215">
      <v>18</v>
    </nc>
  </rcc>
  <rcc rId="4089" sId="5" numFmtId="4">
    <nc r="B216">
      <v>18</v>
    </nc>
  </rcc>
  <rcc rId="4090" sId="5" numFmtId="4">
    <nc r="C197">
      <v>50</v>
    </nc>
  </rcc>
  <rcc rId="4091" sId="5" numFmtId="4">
    <nc r="D197">
      <v>15</v>
    </nc>
  </rcc>
  <rcc rId="4092" sId="5" numFmtId="4">
    <nc r="E197">
      <v>14</v>
    </nc>
  </rcc>
  <rcc rId="4093" sId="5" numFmtId="4">
    <nc r="F197">
      <v>11</v>
    </nc>
  </rcc>
  <rcc rId="4094" sId="5" numFmtId="4">
    <nc r="G197">
      <v>0</v>
    </nc>
  </rcc>
  <rcc rId="4095" sId="5" numFmtId="4">
    <nc r="C198">
      <v>55</v>
    </nc>
  </rcc>
  <rcc rId="4096" sId="5" numFmtId="4">
    <nc r="D198">
      <v>18</v>
    </nc>
  </rcc>
  <rcc rId="4097" sId="5" numFmtId="4">
    <nc r="E198">
      <v>12</v>
    </nc>
  </rcc>
  <rcc rId="4098" sId="5" numFmtId="4">
    <nc r="F198">
      <v>11</v>
    </nc>
  </rcc>
  <rcc rId="4099" sId="5" numFmtId="4">
    <nc r="G198">
      <v>0</v>
    </nc>
  </rcc>
  <rcc rId="4100" sId="5" numFmtId="4">
    <nc r="C199">
      <v>38</v>
    </nc>
  </rcc>
  <rcc rId="4101" sId="5" numFmtId="4">
    <nc r="D199">
      <v>14</v>
    </nc>
  </rcc>
  <rcc rId="4102" sId="5" numFmtId="4">
    <nc r="E199">
      <v>7</v>
    </nc>
  </rcc>
  <rcc rId="4103" sId="5" numFmtId="4">
    <nc r="F199">
      <v>9</v>
    </nc>
  </rcc>
  <rcc rId="4104" sId="5" numFmtId="4">
    <nc r="G199">
      <v>10</v>
    </nc>
  </rcc>
  <rcc rId="4105" sId="5" numFmtId="4">
    <nc r="C200">
      <v>60</v>
    </nc>
  </rcc>
  <rcc rId="4106" sId="5" numFmtId="4">
    <nc r="D200">
      <v>10</v>
    </nc>
  </rcc>
  <rcc rId="4107" sId="5" numFmtId="4">
    <nc r="E200">
      <v>9</v>
    </nc>
  </rcc>
  <rcc rId="4108" sId="5" numFmtId="4">
    <nc r="F200">
      <v>16</v>
    </nc>
  </rcc>
  <rcc rId="4109" sId="5" numFmtId="4">
    <nc r="G200">
      <v>0</v>
    </nc>
  </rcc>
  <rcc rId="4110" sId="5" numFmtId="4">
    <nc r="C201">
      <v>60</v>
    </nc>
  </rcc>
  <rcc rId="4111" sId="5" numFmtId="4">
    <nc r="D201">
      <v>9</v>
    </nc>
  </rcc>
  <rcc rId="4112" sId="5" numFmtId="4">
    <nc r="E201">
      <v>7</v>
    </nc>
  </rcc>
  <rcc rId="4113" sId="5" numFmtId="4">
    <nc r="F201">
      <v>18</v>
    </nc>
  </rcc>
  <rcc rId="4114" sId="5" numFmtId="4">
    <nc r="G201">
      <v>0</v>
    </nc>
  </rcc>
  <rcc rId="4115" sId="5" numFmtId="4">
    <nc r="C202">
      <v>55</v>
    </nc>
  </rcc>
  <rcc rId="4116" sId="5" numFmtId="4">
    <nc r="D202">
      <v>19</v>
    </nc>
  </rcc>
  <rcc rId="4117" sId="5" numFmtId="4">
    <nc r="E202">
      <v>7</v>
    </nc>
  </rcc>
  <rcc rId="4118" sId="5" numFmtId="4">
    <nc r="F202">
      <v>8</v>
    </nc>
  </rcc>
  <rcc rId="4119" sId="5" numFmtId="4">
    <nc r="G202">
      <v>0</v>
    </nc>
  </rcc>
  <rcc rId="4120" sId="5" numFmtId="4">
    <nc r="C203">
      <v>51</v>
    </nc>
  </rcc>
  <rcc rId="4121" sId="5" numFmtId="4">
    <nc r="D203">
      <v>16</v>
    </nc>
  </rcc>
  <rcc rId="4122" sId="5" numFmtId="4">
    <nc r="E203">
      <v>6</v>
    </nc>
  </rcc>
  <rcc rId="4123" sId="5" numFmtId="4">
    <nc r="F203">
      <v>17</v>
    </nc>
  </rcc>
  <rcc rId="4124" sId="5" numFmtId="4">
    <nc r="G203">
      <v>1</v>
    </nc>
  </rcc>
  <rcc rId="4125" sId="5" numFmtId="4">
    <nc r="C204">
      <v>48</v>
    </nc>
  </rcc>
  <rcc rId="4126" sId="5" numFmtId="4">
    <nc r="D204">
      <v>14</v>
    </nc>
  </rcc>
  <rcc rId="4127" sId="5" numFmtId="4">
    <nc r="E204">
      <v>8</v>
    </nc>
  </rcc>
  <rcc rId="4128" sId="5" numFmtId="4">
    <nc r="F204">
      <v>12</v>
    </nc>
  </rcc>
  <rcc rId="4129" sId="5" numFmtId="4">
    <nc r="G204">
      <v>0</v>
    </nc>
  </rcc>
  <rcc rId="4130" sId="5" numFmtId="4">
    <nc r="C205">
      <v>44</v>
    </nc>
  </rcc>
  <rcc rId="4131" sId="5" numFmtId="4">
    <nc r="D205">
      <v>16</v>
    </nc>
  </rcc>
  <rcc rId="4132" sId="5" numFmtId="4">
    <nc r="E205">
      <v>7</v>
    </nc>
  </rcc>
  <rcc rId="4133" sId="5" numFmtId="4">
    <nc r="F205">
      <v>5</v>
    </nc>
  </rcc>
  <rcc rId="4134" sId="5" numFmtId="4">
    <nc r="G205">
      <v>2</v>
    </nc>
  </rcc>
  <rcc rId="4135" sId="5" numFmtId="4">
    <nc r="C206">
      <v>39</v>
    </nc>
  </rcc>
  <rcc rId="4136" sId="5" numFmtId="4">
    <nc r="D206">
      <v>16</v>
    </nc>
  </rcc>
  <rcc rId="4137" sId="5" numFmtId="4">
    <nc r="E206">
      <v>10</v>
    </nc>
  </rcc>
  <rcc rId="4138" sId="5" numFmtId="4">
    <nc r="F206">
      <v>8</v>
    </nc>
  </rcc>
  <rcc rId="4139" sId="5" numFmtId="4">
    <nc r="G206">
      <v>6</v>
    </nc>
  </rcc>
  <rcc rId="4140" sId="5" numFmtId="4">
    <nc r="C207">
      <v>49</v>
    </nc>
  </rcc>
  <rcc rId="4141" sId="5" numFmtId="4">
    <nc r="D207">
      <v>16</v>
    </nc>
  </rcc>
  <rcc rId="4142" sId="5" numFmtId="4">
    <nc r="E207">
      <v>5</v>
    </nc>
  </rcc>
  <rcc rId="4143" sId="5" numFmtId="4">
    <nc r="F207">
      <v>4</v>
    </nc>
  </rcc>
  <rcc rId="4144" sId="5" numFmtId="4">
    <nc r="G207">
      <v>2</v>
    </nc>
  </rcc>
  <rcc rId="4145" sId="5" numFmtId="4">
    <nc r="C208">
      <v>55</v>
    </nc>
  </rcc>
  <rcc rId="4146" sId="5" numFmtId="4">
    <nc r="D208">
      <v>19</v>
    </nc>
  </rcc>
  <rcc rId="4147" sId="5" numFmtId="4">
    <nc r="E208">
      <v>7</v>
    </nc>
  </rcc>
  <rcc rId="4148" sId="5" numFmtId="4">
    <nc r="F208">
      <v>8</v>
    </nc>
  </rcc>
  <rcc rId="4149" sId="5" numFmtId="4">
    <nc r="G208">
      <v>0</v>
    </nc>
  </rcc>
  <rcc rId="4150" sId="5" numFmtId="4">
    <nc r="C209">
      <v>55</v>
    </nc>
  </rcc>
  <rcc rId="4151" sId="5" numFmtId="4">
    <nc r="D209">
      <v>20</v>
    </nc>
  </rcc>
  <rcc rId="4152" sId="5" numFmtId="4">
    <nc r="E209">
      <v>8</v>
    </nc>
  </rcc>
  <rcc rId="4153" sId="5" numFmtId="4">
    <nc r="F209">
      <v>8</v>
    </nc>
  </rcc>
  <rcc rId="4154" sId="5" numFmtId="4">
    <nc r="G209">
      <v>0</v>
    </nc>
  </rcc>
  <rcc rId="4155" sId="5" numFmtId="4">
    <nc r="C210">
      <v>44</v>
    </nc>
  </rcc>
  <rcc rId="4156" sId="5" numFmtId="4">
    <nc r="D210">
      <v>17</v>
    </nc>
  </rcc>
  <rcc rId="4157" sId="5" numFmtId="4">
    <nc r="E210">
      <v>6</v>
    </nc>
  </rcc>
  <rcc rId="4158" sId="5" numFmtId="4">
    <nc r="F210">
      <v>8</v>
    </nc>
  </rcc>
  <rcc rId="4159" sId="5" numFmtId="4">
    <nc r="G210">
      <v>1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>
  <rcv guid="{242CE75B-5318-4B80-8985-D15BFA50C3F5}" action="delete"/>
  <rdn rId="0" localSheetId="3" customView="1" name="Z_242CE75B_5318_4B80_8985_D15BFA50C3F5_.wvu.PrintArea" hidden="1" oldHidden="1">
    <formula>GTrujillo!$A$1:$K$20</formula>
    <oldFormula>GTrujillo!$A$1:$K$20</oldFormula>
  </rdn>
  <rdn rId="0" localSheetId="6" customView="1" name="Z_242CE75B_5318_4B80_8985_D15BFA50C3F5_.wvu.PrintArea" hidden="1" oldHidden="1">
    <formula>GTáchira!$A$1:$K$24</formula>
    <oldFormula>GTáchira!$A$1:$K$24</oldFormula>
  </rdn>
  <rdn rId="0" localSheetId="9" customView="1" name="Z_242CE75B_5318_4B80_8985_D15BFA50C3F5_.wvu.PrintArea" hidden="1" oldHidden="1">
    <formula>GMérida!$A$1:$K$23</formula>
    <oldFormula>GMérida!$A$1:$K$23</oldFormula>
  </rdn>
  <rdn rId="0" localSheetId="12" customView="1" name="Z_242CE75B_5318_4B80_8985_D15BFA50C3F5_.wvu.PrintArea" hidden="1" oldHidden="1">
    <formula>GBarinas!$A$1:$K$24</formula>
    <oldFormula>GBarinas!$A$1:$K$24</oldFormula>
  </rdn>
  <rcv guid="{242CE75B-5318-4B80-8985-D15BFA50C3F5}" action="add"/>
</revisions>
</file>

<file path=xl/revisions/revisionLog111.xml><?xml version="1.0" encoding="utf-8"?>
<revisions xmlns="http://schemas.openxmlformats.org/spreadsheetml/2006/main" xmlns:r="http://schemas.openxmlformats.org/officeDocument/2006/relationships">
  <rcv guid="{242CE75B-5318-4B80-8985-D15BFA50C3F5}" action="add"/>
</revisions>
</file>

<file path=xl/revisions/revisionLog112.xml><?xml version="1.0" encoding="utf-8"?>
<revisions xmlns="http://schemas.openxmlformats.org/spreadsheetml/2006/main" xmlns:r="http://schemas.openxmlformats.org/officeDocument/2006/relationships">
  <rcv guid="{242CE75B-5318-4B80-8985-D15BFA50C3F5}" action="delete"/>
  <rdn rId="0" localSheetId="3" customView="1" name="Z_242CE75B_5318_4B80_8985_D15BFA50C3F5_.wvu.PrintArea" hidden="1" oldHidden="1">
    <formula>GTrujillo!$A$1:$K$20</formula>
    <oldFormula>GTrujillo!$A$1:$K$20</oldFormula>
  </rdn>
  <rdn rId="0" localSheetId="6" customView="1" name="Z_242CE75B_5318_4B80_8985_D15BFA50C3F5_.wvu.PrintArea" hidden="1" oldHidden="1">
    <formula>GTáchira!$A$1:$K$24</formula>
    <oldFormula>GTáchira!$A$1:$K$24</oldFormula>
  </rdn>
  <rdn rId="0" localSheetId="9" customView="1" name="Z_242CE75B_5318_4B80_8985_D15BFA50C3F5_.wvu.PrintArea" hidden="1" oldHidden="1">
    <formula>GMérida!$A$1:$K$23</formula>
    <oldFormula>GMérida!$A$1:$K$23</oldFormula>
  </rdn>
  <rdn rId="0" localSheetId="12" customView="1" name="Z_242CE75B_5318_4B80_8985_D15BFA50C3F5_.wvu.PrintArea" hidden="1" oldHidden="1">
    <formula>GBarinas!$A$1:$K$24</formula>
    <oldFormula>GBarinas!$A$1:$K$24</oldFormula>
  </rdn>
  <rcv guid="{242CE75B-5318-4B80-8985-D15BFA50C3F5}" action="add"/>
</revisions>
</file>

<file path=xl/revisions/revisionLog121.xml><?xml version="1.0" encoding="utf-8"?>
<revisions xmlns="http://schemas.openxmlformats.org/spreadsheetml/2006/main" xmlns:r="http://schemas.openxmlformats.org/officeDocument/2006/relationships">
  <rcc rId="1326" sId="8" numFmtId="4">
    <nc r="F75">
      <v>11</v>
    </nc>
  </rcc>
  <rcv guid="{2EA3A6B8-61D5-4EF1-87B1-B14945A241CD}" action="delete"/>
  <rcv guid="{2EA3A6B8-61D5-4EF1-87B1-B14945A241CD}" action="add"/>
</revisions>
</file>

<file path=xl/revisions/revisionLog131.xml><?xml version="1.0" encoding="utf-8"?>
<revisions xmlns="http://schemas.openxmlformats.org/spreadsheetml/2006/main" xmlns:r="http://schemas.openxmlformats.org/officeDocument/2006/relationships">
  <rcc rId="592" sId="5" numFmtId="4">
    <nc r="B45">
      <v>18</v>
    </nc>
  </rcc>
  <rcc rId="593" sId="5" numFmtId="4">
    <nc r="B46">
      <v>18</v>
    </nc>
  </rcc>
  <rcc rId="594" sId="5" numFmtId="4">
    <nc r="B47">
      <v>18</v>
    </nc>
  </rcc>
  <rcc rId="595" sId="5" numFmtId="4">
    <nc r="B48">
      <v>18</v>
    </nc>
  </rcc>
  <rcc rId="596" sId="5" numFmtId="4">
    <nc r="B49">
      <v>18</v>
    </nc>
  </rcc>
  <rcc rId="597" sId="5" numFmtId="4">
    <nc r="C45">
      <v>62</v>
    </nc>
  </rcc>
  <rcc rId="598" sId="5" numFmtId="4">
    <nc r="D45">
      <v>4</v>
    </nc>
  </rcc>
  <rcc rId="599" sId="5" numFmtId="4">
    <nc r="E45">
      <v>12</v>
    </nc>
  </rcc>
  <rcc rId="600" sId="5" numFmtId="4">
    <nc r="F45">
      <v>12</v>
    </nc>
  </rcc>
  <rcc rId="601" sId="5" numFmtId="4">
    <nc r="G45">
      <v>1</v>
    </nc>
  </rcc>
  <rcc rId="602" sId="5" numFmtId="4">
    <nc r="C46">
      <v>62</v>
    </nc>
  </rcc>
  <rcc rId="603" sId="5" numFmtId="4">
    <nc r="D46">
      <v>3</v>
    </nc>
  </rcc>
  <rcc rId="604" sId="5" numFmtId="4">
    <nc r="E46">
      <v>10</v>
    </nc>
  </rcc>
  <rcc rId="605" sId="5" numFmtId="4">
    <nc r="F46">
      <v>12</v>
    </nc>
  </rcc>
  <rcc rId="606" sId="5" numFmtId="4">
    <nc r="G46">
      <v>3</v>
    </nc>
  </rcc>
</revisions>
</file>

<file path=xl/revisions/revisionLog141.xml><?xml version="1.0" encoding="utf-8"?>
<revisions xmlns="http://schemas.openxmlformats.org/spreadsheetml/2006/main" xmlns:r="http://schemas.openxmlformats.org/officeDocument/2006/relationships">
  <rcv guid="{242CE75B-5318-4B80-8985-D15BFA50C3F5}" action="delete"/>
  <rdn rId="0" localSheetId="3" customView="1" name="Z_242CE75B_5318_4B80_8985_D15BFA50C3F5_.wvu.PrintArea" hidden="1" oldHidden="1">
    <formula>GTrujillo!$A$1:$K$20</formula>
  </rdn>
  <rdn rId="0" localSheetId="6" customView="1" name="Z_242CE75B_5318_4B80_8985_D15BFA50C3F5_.wvu.PrintArea" hidden="1" oldHidden="1">
    <formula>GTáchira!$A$1:$K$24</formula>
  </rdn>
  <rdn rId="0" localSheetId="9" customView="1" name="Z_242CE75B_5318_4B80_8985_D15BFA50C3F5_.wvu.PrintArea" hidden="1" oldHidden="1">
    <formula>GMérida!$A$1:$K$23</formula>
  </rdn>
  <rdn rId="0" localSheetId="12" customView="1" name="Z_242CE75B_5318_4B80_8985_D15BFA50C3F5_.wvu.PrintArea" hidden="1" oldHidden="1">
    <formula>GBarinas!$A$1:$K$24</formula>
  </rdn>
  <rcv guid="{242CE75B-5318-4B80-8985-D15BFA50C3F5}" action="add"/>
</revisions>
</file>

<file path=xl/revisions/revisionLog191.xml><?xml version="1.0" encoding="utf-8"?>
<revisions xmlns="http://schemas.openxmlformats.org/spreadsheetml/2006/main" xmlns:r="http://schemas.openxmlformats.org/officeDocument/2006/relationships">
  <rcc rId="819" sId="11" numFmtId="4">
    <nc r="C28">
      <v>8</v>
    </nc>
  </rcc>
  <rcc rId="820" sId="11" numFmtId="4">
    <nc r="D28">
      <v>4</v>
    </nc>
  </rcc>
  <rcc rId="821" sId="11" numFmtId="4">
    <nc r="E28">
      <v>3</v>
    </nc>
  </rcc>
  <rcc rId="822" sId="11" numFmtId="4">
    <nc r="F28">
      <v>1</v>
    </nc>
  </rcc>
  <rcc rId="823" sId="11" numFmtId="4">
    <nc r="G28">
      <v>5</v>
    </nc>
  </rcc>
  <rcc rId="824" sId="11" numFmtId="4">
    <nc r="H28">
      <v>0</v>
    </nc>
  </rcc>
  <rcc rId="825" sId="11" numFmtId="4">
    <nc r="C29">
      <v>12</v>
    </nc>
  </rcc>
  <rcc rId="826" sId="11" numFmtId="4">
    <nc r="D29">
      <v>3</v>
    </nc>
  </rcc>
  <rcc rId="827" sId="11" numFmtId="4">
    <nc r="E29">
      <v>13</v>
    </nc>
  </rcc>
  <rcc rId="828" sId="11" numFmtId="4">
    <nc r="F29">
      <v>1</v>
    </nc>
  </rcc>
  <rcc rId="829" sId="11" numFmtId="4">
    <nc r="G29">
      <v>2</v>
    </nc>
  </rcc>
  <rcc rId="830" sId="11" numFmtId="4">
    <nc r="H29">
      <v>0</v>
    </nc>
  </rcc>
  <rcc rId="831" sId="11" numFmtId="4">
    <nc r="C30">
      <v>5</v>
    </nc>
  </rcc>
  <rcc rId="832" sId="11" numFmtId="4">
    <nc r="D30">
      <v>5</v>
    </nc>
  </rcc>
  <rcc rId="833" sId="11" numFmtId="4">
    <nc r="E30">
      <v>5</v>
    </nc>
  </rcc>
  <rcc rId="834" sId="11" numFmtId="4">
    <nc r="F30">
      <v>2</v>
    </nc>
  </rcc>
  <rcc rId="835" sId="11" numFmtId="4">
    <nc r="G30">
      <v>13</v>
    </nc>
  </rcc>
  <rcc rId="836" sId="11" numFmtId="4">
    <nc r="H30">
      <v>0</v>
    </nc>
  </rcc>
  <rcc rId="837" sId="11" numFmtId="4">
    <nc r="C31">
      <v>5</v>
    </nc>
  </rcc>
  <rcc rId="838" sId="11" numFmtId="4">
    <nc r="D31">
      <v>2</v>
    </nc>
  </rcc>
  <rcc rId="839" sId="11" numFmtId="4">
    <nc r="E31">
      <v>11</v>
    </nc>
  </rcc>
  <rcc rId="840" sId="11" numFmtId="4">
    <nc r="F31">
      <v>13</v>
    </nc>
  </rcc>
  <rcc rId="841" sId="11" numFmtId="4">
    <nc r="G31">
      <v>11</v>
    </nc>
  </rcc>
  <rcc rId="842" sId="11" numFmtId="4">
    <nc r="H31">
      <v>0</v>
    </nc>
  </rcc>
</revisions>
</file>

<file path=xl/revisions/revisionLog1111.xml><?xml version="1.0" encoding="utf-8"?>
<revisions xmlns="http://schemas.openxmlformats.org/spreadsheetml/2006/main" xmlns:r="http://schemas.openxmlformats.org/officeDocument/2006/relationships">
  <rcv guid="{2EA3A6B8-61D5-4EF1-87B1-B14945A241CD}" action="add"/>
</revisions>
</file>

<file path=xl/revisions/revisionLog1211.xml><?xml version="1.0" encoding="utf-8"?>
<revisions xmlns="http://schemas.openxmlformats.org/spreadsheetml/2006/main" xmlns:r="http://schemas.openxmlformats.org/officeDocument/2006/relationships">
  <rcc rId="580" sId="11" numFmtId="4">
    <nc r="C21">
      <v>6</v>
    </nc>
  </rcc>
  <rcc rId="581" sId="11" numFmtId="4">
    <nc r="D21">
      <v>5</v>
    </nc>
  </rcc>
  <rcc rId="582" sId="11" numFmtId="4">
    <nc r="E21">
      <v>5</v>
    </nc>
  </rcc>
  <rcc rId="583" sId="11" numFmtId="4">
    <nc r="F21">
      <v>1</v>
    </nc>
  </rcc>
  <rcc rId="584" sId="11" numFmtId="4">
    <nc r="G21">
      <v>5</v>
    </nc>
  </rcc>
  <rcc rId="585" sId="11" numFmtId="4">
    <nc r="H21">
      <v>4</v>
    </nc>
  </rcc>
  <rcc rId="586" sId="11" numFmtId="4">
    <nc r="C22">
      <v>6</v>
    </nc>
  </rcc>
  <rcc rId="587" sId="11" numFmtId="4">
    <nc r="D22">
      <v>4</v>
    </nc>
  </rcc>
  <rcc rId="588" sId="11" numFmtId="4">
    <nc r="E22">
      <v>9</v>
    </nc>
  </rcc>
  <rcc rId="589" sId="11" numFmtId="4">
    <nc r="F22">
      <v>0</v>
    </nc>
  </rcc>
  <rcc rId="590" sId="11" numFmtId="4">
    <nc r="G22">
      <v>11</v>
    </nc>
  </rcc>
  <rcc rId="591" sId="11" numFmtId="4">
    <nc r="H22">
      <v>13</v>
    </nc>
  </rcc>
</revisions>
</file>

<file path=xl/revisions/revisionLog1411.xml><?xml version="1.0" encoding="utf-8"?>
<revisions xmlns="http://schemas.openxmlformats.org/spreadsheetml/2006/main" xmlns:r="http://schemas.openxmlformats.org/officeDocument/2006/relationships">
  <rcc rId="607" sId="11" numFmtId="4">
    <nc r="C23">
      <v>13</v>
    </nc>
  </rcc>
  <rcc rId="608" sId="11" numFmtId="4">
    <nc r="D23">
      <v>6</v>
    </nc>
  </rcc>
  <rcc rId="609" sId="11" numFmtId="4">
    <nc r="E23">
      <v>14</v>
    </nc>
  </rcc>
  <rcc rId="610" sId="11" numFmtId="4">
    <nc r="F23">
      <v>0</v>
    </nc>
  </rcc>
  <rcc rId="611" sId="11" numFmtId="4">
    <nc r="G23">
      <v>0</v>
    </nc>
  </rcc>
  <rcc rId="612" sId="11" numFmtId="4">
    <nc r="H23">
      <v>0</v>
    </nc>
  </rcc>
</revisions>
</file>

<file path=xl/revisions/revisionLog11111.xml><?xml version="1.0" encoding="utf-8"?>
<revisions xmlns="http://schemas.openxmlformats.org/spreadsheetml/2006/main" xmlns:r="http://schemas.openxmlformats.org/officeDocument/2006/relationships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7">
  <userInfo guid="{47F7BC8F-0E15-41AB-AAE6-DC48B9EE99CB}" name=" " id="-838168457" dateTime="2008-11-23T13:37:23"/>
  <userInfo guid="{47F7BC8F-0E15-41AB-AAE6-DC48B9EE99CB}" name=" " id="-838177891" dateTime="2008-11-23T13:39:16"/>
  <userInfo guid="{47F7BC8F-0E15-41AB-AAE6-DC48B9EE99CB}" name=" " id="-838172690" dateTime="2008-11-23T13:38:53"/>
  <userInfo guid="{47F7BC8F-0E15-41AB-AAE6-DC48B9EE99CB}" name=" " id="-838178217" dateTime="2008-11-23T11:34:10"/>
  <userInfo guid="{5F0E1C02-0B23-490B-BB40-48B0FC3D5AD0}" name="PLM" id="-844090235" dateTime="2008-11-23T07:48:37"/>
  <userInfo guid="{F21E6F54-2871-4C0B-B142-1AD75B2B2331}" name=" " id="-838170245" dateTime="2008-11-23T15:56:43"/>
  <userInfo guid="{A623DA6B-365C-49C5-BDDB-A98874278977}" name="PLM" id="-844071861" dateTime="2008-11-23T13:42:52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3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N20"/>
  <sheetViews>
    <sheetView showGridLines="0" showRowColHeaders="0" topLeftCell="A5" workbookViewId="0">
      <selection activeCell="K17" sqref="K17"/>
    </sheetView>
  </sheetViews>
  <sheetFormatPr baseColWidth="10" defaultColWidth="11.5703125" defaultRowHeight="12.75"/>
  <cols>
    <col min="1" max="16384" width="11.5703125" style="13"/>
  </cols>
  <sheetData>
    <row r="1" spans="3:14" ht="30" customHeight="1"/>
    <row r="2" spans="3:14" ht="30" customHeight="1"/>
    <row r="3" spans="3:14" ht="30" customHeight="1"/>
    <row r="4" spans="3:14" ht="30" customHeight="1"/>
    <row r="6" spans="3:14" ht="42" customHeight="1"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spans="3:14" s="76" customFormat="1" ht="42" customHeight="1">
      <c r="C7" s="163" t="s">
        <v>29</v>
      </c>
      <c r="D7" s="163"/>
      <c r="E7" s="163"/>
      <c r="F7" s="163"/>
      <c r="G7" s="163"/>
      <c r="H7" s="163"/>
      <c r="I7" s="163"/>
      <c r="J7" s="163"/>
      <c r="K7" s="163"/>
      <c r="L7" s="163"/>
      <c r="M7" s="163"/>
    </row>
    <row r="8" spans="3:14" s="35" customFormat="1"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3:14" s="35" customFormat="1" ht="27.75">
      <c r="C9" s="102"/>
      <c r="D9" s="162" t="s">
        <v>16</v>
      </c>
      <c r="E9" s="162"/>
      <c r="F9" s="162"/>
      <c r="G9" s="162"/>
      <c r="H9" s="162"/>
      <c r="I9" s="162"/>
      <c r="J9" s="162"/>
      <c r="K9" s="162"/>
      <c r="L9" s="162"/>
      <c r="M9" s="102"/>
    </row>
    <row r="10" spans="3:14" s="35" customFormat="1" ht="36" customHeight="1">
      <c r="C10" s="102"/>
      <c r="D10" s="103"/>
      <c r="E10" s="103"/>
      <c r="F10" s="103"/>
      <c r="G10" s="103"/>
      <c r="H10" s="103"/>
      <c r="I10" s="103"/>
      <c r="J10" s="103"/>
      <c r="K10" s="103"/>
      <c r="L10" s="103"/>
      <c r="M10" s="104"/>
      <c r="N10" s="74"/>
    </row>
    <row r="11" spans="3:14" s="37" customFormat="1" ht="27" customHeight="1">
      <c r="C11" s="105"/>
      <c r="D11" s="103"/>
      <c r="E11" s="106" t="s">
        <v>17</v>
      </c>
      <c r="F11" s="106"/>
      <c r="G11" s="106"/>
      <c r="H11" s="106" t="s">
        <v>18</v>
      </c>
      <c r="I11" s="106"/>
      <c r="J11" s="106"/>
      <c r="K11" s="106" t="s">
        <v>19</v>
      </c>
      <c r="L11" s="106"/>
      <c r="M11" s="107"/>
      <c r="N11" s="75"/>
    </row>
    <row r="12" spans="3:14" s="37" customFormat="1" ht="17.25" customHeight="1">
      <c r="C12" s="105"/>
      <c r="D12" s="103"/>
      <c r="E12" s="106"/>
      <c r="F12" s="106"/>
      <c r="G12" s="106"/>
      <c r="H12" s="106"/>
      <c r="I12" s="106"/>
      <c r="J12" s="106"/>
      <c r="K12" s="106"/>
      <c r="L12" s="106"/>
      <c r="M12" s="107"/>
      <c r="N12" s="75"/>
    </row>
    <row r="13" spans="3:14" s="37" customFormat="1" ht="24.6" customHeight="1">
      <c r="C13" s="105"/>
      <c r="D13" s="103"/>
      <c r="E13" s="106" t="s">
        <v>20</v>
      </c>
      <c r="F13" s="106"/>
      <c r="G13" s="106"/>
      <c r="H13" s="106" t="s">
        <v>21</v>
      </c>
      <c r="I13" s="106"/>
      <c r="J13" s="106"/>
      <c r="K13" s="106" t="s">
        <v>22</v>
      </c>
      <c r="L13" s="106"/>
      <c r="M13" s="107"/>
      <c r="N13" s="75"/>
    </row>
    <row r="14" spans="3:14" s="37" customFormat="1" ht="17.25" customHeight="1">
      <c r="C14" s="105"/>
      <c r="D14" s="103"/>
      <c r="E14" s="106"/>
      <c r="F14" s="106"/>
      <c r="G14" s="106"/>
      <c r="H14" s="106"/>
      <c r="I14" s="106"/>
      <c r="J14" s="106"/>
      <c r="K14" s="106"/>
      <c r="L14" s="106"/>
      <c r="M14" s="107"/>
      <c r="N14" s="75"/>
    </row>
    <row r="15" spans="3:14" s="37" customFormat="1" ht="24.6" customHeight="1">
      <c r="C15" s="105"/>
      <c r="D15" s="103"/>
      <c r="E15" s="106" t="s">
        <v>23</v>
      </c>
      <c r="F15" s="106"/>
      <c r="G15" s="106"/>
      <c r="H15" s="106" t="s">
        <v>24</v>
      </c>
      <c r="I15" s="106"/>
      <c r="J15" s="106"/>
      <c r="K15" s="106" t="s">
        <v>25</v>
      </c>
      <c r="L15" s="106"/>
      <c r="M15" s="107"/>
      <c r="N15" s="75"/>
    </row>
    <row r="16" spans="3:14" s="37" customFormat="1" ht="17.25" customHeight="1">
      <c r="C16" s="105"/>
      <c r="D16" s="103"/>
      <c r="E16" s="106"/>
      <c r="F16" s="106"/>
      <c r="G16" s="106"/>
      <c r="H16" s="106"/>
      <c r="I16" s="106"/>
      <c r="J16" s="106"/>
      <c r="K16" s="106"/>
      <c r="L16" s="103"/>
      <c r="M16" s="107"/>
      <c r="N16" s="75"/>
    </row>
    <row r="17" spans="3:14" s="37" customFormat="1" ht="24.6" customHeight="1">
      <c r="C17" s="105"/>
      <c r="D17" s="103"/>
      <c r="E17" s="106" t="s">
        <v>26</v>
      </c>
      <c r="F17" s="106"/>
      <c r="G17" s="106"/>
      <c r="H17" s="106" t="s">
        <v>27</v>
      </c>
      <c r="I17" s="106"/>
      <c r="J17" s="106"/>
      <c r="K17" s="106" t="s">
        <v>28</v>
      </c>
      <c r="L17" s="103"/>
      <c r="M17" s="107"/>
      <c r="N17" s="75"/>
    </row>
    <row r="18" spans="3:14" s="35" customFormat="1" ht="24.6" customHeight="1">
      <c r="C18" s="38"/>
      <c r="E18" s="36"/>
      <c r="F18" s="36"/>
    </row>
    <row r="19" spans="3:14" s="35" customFormat="1" ht="24.6" customHeight="1">
      <c r="C19" s="36"/>
      <c r="E19" s="36"/>
    </row>
    <row r="20" spans="3:14" ht="24.6" customHeight="1"/>
  </sheetData>
  <customSheetViews>
    <customSheetView guid="{2EA3A6B8-61D5-4EF1-87B1-B14945A241CD}" showGridLines="0" showRowCol="0" topLeftCell="A5">
      <selection activeCell="K17" sqref="K17"/>
      <pageMargins left="0.7" right="0.7" top="0.75" bottom="0.75" header="0.3" footer="0.3"/>
      <pageSetup paperSize="9" orientation="portrait" horizontalDpi="0" verticalDpi="0" r:id="rId1"/>
    </customSheetView>
    <customSheetView guid="{242CE75B-5318-4B80-8985-D15BFA50C3F5}" showGridLines="0" showRowCol="0" topLeftCell="A7">
      <selection activeCell="K17" sqref="K17"/>
      <pageMargins left="0.7" right="0.7" top="0.75" bottom="0.75" header="0.3" footer="0.3"/>
      <pageSetup paperSize="9" orientation="portrait" horizontalDpi="0" verticalDpi="0" r:id="rId2"/>
    </customSheetView>
    <customSheetView guid="{CA30A091-FDE4-4C31-B428-76E484062E02}" showGridLines="0" showRowCol="0">
      <pageMargins left="0.7" right="0.7" top="0.75" bottom="0.75" header="0.3" footer="0.3"/>
      <pageSetup paperSize="9" orientation="portrait" horizontalDpi="0" verticalDpi="0" r:id="rId3"/>
    </customSheetView>
  </customSheetViews>
  <mergeCells count="2">
    <mergeCell ref="D9:L9"/>
    <mergeCell ref="C7:M7"/>
  </mergeCells>
  <hyperlinks>
    <hyperlink ref="E13" location="Táchira!A1" display="Transcripción Mérida"/>
    <hyperlink ref="E15" location="Táchira!A1" display="Transcripción Táchira"/>
    <hyperlink ref="E11" location="Barinas!A1" display="Transcripción Barinas"/>
    <hyperlink ref="H11" location="CBarinas!A1" display="Supervisor Barinas"/>
    <hyperlink ref="H13" location="CMérida!A1" display="Supervisor de Mérida"/>
    <hyperlink ref="H15" location="CTáchira!A1" display="Supervisor de Táchira"/>
    <hyperlink ref="K11" location="GBarinas!A1" display="Gráficos de Barinas"/>
    <hyperlink ref="K13" location="GMérida!A1" display="Gráficos de Mérida"/>
    <hyperlink ref="K15" location="GTáchira!A1" display="Gráficos de Táchira"/>
    <hyperlink ref="E17" location="Trujillo!A1" display="Transcripción Trujillo"/>
    <hyperlink ref="H17" location="CTrujillo!A1" display="Supervisor de Trujillo"/>
    <hyperlink ref="K17" location="GTrujillo!A1" display="Gráficos de Trujillo"/>
  </hyperlinks>
  <pageMargins left="0.7" right="0.7" top="0.75" bottom="0.75" header="0.3" footer="0.3"/>
  <pageSetup paperSize="9" orientation="portrait" horizontalDpi="0" verticalDpi="0" r:id="rId4"/>
  <picture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B1:W349"/>
  <sheetViews>
    <sheetView showGridLines="0" showRowColHeaders="0" workbookViewId="0">
      <pane ySplit="8" topLeftCell="A10" activePane="bottomLeft" state="frozen"/>
      <selection pane="bottomLeft" activeCell="I4" sqref="I4"/>
    </sheetView>
  </sheetViews>
  <sheetFormatPr baseColWidth="10" defaultRowHeight="12.75"/>
  <cols>
    <col min="1" max="1" width="42.7109375" customWidth="1"/>
    <col min="2" max="11" width="13.7109375" customWidth="1"/>
    <col min="12" max="12" width="13.85546875" style="21" customWidth="1"/>
    <col min="13" max="14" width="13.7109375" style="21" customWidth="1"/>
    <col min="15" max="31" width="13.7109375" customWidth="1"/>
  </cols>
  <sheetData>
    <row r="1" spans="2:23" s="13" customFormat="1">
      <c r="I1" s="111"/>
      <c r="L1" s="26"/>
      <c r="M1" s="26"/>
      <c r="N1" s="26"/>
    </row>
    <row r="2" spans="2:23" s="13" customFormat="1">
      <c r="G2" s="77"/>
      <c r="I2" s="158" t="s">
        <v>7</v>
      </c>
      <c r="L2" s="26"/>
      <c r="M2" s="26"/>
      <c r="N2" s="26"/>
      <c r="O2" s="61" t="s">
        <v>69</v>
      </c>
      <c r="P2" s="62">
        <f>Q9</f>
        <v>0.53122465531224661</v>
      </c>
    </row>
    <row r="3" spans="2:23" s="13" customFormat="1">
      <c r="G3" s="77"/>
      <c r="I3" s="158" t="s">
        <v>80</v>
      </c>
      <c r="L3" s="26"/>
      <c r="M3" s="26"/>
      <c r="N3" s="26"/>
      <c r="O3" s="61" t="s">
        <v>70</v>
      </c>
      <c r="P3" s="62">
        <f>T9</f>
        <v>0.28304947283049475</v>
      </c>
      <c r="Q3" s="59"/>
    </row>
    <row r="4" spans="2:23" s="13" customFormat="1">
      <c r="G4" s="77"/>
      <c r="I4" s="158" t="s">
        <v>81</v>
      </c>
      <c r="L4" s="26"/>
      <c r="M4" s="26"/>
      <c r="N4" s="26"/>
      <c r="O4" s="63" t="s">
        <v>4</v>
      </c>
      <c r="P4" s="62">
        <f>W9</f>
        <v>0.18572587185725872</v>
      </c>
      <c r="Q4" s="59"/>
    </row>
    <row r="5" spans="2:23" s="13" customFormat="1">
      <c r="G5" s="77"/>
      <c r="I5" s="158" t="s">
        <v>82</v>
      </c>
      <c r="L5" s="26"/>
      <c r="M5" s="26"/>
      <c r="N5" s="26"/>
      <c r="Q5" s="59"/>
    </row>
    <row r="6" spans="2:23" s="13" customFormat="1" ht="33">
      <c r="B6" s="126"/>
      <c r="C6" s="16">
        <v>19</v>
      </c>
      <c r="D6" s="16" t="s">
        <v>68</v>
      </c>
      <c r="E6" s="14"/>
      <c r="F6" s="14"/>
      <c r="G6" s="14"/>
      <c r="I6" s="79"/>
      <c r="L6" s="26"/>
      <c r="M6" s="26"/>
      <c r="N6" s="26"/>
      <c r="Q6" s="60"/>
    </row>
    <row r="7" spans="2:23" ht="13.5" thickBot="1"/>
    <row r="8" spans="2:23" ht="34.5" customHeight="1" thickBot="1">
      <c r="B8" s="47" t="s">
        <v>1</v>
      </c>
      <c r="C8" s="48" t="s">
        <v>2</v>
      </c>
      <c r="D8" s="47" t="s">
        <v>0</v>
      </c>
      <c r="E8" s="49" t="s">
        <v>69</v>
      </c>
      <c r="F8" s="49" t="s">
        <v>70</v>
      </c>
      <c r="G8" s="47" t="s">
        <v>4</v>
      </c>
      <c r="L8" s="127" t="s">
        <v>15</v>
      </c>
      <c r="O8" s="166" t="s">
        <v>69</v>
      </c>
      <c r="P8" s="167"/>
      <c r="Q8" s="168"/>
      <c r="R8" s="166" t="s">
        <v>70</v>
      </c>
      <c r="S8" s="167"/>
      <c r="T8" s="168"/>
      <c r="U8" s="166" t="s">
        <v>4</v>
      </c>
      <c r="V8" s="167"/>
      <c r="W8" s="168"/>
    </row>
    <row r="9" spans="2:23" ht="18.75" thickBot="1">
      <c r="B9" s="125">
        <v>19</v>
      </c>
      <c r="C9" s="125">
        <v>70</v>
      </c>
      <c r="D9" s="125">
        <v>1</v>
      </c>
      <c r="E9" s="125">
        <v>1</v>
      </c>
      <c r="F9" s="125">
        <v>1</v>
      </c>
      <c r="G9" s="128">
        <v>1</v>
      </c>
      <c r="L9" s="21">
        <v>1</v>
      </c>
      <c r="M9" s="164" t="s">
        <v>0</v>
      </c>
      <c r="N9" s="165"/>
      <c r="O9" s="31">
        <f>SUM(Hugo_Cabezas)</f>
        <v>655</v>
      </c>
      <c r="P9" s="32">
        <f>O9</f>
        <v>655</v>
      </c>
      <c r="Q9" s="33">
        <f>O9/($O$9+$R$9+$U$9)</f>
        <v>0.53122465531224661</v>
      </c>
      <c r="R9" s="31">
        <f>SUM(Enrique_Catalan)</f>
        <v>349</v>
      </c>
      <c r="S9" s="32">
        <f>R9</f>
        <v>349</v>
      </c>
      <c r="T9" s="33">
        <f>R9/($O$9+$R$9+$U$9)</f>
        <v>0.28304947283049475</v>
      </c>
      <c r="U9" s="31">
        <f>SUM(OtroTU)</f>
        <v>229</v>
      </c>
      <c r="V9" s="32">
        <f>U9</f>
        <v>229</v>
      </c>
      <c r="W9" s="34">
        <f>U9/($O$9+$R$9+$U$9)</f>
        <v>0.18572587185725872</v>
      </c>
    </row>
    <row r="10" spans="2:23" ht="18.75" thickBot="1">
      <c r="B10" s="125">
        <v>19</v>
      </c>
      <c r="C10" s="50">
        <v>70</v>
      </c>
      <c r="D10" s="125">
        <v>1</v>
      </c>
      <c r="E10" s="50">
        <v>53</v>
      </c>
      <c r="F10" s="50">
        <v>26</v>
      </c>
      <c r="G10" s="129">
        <v>19</v>
      </c>
      <c r="K10" s="21"/>
      <c r="L10" s="21">
        <v>1</v>
      </c>
      <c r="M10" s="96">
        <v>0.3125</v>
      </c>
      <c r="N10" s="2">
        <v>1</v>
      </c>
      <c r="O10" s="4">
        <f t="shared" ref="O10:O29" si="0">SUMIF(TurnoTU,$N10,Hugo_Cabezas)</f>
        <v>54</v>
      </c>
      <c r="P10" s="5">
        <f>O10</f>
        <v>54</v>
      </c>
      <c r="Q10" s="10">
        <f>IF(O10&lt;&gt;0,P10/($P10+$S10+$V10),LOOKUP(2121,$Q$3:$Q$6))</f>
        <v>0.53465346534653468</v>
      </c>
      <c r="R10" s="4">
        <f t="shared" ref="R10:R29" si="1">SUMIF(TurnoTU,$N10,Enrique_Catalan)</f>
        <v>27</v>
      </c>
      <c r="S10" s="5">
        <f>R10</f>
        <v>27</v>
      </c>
      <c r="T10" s="10">
        <f>IF(R10&lt;&gt;0,S10/($P10+$S10+$V10),LOOKUP(2121,$Q$3:$Q$6))</f>
        <v>0.26732673267326734</v>
      </c>
      <c r="U10" s="4">
        <f t="shared" ref="U10:U29" si="2">SUMIF(TurnoTU,$N10,OtroTU)</f>
        <v>20</v>
      </c>
      <c r="V10" s="5">
        <f>U10</f>
        <v>20</v>
      </c>
      <c r="W10" s="3">
        <f>IF(U10&lt;&gt;0,V10/($P10+$S10+$V10),LOOKUP(2121,$Q$3:$Q$6))</f>
        <v>0.19801980198019803</v>
      </c>
    </row>
    <row r="11" spans="2:23" ht="18.75" thickBot="1">
      <c r="B11" s="125">
        <v>19</v>
      </c>
      <c r="C11" s="50">
        <v>70</v>
      </c>
      <c r="D11" s="125">
        <v>2</v>
      </c>
      <c r="E11" s="50">
        <v>53</v>
      </c>
      <c r="F11" s="50">
        <v>26</v>
      </c>
      <c r="G11" s="129">
        <v>19</v>
      </c>
      <c r="K11" s="21"/>
      <c r="L11" s="21">
        <v>1</v>
      </c>
      <c r="M11" s="96">
        <v>0.33333333333333298</v>
      </c>
      <c r="N11" s="2">
        <v>2</v>
      </c>
      <c r="O11" s="4">
        <f t="shared" si="0"/>
        <v>53</v>
      </c>
      <c r="P11" s="5">
        <f>P10+O11</f>
        <v>107</v>
      </c>
      <c r="Q11" s="10">
        <f t="shared" ref="Q11:Q29" si="3">IF(O11&lt;&gt;0,P11/($P11+$S11+$V11),LOOKUP(2121,$Q$3:$Q$6))</f>
        <v>0.53768844221105527</v>
      </c>
      <c r="R11" s="4">
        <f t="shared" si="1"/>
        <v>26</v>
      </c>
      <c r="S11" s="5">
        <f>S10+R11</f>
        <v>53</v>
      </c>
      <c r="T11" s="10">
        <f>IF(R11&lt;&gt;0,S11/($P11+$S11+$V11),LOOKUP(2121,$Q$3:$Q$6))</f>
        <v>0.26633165829145727</v>
      </c>
      <c r="U11" s="4">
        <f t="shared" si="2"/>
        <v>19</v>
      </c>
      <c r="V11" s="5">
        <f>V10+U11</f>
        <v>39</v>
      </c>
      <c r="W11" s="3">
        <f t="shared" ref="W11:W29" si="4">IF(U11&lt;&gt;0,V11/($P11+$S11+$V11),LOOKUP(2121,$Q$3:$Q$6))</f>
        <v>0.19597989949748743</v>
      </c>
    </row>
    <row r="12" spans="2:23" ht="18.75" thickBot="1">
      <c r="B12" s="125">
        <v>19</v>
      </c>
      <c r="C12" s="50">
        <v>70</v>
      </c>
      <c r="D12" s="125">
        <v>3</v>
      </c>
      <c r="E12" s="50">
        <v>53</v>
      </c>
      <c r="F12" s="50">
        <v>26</v>
      </c>
      <c r="G12" s="129">
        <v>19</v>
      </c>
      <c r="K12" s="21"/>
      <c r="L12" s="21">
        <v>1</v>
      </c>
      <c r="M12" s="96">
        <v>0.35416666666666702</v>
      </c>
      <c r="N12" s="2">
        <v>3</v>
      </c>
      <c r="O12" s="4">
        <f t="shared" si="0"/>
        <v>53</v>
      </c>
      <c r="P12" s="5">
        <f t="shared" ref="P12:P29" si="5">P11+O12</f>
        <v>160</v>
      </c>
      <c r="Q12" s="10">
        <f t="shared" si="3"/>
        <v>0.53872053872053871</v>
      </c>
      <c r="R12" s="4">
        <f t="shared" si="1"/>
        <v>26</v>
      </c>
      <c r="S12" s="5">
        <f t="shared" ref="S12:S29" si="6">S11+R12</f>
        <v>79</v>
      </c>
      <c r="T12" s="10">
        <f t="shared" ref="T12:T29" si="7">IF(R12&lt;&gt;0,S12/($P12+$S12+$V12),LOOKUP(2121,$Q$3:$Q$6))</f>
        <v>0.265993265993266</v>
      </c>
      <c r="U12" s="4">
        <f t="shared" si="2"/>
        <v>19</v>
      </c>
      <c r="V12" s="5">
        <f t="shared" ref="V12:V29" si="8">V11+U12</f>
        <v>58</v>
      </c>
      <c r="W12" s="3">
        <f t="shared" si="4"/>
        <v>0.19528619528619529</v>
      </c>
    </row>
    <row r="13" spans="2:23" ht="18.75" thickBot="1">
      <c r="B13" s="125">
        <v>19</v>
      </c>
      <c r="C13" s="50">
        <v>70</v>
      </c>
      <c r="D13" s="125">
        <v>4</v>
      </c>
      <c r="E13" s="50">
        <v>55</v>
      </c>
      <c r="F13" s="50">
        <v>30</v>
      </c>
      <c r="G13" s="129">
        <v>19</v>
      </c>
      <c r="K13" s="21"/>
      <c r="L13" s="21">
        <v>1</v>
      </c>
      <c r="M13" s="96">
        <v>0.375</v>
      </c>
      <c r="N13" s="2">
        <v>4</v>
      </c>
      <c r="O13" s="4">
        <f t="shared" si="0"/>
        <v>55</v>
      </c>
      <c r="P13" s="5">
        <f t="shared" si="5"/>
        <v>215</v>
      </c>
      <c r="Q13" s="10">
        <f t="shared" si="3"/>
        <v>0.53615960099750626</v>
      </c>
      <c r="R13" s="4">
        <f t="shared" si="1"/>
        <v>30</v>
      </c>
      <c r="S13" s="5">
        <f t="shared" si="6"/>
        <v>109</v>
      </c>
      <c r="T13" s="10">
        <f t="shared" si="7"/>
        <v>0.27182044887780549</v>
      </c>
      <c r="U13" s="4">
        <f t="shared" si="2"/>
        <v>19</v>
      </c>
      <c r="V13" s="5">
        <f t="shared" si="8"/>
        <v>77</v>
      </c>
      <c r="W13" s="3">
        <f t="shared" si="4"/>
        <v>0.19201995012468828</v>
      </c>
    </row>
    <row r="14" spans="2:23" ht="18.75" thickBot="1">
      <c r="B14" s="125">
        <v>19</v>
      </c>
      <c r="C14" s="50">
        <v>70</v>
      </c>
      <c r="D14" s="125">
        <v>5</v>
      </c>
      <c r="E14" s="50">
        <v>55</v>
      </c>
      <c r="F14" s="50">
        <v>30</v>
      </c>
      <c r="G14" s="129">
        <v>19</v>
      </c>
      <c r="K14" s="21"/>
      <c r="L14" s="21">
        <v>1</v>
      </c>
      <c r="M14" s="96">
        <v>0.39583333333333298</v>
      </c>
      <c r="N14" s="2">
        <v>5</v>
      </c>
      <c r="O14" s="4">
        <f t="shared" si="0"/>
        <v>55</v>
      </c>
      <c r="P14" s="5">
        <f t="shared" si="5"/>
        <v>270</v>
      </c>
      <c r="Q14" s="10">
        <f t="shared" si="3"/>
        <v>0.53465346534653468</v>
      </c>
      <c r="R14" s="4">
        <f t="shared" si="1"/>
        <v>30</v>
      </c>
      <c r="S14" s="5">
        <f t="shared" si="6"/>
        <v>139</v>
      </c>
      <c r="T14" s="10">
        <f t="shared" si="7"/>
        <v>0.27524752475247527</v>
      </c>
      <c r="U14" s="4">
        <f t="shared" si="2"/>
        <v>19</v>
      </c>
      <c r="V14" s="5">
        <f t="shared" si="8"/>
        <v>96</v>
      </c>
      <c r="W14" s="3">
        <f t="shared" si="4"/>
        <v>0.1900990099009901</v>
      </c>
    </row>
    <row r="15" spans="2:23" ht="18.75" thickBot="1">
      <c r="B15" s="125">
        <v>19</v>
      </c>
      <c r="C15" s="50">
        <v>70</v>
      </c>
      <c r="D15" s="125">
        <v>6</v>
      </c>
      <c r="E15" s="50">
        <v>55</v>
      </c>
      <c r="F15" s="50">
        <v>30</v>
      </c>
      <c r="G15" s="129">
        <v>19</v>
      </c>
      <c r="K15" s="21"/>
      <c r="L15" s="21">
        <v>1</v>
      </c>
      <c r="M15" s="96">
        <v>0.41666666666666702</v>
      </c>
      <c r="N15" s="2">
        <v>6</v>
      </c>
      <c r="O15" s="4">
        <f t="shared" si="0"/>
        <v>55</v>
      </c>
      <c r="P15" s="5">
        <f t="shared" si="5"/>
        <v>325</v>
      </c>
      <c r="Q15" s="10">
        <f t="shared" si="3"/>
        <v>0.5336617405582923</v>
      </c>
      <c r="R15" s="4">
        <f t="shared" si="1"/>
        <v>30</v>
      </c>
      <c r="S15" s="5">
        <f t="shared" si="6"/>
        <v>169</v>
      </c>
      <c r="T15" s="10">
        <f t="shared" si="7"/>
        <v>0.27750410509031198</v>
      </c>
      <c r="U15" s="4">
        <f t="shared" si="2"/>
        <v>19</v>
      </c>
      <c r="V15" s="5">
        <f t="shared" si="8"/>
        <v>115</v>
      </c>
      <c r="W15" s="3">
        <f t="shared" si="4"/>
        <v>0.18883415435139572</v>
      </c>
    </row>
    <row r="16" spans="2:23" ht="18.75" thickBot="1">
      <c r="B16" s="125">
        <v>19</v>
      </c>
      <c r="C16" s="50">
        <v>70</v>
      </c>
      <c r="D16" s="125">
        <v>7</v>
      </c>
      <c r="E16" s="50">
        <v>55</v>
      </c>
      <c r="F16" s="50">
        <v>30</v>
      </c>
      <c r="G16" s="129">
        <v>19</v>
      </c>
      <c r="K16" s="21"/>
      <c r="L16" s="21">
        <v>1</v>
      </c>
      <c r="M16" s="96">
        <v>0.4375</v>
      </c>
      <c r="N16" s="2">
        <v>7</v>
      </c>
      <c r="O16" s="4">
        <f t="shared" si="0"/>
        <v>55</v>
      </c>
      <c r="P16" s="5">
        <f t="shared" si="5"/>
        <v>380</v>
      </c>
      <c r="Q16" s="10">
        <f t="shared" si="3"/>
        <v>0.53295932678821878</v>
      </c>
      <c r="R16" s="4">
        <f t="shared" si="1"/>
        <v>30</v>
      </c>
      <c r="S16" s="5">
        <f t="shared" si="6"/>
        <v>199</v>
      </c>
      <c r="T16" s="10">
        <f t="shared" si="7"/>
        <v>0.27910238429172513</v>
      </c>
      <c r="U16" s="4">
        <f t="shared" si="2"/>
        <v>19</v>
      </c>
      <c r="V16" s="5">
        <f t="shared" si="8"/>
        <v>134</v>
      </c>
      <c r="W16" s="3">
        <f t="shared" si="4"/>
        <v>0.1879382889200561</v>
      </c>
    </row>
    <row r="17" spans="2:23" ht="18.75" thickBot="1">
      <c r="B17" s="125">
        <v>19</v>
      </c>
      <c r="C17" s="50">
        <v>70</v>
      </c>
      <c r="D17" s="125">
        <v>8</v>
      </c>
      <c r="E17" s="50">
        <v>55</v>
      </c>
      <c r="F17" s="50">
        <v>30</v>
      </c>
      <c r="G17" s="129">
        <v>19</v>
      </c>
      <c r="K17" s="21"/>
      <c r="L17" s="21">
        <v>1</v>
      </c>
      <c r="M17" s="96">
        <v>0.45833333333333298</v>
      </c>
      <c r="N17" s="2">
        <v>8</v>
      </c>
      <c r="O17" s="4">
        <f t="shared" si="0"/>
        <v>55</v>
      </c>
      <c r="P17" s="5">
        <f t="shared" si="5"/>
        <v>435</v>
      </c>
      <c r="Q17" s="10">
        <f t="shared" si="3"/>
        <v>0.53243574051407594</v>
      </c>
      <c r="R17" s="4">
        <f t="shared" si="1"/>
        <v>30</v>
      </c>
      <c r="S17" s="5">
        <f t="shared" si="6"/>
        <v>229</v>
      </c>
      <c r="T17" s="10">
        <f t="shared" si="7"/>
        <v>0.2802937576499388</v>
      </c>
      <c r="U17" s="4">
        <f t="shared" si="2"/>
        <v>19</v>
      </c>
      <c r="V17" s="5">
        <f t="shared" si="8"/>
        <v>153</v>
      </c>
      <c r="W17" s="3">
        <f t="shared" si="4"/>
        <v>0.18727050183598531</v>
      </c>
    </row>
    <row r="18" spans="2:23" ht="18.75" thickBot="1">
      <c r="B18" s="125">
        <v>19</v>
      </c>
      <c r="C18" s="50">
        <v>70</v>
      </c>
      <c r="D18" s="125">
        <v>9</v>
      </c>
      <c r="E18" s="50">
        <v>55</v>
      </c>
      <c r="F18" s="50">
        <v>30</v>
      </c>
      <c r="G18" s="129">
        <v>19</v>
      </c>
      <c r="K18" s="21"/>
      <c r="L18" s="21">
        <v>1</v>
      </c>
      <c r="M18" s="96">
        <v>0.47916666666666702</v>
      </c>
      <c r="N18" s="2">
        <v>9</v>
      </c>
      <c r="O18" s="4">
        <f t="shared" si="0"/>
        <v>55</v>
      </c>
      <c r="P18" s="5">
        <f t="shared" si="5"/>
        <v>490</v>
      </c>
      <c r="Q18" s="10">
        <f t="shared" si="3"/>
        <v>0.53203040173724214</v>
      </c>
      <c r="R18" s="4">
        <f t="shared" si="1"/>
        <v>30</v>
      </c>
      <c r="S18" s="5">
        <f t="shared" si="6"/>
        <v>259</v>
      </c>
      <c r="T18" s="10">
        <f t="shared" si="7"/>
        <v>0.28121606948968514</v>
      </c>
      <c r="U18" s="4">
        <f t="shared" si="2"/>
        <v>19</v>
      </c>
      <c r="V18" s="5">
        <f t="shared" si="8"/>
        <v>172</v>
      </c>
      <c r="W18" s="3">
        <f t="shared" si="4"/>
        <v>0.18675352877307275</v>
      </c>
    </row>
    <row r="19" spans="2:23" ht="18.75" thickBot="1">
      <c r="B19" s="125">
        <v>19</v>
      </c>
      <c r="C19" s="50">
        <v>70</v>
      </c>
      <c r="D19" s="125">
        <v>10</v>
      </c>
      <c r="E19" s="50">
        <v>55</v>
      </c>
      <c r="F19" s="50">
        <v>30</v>
      </c>
      <c r="G19" s="129">
        <v>19</v>
      </c>
      <c r="K19" s="21"/>
      <c r="L19" s="21">
        <v>1</v>
      </c>
      <c r="M19" s="96">
        <v>0.5</v>
      </c>
      <c r="N19" s="2">
        <v>10</v>
      </c>
      <c r="O19" s="4">
        <f t="shared" si="0"/>
        <v>55</v>
      </c>
      <c r="P19" s="5">
        <f t="shared" si="5"/>
        <v>545</v>
      </c>
      <c r="Q19" s="10">
        <f t="shared" si="3"/>
        <v>0.53170731707317076</v>
      </c>
      <c r="R19" s="4">
        <f t="shared" si="1"/>
        <v>30</v>
      </c>
      <c r="S19" s="5">
        <f t="shared" si="6"/>
        <v>289</v>
      </c>
      <c r="T19" s="10">
        <f t="shared" si="7"/>
        <v>0.28195121951219509</v>
      </c>
      <c r="U19" s="4">
        <f t="shared" si="2"/>
        <v>19</v>
      </c>
      <c r="V19" s="5">
        <f t="shared" si="8"/>
        <v>191</v>
      </c>
      <c r="W19" s="3">
        <f t="shared" si="4"/>
        <v>0.18634146341463415</v>
      </c>
    </row>
    <row r="20" spans="2:23" ht="18.75" thickBot="1">
      <c r="B20" s="125">
        <v>19</v>
      </c>
      <c r="C20" s="50">
        <v>70</v>
      </c>
      <c r="D20" s="125">
        <v>11</v>
      </c>
      <c r="E20" s="50">
        <v>55</v>
      </c>
      <c r="F20" s="50">
        <v>30</v>
      </c>
      <c r="G20" s="129">
        <v>19</v>
      </c>
      <c r="K20" s="21"/>
      <c r="L20" s="21">
        <v>1</v>
      </c>
      <c r="M20" s="96">
        <v>0.52083333333333304</v>
      </c>
      <c r="N20" s="2">
        <v>11</v>
      </c>
      <c r="O20" s="4">
        <f t="shared" si="0"/>
        <v>55</v>
      </c>
      <c r="P20" s="5">
        <f t="shared" si="5"/>
        <v>600</v>
      </c>
      <c r="Q20" s="10">
        <f t="shared" si="3"/>
        <v>0.53144375553587242</v>
      </c>
      <c r="R20" s="4">
        <f t="shared" si="1"/>
        <v>30</v>
      </c>
      <c r="S20" s="5">
        <f t="shared" si="6"/>
        <v>319</v>
      </c>
      <c r="T20" s="10">
        <f t="shared" si="7"/>
        <v>0.28255093002657217</v>
      </c>
      <c r="U20" s="4">
        <f t="shared" si="2"/>
        <v>19</v>
      </c>
      <c r="V20" s="5">
        <f t="shared" si="8"/>
        <v>210</v>
      </c>
      <c r="W20" s="3">
        <f t="shared" si="4"/>
        <v>0.18600531443755536</v>
      </c>
    </row>
    <row r="21" spans="2:23" ht="18.75" thickBot="1">
      <c r="B21" s="125">
        <v>19</v>
      </c>
      <c r="C21" s="50">
        <v>72</v>
      </c>
      <c r="D21" s="125">
        <v>12</v>
      </c>
      <c r="E21" s="50">
        <v>55</v>
      </c>
      <c r="F21" s="50">
        <v>30</v>
      </c>
      <c r="G21" s="129">
        <v>19</v>
      </c>
      <c r="L21" s="21">
        <v>1</v>
      </c>
      <c r="M21" s="96">
        <v>4.1666666666666664E-2</v>
      </c>
      <c r="N21" s="2">
        <v>12</v>
      </c>
      <c r="O21" s="4">
        <f t="shared" si="0"/>
        <v>55</v>
      </c>
      <c r="P21" s="5">
        <f t="shared" si="5"/>
        <v>655</v>
      </c>
      <c r="Q21" s="10">
        <f t="shared" si="3"/>
        <v>0.53122465531224661</v>
      </c>
      <c r="R21" s="4">
        <f t="shared" si="1"/>
        <v>30</v>
      </c>
      <c r="S21" s="5">
        <f t="shared" si="6"/>
        <v>349</v>
      </c>
      <c r="T21" s="10">
        <f t="shared" si="7"/>
        <v>0.28304947283049475</v>
      </c>
      <c r="U21" s="4">
        <f t="shared" si="2"/>
        <v>19</v>
      </c>
      <c r="V21" s="5">
        <f t="shared" si="8"/>
        <v>229</v>
      </c>
      <c r="W21" s="3">
        <f t="shared" si="4"/>
        <v>0.18572587185725872</v>
      </c>
    </row>
    <row r="22" spans="2:23" ht="18.75" thickBot="1">
      <c r="B22" s="125">
        <v>19</v>
      </c>
      <c r="C22" s="50"/>
      <c r="D22" s="125"/>
      <c r="E22" s="50"/>
      <c r="F22" s="50"/>
      <c r="G22" s="129"/>
      <c r="L22" s="21">
        <v>1</v>
      </c>
      <c r="M22" s="96">
        <v>6.25E-2</v>
      </c>
      <c r="N22" s="2">
        <v>13</v>
      </c>
      <c r="O22" s="4">
        <f t="shared" si="0"/>
        <v>0</v>
      </c>
      <c r="P22" s="5">
        <f t="shared" si="5"/>
        <v>655</v>
      </c>
      <c r="Q22" s="10" t="e">
        <f t="shared" si="3"/>
        <v>#N/A</v>
      </c>
      <c r="R22" s="4">
        <f t="shared" si="1"/>
        <v>0</v>
      </c>
      <c r="S22" s="5">
        <f t="shared" si="6"/>
        <v>349</v>
      </c>
      <c r="T22" s="10" t="e">
        <f t="shared" si="7"/>
        <v>#N/A</v>
      </c>
      <c r="U22" s="4">
        <f t="shared" si="2"/>
        <v>0</v>
      </c>
      <c r="V22" s="5">
        <f t="shared" si="8"/>
        <v>229</v>
      </c>
      <c r="W22" s="3" t="e">
        <f t="shared" si="4"/>
        <v>#N/A</v>
      </c>
    </row>
    <row r="23" spans="2:23" ht="18.75" thickBot="1">
      <c r="B23" s="125">
        <v>19</v>
      </c>
      <c r="C23" s="50"/>
      <c r="D23" s="125"/>
      <c r="E23" s="50"/>
      <c r="F23" s="50"/>
      <c r="G23" s="129"/>
      <c r="L23" s="21">
        <v>1</v>
      </c>
      <c r="M23" s="96">
        <v>8.3333333333333329E-2</v>
      </c>
      <c r="N23" s="2">
        <v>14</v>
      </c>
      <c r="O23" s="4">
        <f t="shared" si="0"/>
        <v>0</v>
      </c>
      <c r="P23" s="5">
        <f t="shared" si="5"/>
        <v>655</v>
      </c>
      <c r="Q23" s="10" t="e">
        <f t="shared" si="3"/>
        <v>#N/A</v>
      </c>
      <c r="R23" s="4">
        <f t="shared" si="1"/>
        <v>0</v>
      </c>
      <c r="S23" s="5">
        <f t="shared" si="6"/>
        <v>349</v>
      </c>
      <c r="T23" s="10" t="e">
        <f t="shared" si="7"/>
        <v>#N/A</v>
      </c>
      <c r="U23" s="4">
        <f t="shared" si="2"/>
        <v>0</v>
      </c>
      <c r="V23" s="5">
        <f t="shared" si="8"/>
        <v>229</v>
      </c>
      <c r="W23" s="3" t="e">
        <f t="shared" si="4"/>
        <v>#N/A</v>
      </c>
    </row>
    <row r="24" spans="2:23" ht="18.75" thickBot="1">
      <c r="B24" s="125">
        <v>19</v>
      </c>
      <c r="C24" s="50"/>
      <c r="D24" s="125"/>
      <c r="E24" s="50"/>
      <c r="F24" s="50"/>
      <c r="G24" s="129"/>
      <c r="L24" s="21">
        <v>1</v>
      </c>
      <c r="M24" s="96">
        <v>0.104166666666667</v>
      </c>
      <c r="N24" s="2">
        <v>15</v>
      </c>
      <c r="O24" s="4">
        <f t="shared" si="0"/>
        <v>0</v>
      </c>
      <c r="P24" s="5">
        <f t="shared" si="5"/>
        <v>655</v>
      </c>
      <c r="Q24" s="10" t="e">
        <f t="shared" si="3"/>
        <v>#N/A</v>
      </c>
      <c r="R24" s="4">
        <f t="shared" si="1"/>
        <v>0</v>
      </c>
      <c r="S24" s="5">
        <f t="shared" si="6"/>
        <v>349</v>
      </c>
      <c r="T24" s="10" t="e">
        <f t="shared" si="7"/>
        <v>#N/A</v>
      </c>
      <c r="U24" s="4">
        <f t="shared" si="2"/>
        <v>0</v>
      </c>
      <c r="V24" s="5">
        <f t="shared" si="8"/>
        <v>229</v>
      </c>
      <c r="W24" s="3" t="e">
        <f t="shared" si="4"/>
        <v>#N/A</v>
      </c>
    </row>
    <row r="25" spans="2:23" ht="18.75" thickBot="1">
      <c r="B25" s="125">
        <v>19</v>
      </c>
      <c r="C25" s="50"/>
      <c r="D25" s="125"/>
      <c r="E25" s="50"/>
      <c r="F25" s="50"/>
      <c r="G25" s="129"/>
      <c r="L25" s="21">
        <v>1</v>
      </c>
      <c r="M25" s="96">
        <v>0.125</v>
      </c>
      <c r="N25" s="2">
        <v>16</v>
      </c>
      <c r="O25" s="4">
        <f t="shared" si="0"/>
        <v>0</v>
      </c>
      <c r="P25" s="5">
        <f t="shared" si="5"/>
        <v>655</v>
      </c>
      <c r="Q25" s="10" t="e">
        <f t="shared" si="3"/>
        <v>#N/A</v>
      </c>
      <c r="R25" s="4">
        <f t="shared" si="1"/>
        <v>0</v>
      </c>
      <c r="S25" s="5">
        <f t="shared" si="6"/>
        <v>349</v>
      </c>
      <c r="T25" s="10" t="e">
        <f t="shared" si="7"/>
        <v>#N/A</v>
      </c>
      <c r="U25" s="4">
        <f t="shared" si="2"/>
        <v>0</v>
      </c>
      <c r="V25" s="5">
        <f t="shared" si="8"/>
        <v>229</v>
      </c>
      <c r="W25" s="3" t="e">
        <f t="shared" si="4"/>
        <v>#N/A</v>
      </c>
    </row>
    <row r="26" spans="2:23" ht="18.75" thickBot="1">
      <c r="B26" s="125">
        <v>19</v>
      </c>
      <c r="C26" s="50"/>
      <c r="D26" s="125"/>
      <c r="E26" s="50"/>
      <c r="F26" s="50"/>
      <c r="G26" s="129"/>
      <c r="L26" s="21">
        <v>1</v>
      </c>
      <c r="M26" s="96">
        <v>0.14583333333333301</v>
      </c>
      <c r="N26" s="2">
        <v>17</v>
      </c>
      <c r="O26" s="4">
        <f t="shared" si="0"/>
        <v>0</v>
      </c>
      <c r="P26" s="5">
        <f t="shared" si="5"/>
        <v>655</v>
      </c>
      <c r="Q26" s="10" t="e">
        <f t="shared" si="3"/>
        <v>#N/A</v>
      </c>
      <c r="R26" s="4">
        <f t="shared" si="1"/>
        <v>0</v>
      </c>
      <c r="S26" s="5">
        <f t="shared" si="6"/>
        <v>349</v>
      </c>
      <c r="T26" s="10" t="e">
        <f t="shared" si="7"/>
        <v>#N/A</v>
      </c>
      <c r="U26" s="4">
        <f t="shared" si="2"/>
        <v>0</v>
      </c>
      <c r="V26" s="5">
        <f t="shared" si="8"/>
        <v>229</v>
      </c>
      <c r="W26" s="3" t="e">
        <f t="shared" si="4"/>
        <v>#N/A</v>
      </c>
    </row>
    <row r="27" spans="2:23" ht="18.75" thickBot="1">
      <c r="B27" s="125">
        <v>19</v>
      </c>
      <c r="C27" s="50"/>
      <c r="D27" s="125"/>
      <c r="E27" s="50"/>
      <c r="F27" s="50"/>
      <c r="G27" s="129"/>
      <c r="L27" s="21">
        <v>1</v>
      </c>
      <c r="M27" s="96">
        <v>0.16666666666666599</v>
      </c>
      <c r="N27" s="2">
        <v>18</v>
      </c>
      <c r="O27" s="4">
        <f t="shared" si="0"/>
        <v>0</v>
      </c>
      <c r="P27" s="5">
        <f t="shared" si="5"/>
        <v>655</v>
      </c>
      <c r="Q27" s="10" t="e">
        <f t="shared" si="3"/>
        <v>#N/A</v>
      </c>
      <c r="R27" s="4">
        <f t="shared" si="1"/>
        <v>0</v>
      </c>
      <c r="S27" s="5">
        <f t="shared" si="6"/>
        <v>349</v>
      </c>
      <c r="T27" s="10" t="e">
        <f t="shared" si="7"/>
        <v>#N/A</v>
      </c>
      <c r="U27" s="4">
        <f t="shared" si="2"/>
        <v>0</v>
      </c>
      <c r="V27" s="5">
        <f t="shared" si="8"/>
        <v>229</v>
      </c>
      <c r="W27" s="3" t="e">
        <f t="shared" si="4"/>
        <v>#N/A</v>
      </c>
    </row>
    <row r="28" spans="2:23" ht="18.75" thickBot="1">
      <c r="B28" s="125">
        <v>19</v>
      </c>
      <c r="C28" s="50"/>
      <c r="D28" s="125"/>
      <c r="E28" s="50"/>
      <c r="F28" s="50"/>
      <c r="G28" s="129"/>
      <c r="L28" s="21">
        <v>1</v>
      </c>
      <c r="M28" s="96">
        <v>0.187499999999999</v>
      </c>
      <c r="N28" s="2">
        <v>19</v>
      </c>
      <c r="O28" s="4">
        <f t="shared" si="0"/>
        <v>0</v>
      </c>
      <c r="P28" s="5">
        <f t="shared" si="5"/>
        <v>655</v>
      </c>
      <c r="Q28" s="10" t="e">
        <f t="shared" si="3"/>
        <v>#N/A</v>
      </c>
      <c r="R28" s="4">
        <f t="shared" si="1"/>
        <v>0</v>
      </c>
      <c r="S28" s="5">
        <f t="shared" si="6"/>
        <v>349</v>
      </c>
      <c r="T28" s="10" t="e">
        <f t="shared" si="7"/>
        <v>#N/A</v>
      </c>
      <c r="U28" s="4">
        <f t="shared" si="2"/>
        <v>0</v>
      </c>
      <c r="V28" s="5">
        <f t="shared" si="8"/>
        <v>229</v>
      </c>
      <c r="W28" s="3" t="e">
        <f t="shared" si="4"/>
        <v>#N/A</v>
      </c>
    </row>
    <row r="29" spans="2:23" ht="18.75" thickBot="1">
      <c r="B29" s="125">
        <v>19</v>
      </c>
      <c r="C29" s="50"/>
      <c r="D29" s="125"/>
      <c r="E29" s="50"/>
      <c r="F29" s="50"/>
      <c r="G29" s="129"/>
      <c r="L29" s="21">
        <v>1</v>
      </c>
      <c r="M29" s="96">
        <v>0.20833333333333201</v>
      </c>
      <c r="N29" s="2">
        <v>20</v>
      </c>
      <c r="O29" s="4">
        <f t="shared" si="0"/>
        <v>0</v>
      </c>
      <c r="P29" s="8">
        <f t="shared" si="5"/>
        <v>655</v>
      </c>
      <c r="Q29" s="11" t="e">
        <f t="shared" si="3"/>
        <v>#N/A</v>
      </c>
      <c r="R29" s="4">
        <f t="shared" si="1"/>
        <v>0</v>
      </c>
      <c r="S29" s="8">
        <f t="shared" si="6"/>
        <v>349</v>
      </c>
      <c r="T29" s="11" t="e">
        <f t="shared" si="7"/>
        <v>#N/A</v>
      </c>
      <c r="U29" s="7">
        <f t="shared" si="2"/>
        <v>0</v>
      </c>
      <c r="V29" s="8">
        <f t="shared" si="8"/>
        <v>229</v>
      </c>
      <c r="W29" s="9" t="e">
        <f t="shared" si="4"/>
        <v>#N/A</v>
      </c>
    </row>
    <row r="30" spans="2:23" ht="18.75" thickBot="1">
      <c r="B30" s="125">
        <v>19</v>
      </c>
      <c r="C30" s="50"/>
      <c r="D30" s="125"/>
      <c r="E30" s="50"/>
      <c r="F30" s="50"/>
      <c r="G30" s="129"/>
      <c r="L30" s="21">
        <v>1</v>
      </c>
    </row>
    <row r="31" spans="2:23" ht="18">
      <c r="B31" s="125">
        <v>19</v>
      </c>
      <c r="C31" s="50"/>
      <c r="D31" s="50"/>
      <c r="E31" s="50"/>
      <c r="F31" s="50"/>
      <c r="G31" s="129"/>
      <c r="L31" s="21">
        <v>1</v>
      </c>
    </row>
    <row r="32" spans="2:23" ht="18">
      <c r="B32" s="50"/>
      <c r="C32" s="50"/>
      <c r="D32" s="50"/>
      <c r="E32" s="50"/>
      <c r="F32" s="50"/>
      <c r="G32" s="129"/>
      <c r="L32" s="21">
        <v>1</v>
      </c>
      <c r="N32" s="21">
        <v>65</v>
      </c>
    </row>
    <row r="33" spans="2:14" ht="18">
      <c r="B33" s="50"/>
      <c r="C33" s="50"/>
      <c r="D33" s="50"/>
      <c r="E33" s="50"/>
      <c r="F33" s="50"/>
      <c r="G33" s="129"/>
      <c r="L33" s="21">
        <v>1</v>
      </c>
      <c r="N33" s="21">
        <v>66</v>
      </c>
    </row>
    <row r="34" spans="2:14" ht="18">
      <c r="B34" s="50"/>
      <c r="C34" s="50"/>
      <c r="D34" s="50"/>
      <c r="E34" s="50"/>
      <c r="F34" s="50"/>
      <c r="G34" s="129"/>
      <c r="L34" s="21">
        <v>1</v>
      </c>
      <c r="N34" s="21">
        <v>67</v>
      </c>
    </row>
    <row r="35" spans="2:14" ht="18">
      <c r="B35" s="50"/>
      <c r="C35" s="50"/>
      <c r="D35" s="50"/>
      <c r="E35" s="50"/>
      <c r="F35" s="50"/>
      <c r="G35" s="129"/>
      <c r="L35" s="21">
        <v>1</v>
      </c>
      <c r="N35" s="21">
        <v>68</v>
      </c>
    </row>
    <row r="36" spans="2:14" ht="18">
      <c r="B36" s="50"/>
      <c r="C36" s="50"/>
      <c r="D36" s="50"/>
      <c r="E36" s="50"/>
      <c r="F36" s="50"/>
      <c r="G36" s="129"/>
      <c r="L36" s="21">
        <v>1</v>
      </c>
      <c r="N36" s="21">
        <v>69</v>
      </c>
    </row>
    <row r="37" spans="2:14" ht="18">
      <c r="B37" s="50"/>
      <c r="C37" s="50"/>
      <c r="D37" s="50"/>
      <c r="E37" s="50"/>
      <c r="F37" s="50"/>
      <c r="G37" s="129"/>
      <c r="L37" s="21">
        <v>1</v>
      </c>
      <c r="N37" s="21">
        <v>70</v>
      </c>
    </row>
    <row r="38" spans="2:14" ht="18">
      <c r="B38" s="50"/>
      <c r="C38" s="50"/>
      <c r="D38" s="50"/>
      <c r="E38" s="50"/>
      <c r="F38" s="50"/>
      <c r="G38" s="129"/>
      <c r="L38" s="21">
        <v>1</v>
      </c>
      <c r="N38" s="21">
        <v>71</v>
      </c>
    </row>
    <row r="39" spans="2:14" ht="18">
      <c r="B39" s="50"/>
      <c r="C39" s="50"/>
      <c r="D39" s="50"/>
      <c r="E39" s="50"/>
      <c r="F39" s="50"/>
      <c r="G39" s="129"/>
      <c r="L39" s="21">
        <v>1</v>
      </c>
      <c r="N39" s="21">
        <v>72</v>
      </c>
    </row>
    <row r="40" spans="2:14" ht="18">
      <c r="B40" s="50"/>
      <c r="C40" s="50"/>
      <c r="D40" s="50"/>
      <c r="E40" s="50"/>
      <c r="F40" s="50"/>
      <c r="G40" s="129"/>
      <c r="L40" s="21">
        <v>1</v>
      </c>
      <c r="N40" s="21">
        <v>73</v>
      </c>
    </row>
    <row r="41" spans="2:14" ht="18">
      <c r="B41" s="50"/>
      <c r="C41" s="50"/>
      <c r="D41" s="50"/>
      <c r="E41" s="50"/>
      <c r="F41" s="50"/>
      <c r="G41" s="129"/>
      <c r="L41" s="21">
        <v>1</v>
      </c>
      <c r="N41" s="21">
        <v>74</v>
      </c>
    </row>
    <row r="42" spans="2:14" ht="18">
      <c r="B42" s="50"/>
      <c r="C42" s="50"/>
      <c r="D42" s="50"/>
      <c r="E42" s="50"/>
      <c r="F42" s="50"/>
      <c r="G42" s="129"/>
      <c r="L42" s="21">
        <v>1</v>
      </c>
      <c r="N42" s="21">
        <v>75</v>
      </c>
    </row>
    <row r="43" spans="2:14" ht="18">
      <c r="B43" s="50"/>
      <c r="C43" s="50"/>
      <c r="D43" s="50"/>
      <c r="E43" s="50"/>
      <c r="F43" s="50"/>
      <c r="G43" s="129"/>
      <c r="L43" s="21">
        <v>1</v>
      </c>
      <c r="N43" s="21">
        <v>76</v>
      </c>
    </row>
    <row r="44" spans="2:14" ht="18">
      <c r="B44" s="50"/>
      <c r="C44" s="50"/>
      <c r="D44" s="50"/>
      <c r="E44" s="50"/>
      <c r="F44" s="50"/>
      <c r="G44" s="129"/>
      <c r="L44" s="21">
        <v>1</v>
      </c>
      <c r="N44" s="21">
        <v>77</v>
      </c>
    </row>
    <row r="45" spans="2:14" ht="18">
      <c r="B45" s="50"/>
      <c r="C45" s="50"/>
      <c r="D45" s="50"/>
      <c r="E45" s="50"/>
      <c r="F45" s="50"/>
      <c r="G45" s="129"/>
      <c r="L45" s="21">
        <v>1</v>
      </c>
      <c r="N45" s="21">
        <v>78</v>
      </c>
    </row>
    <row r="46" spans="2:14" ht="18">
      <c r="B46" s="50"/>
      <c r="C46" s="50"/>
      <c r="D46" s="50"/>
      <c r="E46" s="50"/>
      <c r="F46" s="50"/>
      <c r="G46" s="129"/>
      <c r="L46" s="21">
        <v>1</v>
      </c>
      <c r="N46" s="21">
        <v>79</v>
      </c>
    </row>
    <row r="47" spans="2:14" ht="18">
      <c r="B47" s="50"/>
      <c r="C47" s="50"/>
      <c r="D47" s="50"/>
      <c r="E47" s="50"/>
      <c r="F47" s="50"/>
      <c r="G47" s="129"/>
      <c r="L47" s="21">
        <v>1</v>
      </c>
      <c r="N47" s="21">
        <v>80</v>
      </c>
    </row>
    <row r="48" spans="2:14" ht="18">
      <c r="B48" s="50"/>
      <c r="C48" s="50"/>
      <c r="D48" s="50"/>
      <c r="E48" s="50"/>
      <c r="F48" s="50"/>
      <c r="G48" s="129"/>
      <c r="L48" s="21">
        <v>1</v>
      </c>
      <c r="N48" s="21">
        <v>81</v>
      </c>
    </row>
    <row r="49" spans="2:12" ht="18">
      <c r="B49" s="50"/>
      <c r="C49" s="50"/>
      <c r="D49" s="50"/>
      <c r="E49" s="50"/>
      <c r="F49" s="50"/>
      <c r="G49" s="129"/>
      <c r="L49" s="21">
        <v>1</v>
      </c>
    </row>
    <row r="50" spans="2:12" ht="18">
      <c r="B50" s="50"/>
      <c r="C50" s="50"/>
      <c r="D50" s="50"/>
      <c r="E50" s="50"/>
      <c r="F50" s="50"/>
      <c r="G50" s="129"/>
      <c r="L50" s="21">
        <v>1</v>
      </c>
    </row>
    <row r="51" spans="2:12" ht="18">
      <c r="B51" s="50"/>
      <c r="C51" s="50"/>
      <c r="D51" s="50"/>
      <c r="E51" s="50"/>
      <c r="F51" s="50"/>
      <c r="G51" s="129"/>
      <c r="L51" s="21">
        <v>1</v>
      </c>
    </row>
    <row r="52" spans="2:12" ht="18">
      <c r="B52" s="50"/>
      <c r="C52" s="50"/>
      <c r="D52" s="50"/>
      <c r="E52" s="50"/>
      <c r="F52" s="50"/>
      <c r="G52" s="129"/>
      <c r="L52" s="21">
        <v>1</v>
      </c>
    </row>
    <row r="53" spans="2:12" ht="18">
      <c r="B53" s="50"/>
      <c r="C53" s="50"/>
      <c r="D53" s="50"/>
      <c r="E53" s="50"/>
      <c r="F53" s="50"/>
      <c r="G53" s="129"/>
      <c r="L53" s="21">
        <v>1</v>
      </c>
    </row>
    <row r="54" spans="2:12" ht="18">
      <c r="B54" s="50"/>
      <c r="C54" s="50"/>
      <c r="D54" s="50"/>
      <c r="E54" s="50"/>
      <c r="F54" s="50"/>
      <c r="G54" s="129"/>
      <c r="L54" s="21">
        <v>1</v>
      </c>
    </row>
    <row r="55" spans="2:12" ht="18">
      <c r="B55" s="50"/>
      <c r="C55" s="50"/>
      <c r="D55" s="50"/>
      <c r="E55" s="50"/>
      <c r="F55" s="50"/>
      <c r="G55" s="129"/>
      <c r="L55" s="21">
        <v>1</v>
      </c>
    </row>
    <row r="56" spans="2:12" ht="18">
      <c r="B56" s="50"/>
      <c r="C56" s="50"/>
      <c r="D56" s="50"/>
      <c r="E56" s="50"/>
      <c r="F56" s="50"/>
      <c r="G56" s="129"/>
      <c r="L56" s="21">
        <v>1</v>
      </c>
    </row>
    <row r="57" spans="2:12" ht="18">
      <c r="B57" s="50"/>
      <c r="C57" s="50"/>
      <c r="D57" s="50"/>
      <c r="E57" s="50"/>
      <c r="F57" s="50"/>
      <c r="G57" s="129"/>
      <c r="L57" s="21">
        <v>1</v>
      </c>
    </row>
    <row r="58" spans="2:12" ht="18">
      <c r="B58" s="50"/>
      <c r="C58" s="50"/>
      <c r="D58" s="50"/>
      <c r="E58" s="50"/>
      <c r="F58" s="50"/>
      <c r="G58" s="129"/>
      <c r="L58" s="21">
        <v>1</v>
      </c>
    </row>
    <row r="59" spans="2:12" ht="18">
      <c r="B59" s="50"/>
      <c r="C59" s="50"/>
      <c r="D59" s="50"/>
      <c r="E59" s="50"/>
      <c r="F59" s="50"/>
      <c r="G59" s="129"/>
      <c r="L59" s="21">
        <v>1</v>
      </c>
    </row>
    <row r="60" spans="2:12" ht="18">
      <c r="B60" s="50"/>
      <c r="C60" s="50"/>
      <c r="D60" s="50"/>
      <c r="E60" s="50"/>
      <c r="F60" s="50"/>
      <c r="G60" s="129"/>
      <c r="L60" s="21">
        <v>1</v>
      </c>
    </row>
    <row r="61" spans="2:12" ht="18">
      <c r="B61" s="50"/>
      <c r="C61" s="50"/>
      <c r="D61" s="50"/>
      <c r="E61" s="50"/>
      <c r="F61" s="50"/>
      <c r="G61" s="129"/>
      <c r="L61" s="21">
        <v>1</v>
      </c>
    </row>
    <row r="62" spans="2:12" ht="18">
      <c r="B62" s="50"/>
      <c r="C62" s="50"/>
      <c r="D62" s="50"/>
      <c r="E62" s="50"/>
      <c r="F62" s="50"/>
      <c r="G62" s="129"/>
      <c r="L62" s="21">
        <v>1</v>
      </c>
    </row>
    <row r="63" spans="2:12" ht="18">
      <c r="B63" s="50"/>
      <c r="C63" s="50"/>
      <c r="D63" s="50"/>
      <c r="E63" s="50"/>
      <c r="F63" s="50"/>
      <c r="G63" s="129"/>
      <c r="L63" s="21">
        <v>1</v>
      </c>
    </row>
    <row r="64" spans="2:12" ht="18">
      <c r="B64" s="50"/>
      <c r="C64" s="50"/>
      <c r="D64" s="50"/>
      <c r="E64" s="50"/>
      <c r="F64" s="50"/>
      <c r="G64" s="129"/>
      <c r="L64" s="21">
        <v>1</v>
      </c>
    </row>
    <row r="65" spans="2:12" ht="18">
      <c r="B65" s="50"/>
      <c r="C65" s="50"/>
      <c r="D65" s="50"/>
      <c r="E65" s="50"/>
      <c r="F65" s="50"/>
      <c r="G65" s="129"/>
      <c r="L65" s="21">
        <v>1</v>
      </c>
    </row>
    <row r="66" spans="2:12" ht="18">
      <c r="B66" s="50"/>
      <c r="C66" s="50"/>
      <c r="D66" s="50"/>
      <c r="E66" s="50"/>
      <c r="F66" s="50"/>
      <c r="G66" s="129"/>
      <c r="L66" s="21">
        <v>1</v>
      </c>
    </row>
    <row r="67" spans="2:12" ht="18">
      <c r="B67" s="50"/>
      <c r="C67" s="50"/>
      <c r="D67" s="50"/>
      <c r="E67" s="50"/>
      <c r="F67" s="50"/>
      <c r="G67" s="129"/>
      <c r="L67" s="21">
        <v>1</v>
      </c>
    </row>
    <row r="68" spans="2:12" ht="18">
      <c r="B68" s="50"/>
      <c r="C68" s="50"/>
      <c r="D68" s="50"/>
      <c r="E68" s="50"/>
      <c r="F68" s="50"/>
      <c r="G68" s="129"/>
      <c r="L68" s="21">
        <v>1</v>
      </c>
    </row>
    <row r="69" spans="2:12" ht="18">
      <c r="B69" s="50"/>
      <c r="C69" s="50"/>
      <c r="D69" s="50"/>
      <c r="E69" s="50"/>
      <c r="F69" s="50"/>
      <c r="G69" s="129"/>
      <c r="L69" s="21">
        <v>1</v>
      </c>
    </row>
    <row r="70" spans="2:12" ht="18">
      <c r="B70" s="50"/>
      <c r="C70" s="50"/>
      <c r="D70" s="50"/>
      <c r="E70" s="50"/>
      <c r="F70" s="50"/>
      <c r="G70" s="129"/>
      <c r="L70" s="21">
        <v>1</v>
      </c>
    </row>
    <row r="71" spans="2:12" ht="18">
      <c r="B71" s="50"/>
      <c r="C71" s="50"/>
      <c r="D71" s="50"/>
      <c r="E71" s="50"/>
      <c r="F71" s="50"/>
      <c r="G71" s="129"/>
      <c r="L71" s="21">
        <v>1</v>
      </c>
    </row>
    <row r="72" spans="2:12" ht="18">
      <c r="B72" s="50"/>
      <c r="C72" s="50"/>
      <c r="D72" s="50"/>
      <c r="E72" s="50"/>
      <c r="F72" s="50"/>
      <c r="G72" s="129"/>
      <c r="L72" s="21">
        <v>1</v>
      </c>
    </row>
    <row r="73" spans="2:12" ht="18">
      <c r="B73" s="50"/>
      <c r="C73" s="50"/>
      <c r="D73" s="50"/>
      <c r="E73" s="50"/>
      <c r="F73" s="50"/>
      <c r="G73" s="129"/>
      <c r="L73" s="21">
        <v>1</v>
      </c>
    </row>
    <row r="74" spans="2:12" ht="18">
      <c r="B74" s="50"/>
      <c r="C74" s="50"/>
      <c r="D74" s="50"/>
      <c r="E74" s="50"/>
      <c r="F74" s="50"/>
      <c r="G74" s="129"/>
      <c r="L74" s="21">
        <v>1</v>
      </c>
    </row>
    <row r="75" spans="2:12" ht="18">
      <c r="B75" s="50"/>
      <c r="C75" s="50"/>
      <c r="D75" s="50"/>
      <c r="E75" s="50"/>
      <c r="F75" s="50"/>
      <c r="G75" s="129"/>
      <c r="L75" s="21">
        <v>1</v>
      </c>
    </row>
    <row r="76" spans="2:12" ht="18">
      <c r="B76" s="50"/>
      <c r="C76" s="50"/>
      <c r="D76" s="50"/>
      <c r="E76" s="50"/>
      <c r="F76" s="50"/>
      <c r="G76" s="129"/>
      <c r="L76" s="21">
        <v>1</v>
      </c>
    </row>
    <row r="77" spans="2:12" ht="18">
      <c r="B77" s="50"/>
      <c r="C77" s="50"/>
      <c r="D77" s="50"/>
      <c r="E77" s="50"/>
      <c r="F77" s="50"/>
      <c r="G77" s="129"/>
      <c r="L77" s="21">
        <v>1</v>
      </c>
    </row>
    <row r="78" spans="2:12" ht="18">
      <c r="B78" s="50"/>
      <c r="C78" s="50"/>
      <c r="D78" s="50"/>
      <c r="E78" s="50"/>
      <c r="F78" s="50"/>
      <c r="G78" s="129"/>
      <c r="L78" s="21">
        <v>1</v>
      </c>
    </row>
    <row r="79" spans="2:12" ht="18">
      <c r="B79" s="50"/>
      <c r="C79" s="50"/>
      <c r="D79" s="50"/>
      <c r="E79" s="50"/>
      <c r="F79" s="50"/>
      <c r="G79" s="129"/>
      <c r="L79" s="21">
        <v>1</v>
      </c>
    </row>
    <row r="80" spans="2:12" ht="18">
      <c r="B80" s="50"/>
      <c r="C80" s="50"/>
      <c r="D80" s="50"/>
      <c r="E80" s="50"/>
      <c r="F80" s="50"/>
      <c r="G80" s="129"/>
      <c r="L80" s="21">
        <v>1</v>
      </c>
    </row>
    <row r="81" spans="2:12" ht="18">
      <c r="B81" s="50"/>
      <c r="C81" s="50"/>
      <c r="D81" s="50"/>
      <c r="E81" s="50"/>
      <c r="F81" s="50"/>
      <c r="G81" s="129"/>
      <c r="L81" s="21">
        <v>1</v>
      </c>
    </row>
    <row r="82" spans="2:12" ht="18">
      <c r="B82" s="50"/>
      <c r="C82" s="50"/>
      <c r="D82" s="50"/>
      <c r="E82" s="50"/>
      <c r="F82" s="50"/>
      <c r="G82" s="129"/>
      <c r="L82" s="21">
        <v>1</v>
      </c>
    </row>
    <row r="83" spans="2:12" ht="18">
      <c r="B83" s="50"/>
      <c r="C83" s="50"/>
      <c r="D83" s="50"/>
      <c r="E83" s="50"/>
      <c r="F83" s="50"/>
      <c r="G83" s="129"/>
      <c r="L83" s="21">
        <v>1</v>
      </c>
    </row>
    <row r="84" spans="2:12" ht="18">
      <c r="B84" s="50"/>
      <c r="C84" s="50"/>
      <c r="D84" s="50"/>
      <c r="E84" s="50"/>
      <c r="F84" s="50"/>
      <c r="G84" s="129"/>
      <c r="L84" s="21">
        <v>1</v>
      </c>
    </row>
    <row r="85" spans="2:12" ht="18">
      <c r="B85" s="50"/>
      <c r="C85" s="50"/>
      <c r="D85" s="50"/>
      <c r="E85" s="50"/>
      <c r="F85" s="50"/>
      <c r="G85" s="129"/>
      <c r="L85" s="21">
        <v>1</v>
      </c>
    </row>
    <row r="86" spans="2:12" ht="18">
      <c r="B86" s="50"/>
      <c r="C86" s="50"/>
      <c r="D86" s="50"/>
      <c r="E86" s="50"/>
      <c r="F86" s="50"/>
      <c r="G86" s="129"/>
      <c r="L86" s="21">
        <v>1</v>
      </c>
    </row>
    <row r="87" spans="2:12" ht="18">
      <c r="B87" s="50"/>
      <c r="C87" s="50"/>
      <c r="D87" s="50"/>
      <c r="E87" s="50"/>
      <c r="F87" s="50"/>
      <c r="G87" s="129"/>
      <c r="L87" s="21">
        <v>1</v>
      </c>
    </row>
    <row r="88" spans="2:12" ht="18">
      <c r="B88" s="50"/>
      <c r="C88" s="50"/>
      <c r="D88" s="50"/>
      <c r="E88" s="50"/>
      <c r="F88" s="50"/>
      <c r="G88" s="129"/>
      <c r="L88" s="21">
        <v>1</v>
      </c>
    </row>
    <row r="89" spans="2:12" ht="18">
      <c r="B89" s="50"/>
      <c r="C89" s="50"/>
      <c r="D89" s="50"/>
      <c r="E89" s="50"/>
      <c r="F89" s="50"/>
      <c r="G89" s="129"/>
      <c r="L89" s="21">
        <v>1</v>
      </c>
    </row>
    <row r="90" spans="2:12" ht="18">
      <c r="B90" s="50"/>
      <c r="C90" s="50"/>
      <c r="D90" s="50"/>
      <c r="E90" s="50"/>
      <c r="F90" s="50"/>
      <c r="G90" s="129"/>
      <c r="L90" s="21">
        <v>1</v>
      </c>
    </row>
    <row r="91" spans="2:12" ht="18">
      <c r="B91" s="50"/>
      <c r="C91" s="50"/>
      <c r="D91" s="50"/>
      <c r="E91" s="50"/>
      <c r="F91" s="50"/>
      <c r="G91" s="129"/>
      <c r="L91" s="21">
        <v>1</v>
      </c>
    </row>
    <row r="92" spans="2:12" ht="18">
      <c r="B92" s="50"/>
      <c r="C92" s="50"/>
      <c r="D92" s="50"/>
      <c r="E92" s="50"/>
      <c r="F92" s="50"/>
      <c r="G92" s="129"/>
      <c r="L92" s="21">
        <v>1</v>
      </c>
    </row>
    <row r="93" spans="2:12" ht="18">
      <c r="B93" s="50"/>
      <c r="C93" s="50"/>
      <c r="D93" s="50"/>
      <c r="E93" s="50"/>
      <c r="F93" s="50"/>
      <c r="G93" s="129"/>
      <c r="L93" s="21">
        <v>1</v>
      </c>
    </row>
    <row r="94" spans="2:12" ht="18">
      <c r="B94" s="50"/>
      <c r="C94" s="50"/>
      <c r="D94" s="50"/>
      <c r="E94" s="50"/>
      <c r="F94" s="50"/>
      <c r="G94" s="129"/>
      <c r="L94" s="21">
        <v>1</v>
      </c>
    </row>
    <row r="95" spans="2:12" ht="18">
      <c r="B95" s="50"/>
      <c r="C95" s="50"/>
      <c r="D95" s="50"/>
      <c r="E95" s="50"/>
      <c r="F95" s="50"/>
      <c r="G95" s="129"/>
      <c r="L95" s="21">
        <v>1</v>
      </c>
    </row>
    <row r="96" spans="2:12" ht="18">
      <c r="B96" s="50"/>
      <c r="C96" s="50"/>
      <c r="D96" s="50"/>
      <c r="E96" s="50"/>
      <c r="F96" s="50"/>
      <c r="G96" s="129"/>
      <c r="L96" s="21">
        <v>1</v>
      </c>
    </row>
    <row r="97" spans="2:12" ht="18">
      <c r="B97" s="50"/>
      <c r="C97" s="50"/>
      <c r="D97" s="50"/>
      <c r="E97" s="50"/>
      <c r="F97" s="50"/>
      <c r="G97" s="129"/>
      <c r="L97" s="21">
        <v>1</v>
      </c>
    </row>
    <row r="98" spans="2:12" ht="18">
      <c r="B98" s="50"/>
      <c r="C98" s="50"/>
      <c r="D98" s="50"/>
      <c r="E98" s="50"/>
      <c r="F98" s="50"/>
      <c r="G98" s="129"/>
      <c r="L98" s="21">
        <v>1</v>
      </c>
    </row>
    <row r="99" spans="2:12" ht="18">
      <c r="B99" s="50"/>
      <c r="C99" s="50"/>
      <c r="D99" s="50"/>
      <c r="E99" s="50"/>
      <c r="F99" s="50"/>
      <c r="G99" s="129"/>
      <c r="L99" s="21">
        <v>1</v>
      </c>
    </row>
    <row r="100" spans="2:12" ht="18">
      <c r="B100" s="50"/>
      <c r="C100" s="50"/>
      <c r="D100" s="50"/>
      <c r="E100" s="50"/>
      <c r="F100" s="50"/>
      <c r="G100" s="129"/>
      <c r="L100" s="21">
        <v>1</v>
      </c>
    </row>
    <row r="101" spans="2:12" ht="18">
      <c r="B101" s="50"/>
      <c r="C101" s="50"/>
      <c r="D101" s="50"/>
      <c r="E101" s="50"/>
      <c r="F101" s="50"/>
      <c r="G101" s="129"/>
      <c r="L101" s="21">
        <v>1</v>
      </c>
    </row>
    <row r="102" spans="2:12" ht="18">
      <c r="B102" s="50"/>
      <c r="C102" s="50"/>
      <c r="D102" s="50"/>
      <c r="E102" s="50"/>
      <c r="F102" s="50"/>
      <c r="G102" s="129"/>
      <c r="L102" s="21">
        <v>1</v>
      </c>
    </row>
    <row r="103" spans="2:12" ht="18">
      <c r="B103" s="50"/>
      <c r="C103" s="50"/>
      <c r="D103" s="50"/>
      <c r="E103" s="50"/>
      <c r="F103" s="50"/>
      <c r="G103" s="129"/>
      <c r="L103" s="21">
        <v>1</v>
      </c>
    </row>
    <row r="104" spans="2:12" ht="18">
      <c r="B104" s="50"/>
      <c r="C104" s="50"/>
      <c r="D104" s="50"/>
      <c r="E104" s="50"/>
      <c r="F104" s="50"/>
      <c r="G104" s="129"/>
      <c r="L104" s="21">
        <v>1</v>
      </c>
    </row>
    <row r="105" spans="2:12" ht="18">
      <c r="B105" s="50"/>
      <c r="C105" s="50"/>
      <c r="D105" s="50"/>
      <c r="E105" s="50"/>
      <c r="F105" s="50"/>
      <c r="G105" s="129"/>
      <c r="L105" s="21">
        <v>1</v>
      </c>
    </row>
    <row r="106" spans="2:12" ht="18">
      <c r="B106" s="50"/>
      <c r="C106" s="50"/>
      <c r="D106" s="50"/>
      <c r="E106" s="50"/>
      <c r="F106" s="50"/>
      <c r="G106" s="129"/>
      <c r="L106" s="21">
        <v>1</v>
      </c>
    </row>
    <row r="107" spans="2:12" ht="18">
      <c r="B107" s="50"/>
      <c r="C107" s="50"/>
      <c r="D107" s="50"/>
      <c r="E107" s="50"/>
      <c r="F107" s="50"/>
      <c r="G107" s="129"/>
      <c r="L107" s="21">
        <v>1</v>
      </c>
    </row>
    <row r="108" spans="2:12" ht="18">
      <c r="B108" s="50"/>
      <c r="C108" s="50"/>
      <c r="D108" s="50"/>
      <c r="E108" s="50"/>
      <c r="F108" s="50"/>
      <c r="G108" s="129"/>
      <c r="L108" s="21">
        <v>1</v>
      </c>
    </row>
    <row r="109" spans="2:12" ht="18">
      <c r="B109" s="50"/>
      <c r="C109" s="50"/>
      <c r="D109" s="50"/>
      <c r="E109" s="50"/>
      <c r="F109" s="50"/>
      <c r="G109" s="129"/>
      <c r="L109" s="21">
        <v>1</v>
      </c>
    </row>
    <row r="110" spans="2:12" ht="18">
      <c r="B110" s="50"/>
      <c r="C110" s="50"/>
      <c r="D110" s="50"/>
      <c r="E110" s="50"/>
      <c r="F110" s="50"/>
      <c r="G110" s="129"/>
      <c r="L110" s="21">
        <v>1</v>
      </c>
    </row>
    <row r="111" spans="2:12" ht="18">
      <c r="B111" s="50"/>
      <c r="C111" s="50"/>
      <c r="D111" s="50"/>
      <c r="E111" s="50"/>
      <c r="F111" s="50"/>
      <c r="G111" s="129"/>
      <c r="L111" s="21">
        <v>1</v>
      </c>
    </row>
    <row r="112" spans="2:12" ht="18">
      <c r="B112" s="50"/>
      <c r="C112" s="50"/>
      <c r="D112" s="50"/>
      <c r="E112" s="50"/>
      <c r="F112" s="50"/>
      <c r="G112" s="129"/>
      <c r="L112" s="21">
        <v>1</v>
      </c>
    </row>
    <row r="113" spans="2:12" ht="18">
      <c r="B113" s="50"/>
      <c r="C113" s="50"/>
      <c r="D113" s="50"/>
      <c r="E113" s="50"/>
      <c r="F113" s="50"/>
      <c r="G113" s="129"/>
      <c r="L113" s="21">
        <v>1</v>
      </c>
    </row>
    <row r="114" spans="2:12" ht="18">
      <c r="B114" s="50"/>
      <c r="C114" s="50"/>
      <c r="D114" s="50"/>
      <c r="E114" s="50"/>
      <c r="F114" s="50"/>
      <c r="G114" s="129"/>
      <c r="L114" s="21">
        <v>1</v>
      </c>
    </row>
    <row r="115" spans="2:12" ht="18">
      <c r="B115" s="50"/>
      <c r="C115" s="50"/>
      <c r="D115" s="50"/>
      <c r="E115" s="50"/>
      <c r="F115" s="50"/>
      <c r="G115" s="129"/>
      <c r="L115" s="21">
        <v>1</v>
      </c>
    </row>
    <row r="116" spans="2:12" ht="18">
      <c r="B116" s="50"/>
      <c r="C116" s="50"/>
      <c r="D116" s="50"/>
      <c r="E116" s="50"/>
      <c r="F116" s="50"/>
      <c r="G116" s="129"/>
      <c r="L116" s="21">
        <v>1</v>
      </c>
    </row>
    <row r="117" spans="2:12" ht="18">
      <c r="B117" s="50"/>
      <c r="C117" s="50"/>
      <c r="D117" s="50"/>
      <c r="E117" s="50"/>
      <c r="F117" s="50"/>
      <c r="G117" s="129"/>
      <c r="L117" s="21">
        <v>1</v>
      </c>
    </row>
    <row r="118" spans="2:12" ht="18">
      <c r="B118" s="50"/>
      <c r="C118" s="50"/>
      <c r="D118" s="50"/>
      <c r="E118" s="50"/>
      <c r="F118" s="50"/>
      <c r="G118" s="129"/>
      <c r="L118" s="21">
        <v>1</v>
      </c>
    </row>
    <row r="119" spans="2:12" ht="18">
      <c r="B119" s="50"/>
      <c r="C119" s="50"/>
      <c r="D119" s="50"/>
      <c r="E119" s="50"/>
      <c r="F119" s="50"/>
      <c r="G119" s="129"/>
      <c r="L119" s="21">
        <v>1</v>
      </c>
    </row>
    <row r="120" spans="2:12" ht="18">
      <c r="B120" s="50"/>
      <c r="C120" s="50"/>
      <c r="D120" s="50"/>
      <c r="E120" s="50"/>
      <c r="F120" s="50"/>
      <c r="G120" s="129"/>
      <c r="L120" s="21">
        <v>1</v>
      </c>
    </row>
    <row r="121" spans="2:12" ht="18">
      <c r="B121" s="50"/>
      <c r="C121" s="50"/>
      <c r="D121" s="50"/>
      <c r="E121" s="50"/>
      <c r="F121" s="50"/>
      <c r="G121" s="129"/>
      <c r="L121" s="21">
        <v>1</v>
      </c>
    </row>
    <row r="122" spans="2:12" ht="18">
      <c r="B122" s="50"/>
      <c r="C122" s="50"/>
      <c r="D122" s="50"/>
      <c r="E122" s="50"/>
      <c r="F122" s="50"/>
      <c r="G122" s="129"/>
      <c r="L122" s="21">
        <v>1</v>
      </c>
    </row>
    <row r="123" spans="2:12" ht="18">
      <c r="B123" s="50"/>
      <c r="C123" s="50"/>
      <c r="D123" s="50"/>
      <c r="E123" s="50"/>
      <c r="F123" s="50"/>
      <c r="G123" s="129"/>
      <c r="L123" s="21">
        <v>1</v>
      </c>
    </row>
    <row r="124" spans="2:12" ht="18">
      <c r="B124" s="50"/>
      <c r="C124" s="50"/>
      <c r="D124" s="50"/>
      <c r="E124" s="50"/>
      <c r="F124" s="50"/>
      <c r="G124" s="129"/>
      <c r="L124" s="21">
        <v>1</v>
      </c>
    </row>
    <row r="125" spans="2:12" ht="18">
      <c r="B125" s="50"/>
      <c r="C125" s="50"/>
      <c r="D125" s="50"/>
      <c r="E125" s="50"/>
      <c r="F125" s="50"/>
      <c r="G125" s="129"/>
      <c r="L125" s="21">
        <v>1</v>
      </c>
    </row>
    <row r="126" spans="2:12" ht="18">
      <c r="B126" s="50"/>
      <c r="C126" s="50"/>
      <c r="D126" s="50"/>
      <c r="E126" s="50"/>
      <c r="F126" s="50"/>
      <c r="G126" s="129"/>
      <c r="L126" s="21">
        <v>1</v>
      </c>
    </row>
    <row r="127" spans="2:12" ht="18">
      <c r="B127" s="50"/>
      <c r="C127" s="50"/>
      <c r="D127" s="50"/>
      <c r="E127" s="50"/>
      <c r="F127" s="50"/>
      <c r="G127" s="129"/>
      <c r="L127" s="21">
        <v>1</v>
      </c>
    </row>
    <row r="128" spans="2:12" ht="18">
      <c r="B128" s="50"/>
      <c r="C128" s="50"/>
      <c r="D128" s="50"/>
      <c r="E128" s="50"/>
      <c r="F128" s="50"/>
      <c r="G128" s="129"/>
      <c r="L128" s="21">
        <v>1</v>
      </c>
    </row>
    <row r="129" spans="2:12" ht="18">
      <c r="B129" s="50"/>
      <c r="C129" s="50"/>
      <c r="D129" s="50"/>
      <c r="E129" s="50"/>
      <c r="F129" s="50"/>
      <c r="G129" s="129"/>
      <c r="L129" s="21">
        <v>1</v>
      </c>
    </row>
    <row r="130" spans="2:12" ht="18">
      <c r="B130" s="50"/>
      <c r="C130" s="50"/>
      <c r="D130" s="50"/>
      <c r="E130" s="50"/>
      <c r="F130" s="50"/>
      <c r="G130" s="129"/>
      <c r="L130" s="21">
        <v>1</v>
      </c>
    </row>
    <row r="131" spans="2:12" ht="18">
      <c r="B131" s="50"/>
      <c r="C131" s="50"/>
      <c r="D131" s="50"/>
      <c r="E131" s="50"/>
      <c r="F131" s="50"/>
      <c r="G131" s="129"/>
      <c r="L131" s="21">
        <v>1</v>
      </c>
    </row>
    <row r="132" spans="2:12" ht="18">
      <c r="B132" s="50"/>
      <c r="C132" s="50"/>
      <c r="D132" s="50"/>
      <c r="E132" s="50"/>
      <c r="F132" s="50"/>
      <c r="G132" s="129"/>
      <c r="L132" s="21">
        <v>1</v>
      </c>
    </row>
    <row r="133" spans="2:12" ht="18">
      <c r="B133" s="50"/>
      <c r="C133" s="50"/>
      <c r="D133" s="50"/>
      <c r="E133" s="50"/>
      <c r="F133" s="50"/>
      <c r="G133" s="129"/>
      <c r="L133" s="21">
        <v>1</v>
      </c>
    </row>
    <row r="134" spans="2:12" ht="18">
      <c r="B134" s="50"/>
      <c r="C134" s="50"/>
      <c r="D134" s="50"/>
      <c r="E134" s="50"/>
      <c r="F134" s="50"/>
      <c r="G134" s="129"/>
      <c r="L134" s="21">
        <v>1</v>
      </c>
    </row>
    <row r="135" spans="2:12" ht="18">
      <c r="B135" s="50"/>
      <c r="C135" s="50"/>
      <c r="D135" s="50"/>
      <c r="E135" s="50"/>
      <c r="F135" s="50"/>
      <c r="G135" s="129"/>
      <c r="L135" s="21">
        <v>1</v>
      </c>
    </row>
    <row r="136" spans="2:12" ht="18">
      <c r="B136" s="50"/>
      <c r="C136" s="50"/>
      <c r="D136" s="50"/>
      <c r="E136" s="50"/>
      <c r="F136" s="50"/>
      <c r="G136" s="129"/>
      <c r="L136" s="21">
        <v>1</v>
      </c>
    </row>
    <row r="137" spans="2:12" ht="18">
      <c r="B137" s="50"/>
      <c r="C137" s="50"/>
      <c r="D137" s="50"/>
      <c r="E137" s="50"/>
      <c r="F137" s="50"/>
      <c r="G137" s="129"/>
      <c r="L137" s="21">
        <v>1</v>
      </c>
    </row>
    <row r="138" spans="2:12" ht="18">
      <c r="B138" s="50"/>
      <c r="C138" s="50"/>
      <c r="D138" s="50"/>
      <c r="E138" s="50"/>
      <c r="F138" s="50"/>
      <c r="G138" s="129"/>
      <c r="L138" s="21">
        <v>1</v>
      </c>
    </row>
    <row r="139" spans="2:12" ht="18">
      <c r="B139" s="50"/>
      <c r="C139" s="50"/>
      <c r="D139" s="50"/>
      <c r="E139" s="50"/>
      <c r="F139" s="50"/>
      <c r="G139" s="129"/>
      <c r="L139" s="21">
        <v>1</v>
      </c>
    </row>
    <row r="140" spans="2:12" ht="18">
      <c r="B140" s="50"/>
      <c r="C140" s="50"/>
      <c r="D140" s="50"/>
      <c r="E140" s="50"/>
      <c r="F140" s="50"/>
      <c r="G140" s="129"/>
      <c r="L140" s="21">
        <v>1</v>
      </c>
    </row>
    <row r="141" spans="2:12" ht="18">
      <c r="B141" s="50"/>
      <c r="C141" s="50"/>
      <c r="D141" s="50"/>
      <c r="E141" s="50"/>
      <c r="F141" s="50"/>
      <c r="G141" s="129"/>
      <c r="L141" s="21">
        <v>1</v>
      </c>
    </row>
    <row r="142" spans="2:12" ht="18">
      <c r="B142" s="50"/>
      <c r="C142" s="50"/>
      <c r="D142" s="50"/>
      <c r="E142" s="50"/>
      <c r="F142" s="50"/>
      <c r="G142" s="129"/>
      <c r="L142" s="21">
        <v>1</v>
      </c>
    </row>
    <row r="143" spans="2:12" ht="18">
      <c r="B143" s="50"/>
      <c r="C143" s="50"/>
      <c r="D143" s="50"/>
      <c r="E143" s="50"/>
      <c r="F143" s="50"/>
      <c r="G143" s="129"/>
      <c r="L143" s="21">
        <v>1</v>
      </c>
    </row>
    <row r="144" spans="2:12" ht="18">
      <c r="B144" s="50"/>
      <c r="C144" s="50"/>
      <c r="D144" s="50"/>
      <c r="E144" s="50"/>
      <c r="F144" s="50"/>
      <c r="G144" s="129"/>
      <c r="L144" s="21">
        <v>1</v>
      </c>
    </row>
    <row r="145" spans="2:12" ht="18">
      <c r="B145" s="50"/>
      <c r="C145" s="50"/>
      <c r="D145" s="50"/>
      <c r="E145" s="50"/>
      <c r="F145" s="50"/>
      <c r="G145" s="129"/>
      <c r="L145" s="21">
        <v>1</v>
      </c>
    </row>
    <row r="146" spans="2:12" ht="18">
      <c r="B146" s="50"/>
      <c r="C146" s="50"/>
      <c r="D146" s="50"/>
      <c r="E146" s="50"/>
      <c r="F146" s="50"/>
      <c r="G146" s="129"/>
      <c r="L146" s="21">
        <v>1</v>
      </c>
    </row>
    <row r="147" spans="2:12" ht="18">
      <c r="B147" s="50"/>
      <c r="C147" s="50"/>
      <c r="D147" s="50"/>
      <c r="E147" s="50"/>
      <c r="F147" s="50"/>
      <c r="G147" s="129"/>
      <c r="L147" s="21">
        <v>1</v>
      </c>
    </row>
    <row r="148" spans="2:12" ht="18">
      <c r="B148" s="50"/>
      <c r="C148" s="50"/>
      <c r="D148" s="50"/>
      <c r="E148" s="50"/>
      <c r="F148" s="50"/>
      <c r="G148" s="129"/>
      <c r="L148" s="21">
        <v>1</v>
      </c>
    </row>
    <row r="149" spans="2:12" ht="18">
      <c r="B149" s="50"/>
      <c r="C149" s="50"/>
      <c r="D149" s="50"/>
      <c r="E149" s="50"/>
      <c r="F149" s="50"/>
      <c r="G149" s="129"/>
      <c r="L149" s="21">
        <v>1</v>
      </c>
    </row>
    <row r="150" spans="2:12" ht="18">
      <c r="B150" s="50"/>
      <c r="C150" s="50"/>
      <c r="D150" s="50"/>
      <c r="E150" s="50"/>
      <c r="F150" s="50"/>
      <c r="G150" s="129"/>
      <c r="L150" s="21">
        <v>1</v>
      </c>
    </row>
    <row r="151" spans="2:12" ht="18">
      <c r="B151" s="50"/>
      <c r="C151" s="50"/>
      <c r="D151" s="50"/>
      <c r="E151" s="50"/>
      <c r="F151" s="50"/>
      <c r="G151" s="129"/>
      <c r="L151" s="21">
        <v>1</v>
      </c>
    </row>
    <row r="152" spans="2:12" ht="18">
      <c r="B152" s="50"/>
      <c r="C152" s="50"/>
      <c r="D152" s="50"/>
      <c r="E152" s="50"/>
      <c r="F152" s="50"/>
      <c r="G152" s="129"/>
      <c r="L152" s="21">
        <v>1</v>
      </c>
    </row>
    <row r="153" spans="2:12" ht="18">
      <c r="B153" s="50"/>
      <c r="C153" s="50"/>
      <c r="D153" s="50"/>
      <c r="E153" s="50"/>
      <c r="F153" s="50"/>
      <c r="G153" s="129"/>
      <c r="L153" s="21">
        <v>1</v>
      </c>
    </row>
    <row r="154" spans="2:12" ht="18">
      <c r="B154" s="50"/>
      <c r="C154" s="50"/>
      <c r="D154" s="50"/>
      <c r="E154" s="50"/>
      <c r="F154" s="50"/>
      <c r="G154" s="129"/>
      <c r="L154" s="21">
        <v>1</v>
      </c>
    </row>
    <row r="155" spans="2:12" ht="18">
      <c r="B155" s="50"/>
      <c r="C155" s="50"/>
      <c r="D155" s="50"/>
      <c r="E155" s="50"/>
      <c r="F155" s="50"/>
      <c r="G155" s="129"/>
      <c r="L155" s="21">
        <v>1</v>
      </c>
    </row>
    <row r="156" spans="2:12" ht="18">
      <c r="B156" s="50"/>
      <c r="C156" s="50"/>
      <c r="D156" s="50"/>
      <c r="E156" s="50"/>
      <c r="F156" s="50"/>
      <c r="G156" s="129"/>
      <c r="L156" s="21">
        <v>1</v>
      </c>
    </row>
    <row r="157" spans="2:12" ht="18">
      <c r="B157" s="50"/>
      <c r="C157" s="50"/>
      <c r="D157" s="50"/>
      <c r="E157" s="50"/>
      <c r="F157" s="50"/>
      <c r="G157" s="129"/>
      <c r="L157" s="21">
        <v>1</v>
      </c>
    </row>
    <row r="158" spans="2:12" ht="18">
      <c r="B158" s="50"/>
      <c r="C158" s="50"/>
      <c r="D158" s="50"/>
      <c r="E158" s="50"/>
      <c r="F158" s="50"/>
      <c r="G158" s="129"/>
      <c r="L158" s="21">
        <v>1</v>
      </c>
    </row>
    <row r="159" spans="2:12" ht="18">
      <c r="B159" s="50"/>
      <c r="C159" s="50"/>
      <c r="D159" s="50"/>
      <c r="E159" s="50"/>
      <c r="F159" s="50"/>
      <c r="G159" s="129"/>
      <c r="L159" s="21">
        <v>1</v>
      </c>
    </row>
    <row r="160" spans="2:12" ht="18">
      <c r="B160" s="50"/>
      <c r="C160" s="50"/>
      <c r="D160" s="50"/>
      <c r="E160" s="50"/>
      <c r="F160" s="50"/>
      <c r="G160" s="129"/>
      <c r="L160" s="21">
        <v>1</v>
      </c>
    </row>
    <row r="161" spans="2:12" ht="18">
      <c r="B161" s="50"/>
      <c r="C161" s="50"/>
      <c r="D161" s="50"/>
      <c r="E161" s="50"/>
      <c r="F161" s="50"/>
      <c r="G161" s="129"/>
      <c r="L161" s="21">
        <v>1</v>
      </c>
    </row>
    <row r="162" spans="2:12" ht="18">
      <c r="B162" s="50"/>
      <c r="C162" s="50"/>
      <c r="D162" s="50"/>
      <c r="E162" s="50"/>
      <c r="F162" s="50"/>
      <c r="G162" s="129"/>
      <c r="L162" s="21">
        <v>1</v>
      </c>
    </row>
    <row r="163" spans="2:12" ht="18">
      <c r="B163" s="50"/>
      <c r="C163" s="50"/>
      <c r="D163" s="50"/>
      <c r="E163" s="50"/>
      <c r="F163" s="50"/>
      <c r="G163" s="129"/>
      <c r="L163" s="21">
        <v>1</v>
      </c>
    </row>
    <row r="164" spans="2:12" ht="18">
      <c r="B164" s="50"/>
      <c r="C164" s="50"/>
      <c r="D164" s="50"/>
      <c r="E164" s="50"/>
      <c r="F164" s="50"/>
      <c r="G164" s="129"/>
      <c r="L164" s="21">
        <v>1</v>
      </c>
    </row>
    <row r="165" spans="2:12" ht="18">
      <c r="B165" s="50"/>
      <c r="C165" s="50"/>
      <c r="D165" s="50"/>
      <c r="E165" s="50"/>
      <c r="F165" s="50"/>
      <c r="G165" s="129"/>
      <c r="L165" s="21">
        <v>1</v>
      </c>
    </row>
    <row r="166" spans="2:12" ht="18">
      <c r="B166" s="50"/>
      <c r="C166" s="50"/>
      <c r="D166" s="50"/>
      <c r="E166" s="50"/>
      <c r="F166" s="50"/>
      <c r="G166" s="129"/>
      <c r="L166" s="21">
        <v>1</v>
      </c>
    </row>
    <row r="167" spans="2:12" ht="18">
      <c r="B167" s="50"/>
      <c r="C167" s="50"/>
      <c r="D167" s="50"/>
      <c r="E167" s="50"/>
      <c r="F167" s="50"/>
      <c r="G167" s="129"/>
      <c r="L167" s="21">
        <v>1</v>
      </c>
    </row>
    <row r="168" spans="2:12" ht="18">
      <c r="B168" s="50"/>
      <c r="C168" s="50"/>
      <c r="D168" s="50"/>
      <c r="E168" s="50"/>
      <c r="F168" s="50"/>
      <c r="G168" s="129"/>
      <c r="L168" s="21">
        <v>1</v>
      </c>
    </row>
    <row r="169" spans="2:12" ht="18">
      <c r="B169" s="50"/>
      <c r="C169" s="50"/>
      <c r="D169" s="50"/>
      <c r="E169" s="50"/>
      <c r="F169" s="50"/>
      <c r="G169" s="129"/>
      <c r="L169" s="21">
        <v>1</v>
      </c>
    </row>
    <row r="170" spans="2:12" ht="18">
      <c r="B170" s="50"/>
      <c r="C170" s="50"/>
      <c r="D170" s="50"/>
      <c r="E170" s="50"/>
      <c r="F170" s="50"/>
      <c r="G170" s="129"/>
      <c r="L170" s="21">
        <v>1</v>
      </c>
    </row>
    <row r="171" spans="2:12" ht="18">
      <c r="B171" s="50"/>
      <c r="C171" s="50"/>
      <c r="D171" s="50"/>
      <c r="E171" s="50"/>
      <c r="F171" s="50"/>
      <c r="G171" s="129"/>
      <c r="L171" s="21">
        <v>1</v>
      </c>
    </row>
    <row r="172" spans="2:12" ht="18">
      <c r="B172" s="50"/>
      <c r="C172" s="50"/>
      <c r="D172" s="50"/>
      <c r="E172" s="50"/>
      <c r="F172" s="50"/>
      <c r="G172" s="129"/>
      <c r="L172" s="21">
        <v>1</v>
      </c>
    </row>
    <row r="173" spans="2:12" ht="18">
      <c r="B173" s="50"/>
      <c r="C173" s="50"/>
      <c r="D173" s="50"/>
      <c r="E173" s="50"/>
      <c r="F173" s="50"/>
      <c r="G173" s="129"/>
      <c r="L173" s="21">
        <v>1</v>
      </c>
    </row>
    <row r="174" spans="2:12" ht="18">
      <c r="B174" s="50"/>
      <c r="C174" s="50"/>
      <c r="D174" s="50"/>
      <c r="E174" s="50"/>
      <c r="F174" s="50"/>
      <c r="G174" s="129"/>
      <c r="L174" s="21">
        <v>1</v>
      </c>
    </row>
    <row r="175" spans="2:12" ht="18">
      <c r="B175" s="50"/>
      <c r="C175" s="50"/>
      <c r="D175" s="50"/>
      <c r="E175" s="50"/>
      <c r="F175" s="50"/>
      <c r="G175" s="129"/>
      <c r="L175" s="21">
        <v>1</v>
      </c>
    </row>
    <row r="176" spans="2:12" ht="18">
      <c r="B176" s="50"/>
      <c r="C176" s="50"/>
      <c r="D176" s="50"/>
      <c r="E176" s="50"/>
      <c r="F176" s="50"/>
      <c r="G176" s="129"/>
      <c r="L176" s="21">
        <v>1</v>
      </c>
    </row>
    <row r="177" spans="2:12" ht="18">
      <c r="B177" s="50"/>
      <c r="C177" s="50"/>
      <c r="D177" s="50"/>
      <c r="E177" s="50"/>
      <c r="F177" s="50"/>
      <c r="G177" s="129"/>
      <c r="L177" s="21">
        <v>1</v>
      </c>
    </row>
    <row r="178" spans="2:12" ht="18">
      <c r="B178" s="50"/>
      <c r="C178" s="50"/>
      <c r="D178" s="50"/>
      <c r="E178" s="50"/>
      <c r="F178" s="50"/>
      <c r="G178" s="129"/>
      <c r="L178" s="21">
        <v>1</v>
      </c>
    </row>
    <row r="179" spans="2:12" ht="18">
      <c r="B179" s="50"/>
      <c r="C179" s="50"/>
      <c r="D179" s="50"/>
      <c r="E179" s="50"/>
      <c r="F179" s="50"/>
      <c r="G179" s="129"/>
      <c r="L179" s="21">
        <v>1</v>
      </c>
    </row>
    <row r="180" spans="2:12" ht="18">
      <c r="B180" s="50"/>
      <c r="C180" s="50"/>
      <c r="D180" s="50"/>
      <c r="E180" s="50"/>
      <c r="F180" s="50"/>
      <c r="G180" s="129"/>
      <c r="L180" s="21">
        <v>1</v>
      </c>
    </row>
    <row r="181" spans="2:12" ht="18">
      <c r="B181" s="50"/>
      <c r="C181" s="50"/>
      <c r="D181" s="50"/>
      <c r="E181" s="50"/>
      <c r="F181" s="50"/>
      <c r="G181" s="129"/>
      <c r="L181" s="21">
        <v>1</v>
      </c>
    </row>
    <row r="182" spans="2:12" ht="18">
      <c r="B182" s="50"/>
      <c r="C182" s="50"/>
      <c r="D182" s="50"/>
      <c r="E182" s="50"/>
      <c r="F182" s="50"/>
      <c r="G182" s="129"/>
      <c r="L182" s="21">
        <v>1</v>
      </c>
    </row>
    <row r="183" spans="2:12" ht="18">
      <c r="B183" s="50"/>
      <c r="C183" s="50"/>
      <c r="D183" s="50"/>
      <c r="E183" s="50"/>
      <c r="F183" s="50"/>
      <c r="G183" s="129"/>
      <c r="L183" s="21">
        <v>1</v>
      </c>
    </row>
    <row r="184" spans="2:12" ht="18">
      <c r="B184" s="50"/>
      <c r="C184" s="50"/>
      <c r="D184" s="50"/>
      <c r="E184" s="50"/>
      <c r="F184" s="50"/>
      <c r="G184" s="129"/>
      <c r="L184" s="21">
        <v>1</v>
      </c>
    </row>
    <row r="185" spans="2:12" ht="18">
      <c r="B185" s="50"/>
      <c r="C185" s="50"/>
      <c r="D185" s="50"/>
      <c r="E185" s="50"/>
      <c r="F185" s="50"/>
      <c r="G185" s="129"/>
      <c r="L185" s="21">
        <v>1</v>
      </c>
    </row>
    <row r="186" spans="2:12" ht="18">
      <c r="B186" s="50"/>
      <c r="C186" s="50"/>
      <c r="D186" s="50"/>
      <c r="E186" s="50"/>
      <c r="F186" s="50"/>
      <c r="G186" s="129"/>
      <c r="L186" s="21">
        <v>1</v>
      </c>
    </row>
    <row r="187" spans="2:12" ht="18">
      <c r="B187" s="50"/>
      <c r="C187" s="50"/>
      <c r="D187" s="50"/>
      <c r="E187" s="50"/>
      <c r="F187" s="50"/>
      <c r="G187" s="129"/>
      <c r="L187" s="21">
        <v>1</v>
      </c>
    </row>
    <row r="188" spans="2:12" ht="18">
      <c r="B188" s="50"/>
      <c r="C188" s="50"/>
      <c r="D188" s="50"/>
      <c r="E188" s="50"/>
      <c r="F188" s="50"/>
      <c r="G188" s="129"/>
      <c r="L188" s="21">
        <v>1</v>
      </c>
    </row>
    <row r="189" spans="2:12" ht="18">
      <c r="B189" s="50"/>
      <c r="C189" s="50"/>
      <c r="D189" s="50"/>
      <c r="E189" s="50"/>
      <c r="F189" s="50"/>
      <c r="G189" s="129"/>
      <c r="L189" s="21">
        <v>1</v>
      </c>
    </row>
    <row r="190" spans="2:12" ht="18">
      <c r="B190" s="50"/>
      <c r="C190" s="50"/>
      <c r="D190" s="50"/>
      <c r="E190" s="50"/>
      <c r="F190" s="50"/>
      <c r="G190" s="129"/>
      <c r="L190" s="21">
        <v>1</v>
      </c>
    </row>
    <row r="191" spans="2:12" ht="18">
      <c r="B191" s="50"/>
      <c r="C191" s="50"/>
      <c r="D191" s="50"/>
      <c r="E191" s="50"/>
      <c r="F191" s="50"/>
      <c r="G191" s="129"/>
      <c r="L191" s="21">
        <v>1</v>
      </c>
    </row>
    <row r="192" spans="2:12" ht="18">
      <c r="B192" s="50"/>
      <c r="C192" s="50"/>
      <c r="D192" s="50"/>
      <c r="E192" s="50"/>
      <c r="F192" s="50"/>
      <c r="G192" s="129"/>
      <c r="L192" s="21">
        <v>1</v>
      </c>
    </row>
    <row r="193" spans="2:12" ht="18">
      <c r="B193" s="50"/>
      <c r="C193" s="50"/>
      <c r="D193" s="50"/>
      <c r="E193" s="50"/>
      <c r="F193" s="50"/>
      <c r="G193" s="129"/>
      <c r="L193" s="21">
        <v>1</v>
      </c>
    </row>
    <row r="194" spans="2:12" ht="18">
      <c r="B194" s="50"/>
      <c r="C194" s="50"/>
      <c r="D194" s="50"/>
      <c r="E194" s="50"/>
      <c r="F194" s="50"/>
      <c r="G194" s="129"/>
      <c r="L194" s="21">
        <v>1</v>
      </c>
    </row>
    <row r="195" spans="2:12" ht="18">
      <c r="B195" s="50"/>
      <c r="C195" s="50"/>
      <c r="D195" s="50"/>
      <c r="E195" s="50"/>
      <c r="F195" s="50"/>
      <c r="G195" s="129"/>
      <c r="L195" s="21">
        <v>1</v>
      </c>
    </row>
    <row r="196" spans="2:12" ht="18">
      <c r="B196" s="50"/>
      <c r="C196" s="50"/>
      <c r="D196" s="50"/>
      <c r="E196" s="50"/>
      <c r="F196" s="50"/>
      <c r="G196" s="129"/>
      <c r="L196" s="21">
        <v>1</v>
      </c>
    </row>
    <row r="197" spans="2:12" ht="18">
      <c r="B197" s="50"/>
      <c r="C197" s="50"/>
      <c r="D197" s="50"/>
      <c r="E197" s="50"/>
      <c r="F197" s="50"/>
      <c r="G197" s="129"/>
      <c r="L197" s="21">
        <v>1</v>
      </c>
    </row>
    <row r="198" spans="2:12" ht="18">
      <c r="B198" s="50"/>
      <c r="C198" s="50"/>
      <c r="D198" s="50"/>
      <c r="E198" s="50"/>
      <c r="F198" s="50"/>
      <c r="G198" s="129"/>
      <c r="L198" s="21">
        <v>1</v>
      </c>
    </row>
    <row r="199" spans="2:12" ht="18">
      <c r="B199" s="50"/>
      <c r="C199" s="50"/>
      <c r="D199" s="50"/>
      <c r="E199" s="50"/>
      <c r="F199" s="50"/>
      <c r="G199" s="129"/>
      <c r="L199" s="21">
        <v>1</v>
      </c>
    </row>
    <row r="200" spans="2:12" ht="18">
      <c r="B200" s="50"/>
      <c r="C200" s="50"/>
      <c r="D200" s="50"/>
      <c r="E200" s="50"/>
      <c r="F200" s="50"/>
      <c r="G200" s="129"/>
      <c r="L200" s="21">
        <v>1</v>
      </c>
    </row>
    <row r="201" spans="2:12" ht="18">
      <c r="B201" s="50"/>
      <c r="C201" s="50"/>
      <c r="D201" s="50"/>
      <c r="E201" s="50"/>
      <c r="F201" s="50"/>
      <c r="G201" s="129"/>
      <c r="L201" s="21">
        <v>1</v>
      </c>
    </row>
    <row r="202" spans="2:12" ht="18">
      <c r="B202" s="50"/>
      <c r="C202" s="50"/>
      <c r="D202" s="50"/>
      <c r="E202" s="50"/>
      <c r="F202" s="50"/>
      <c r="G202" s="129"/>
      <c r="L202" s="21">
        <v>1</v>
      </c>
    </row>
    <row r="203" spans="2:12" ht="18">
      <c r="B203" s="50"/>
      <c r="C203" s="50"/>
      <c r="D203" s="50"/>
      <c r="E203" s="50"/>
      <c r="F203" s="50"/>
      <c r="G203" s="129"/>
      <c r="L203" s="21">
        <v>1</v>
      </c>
    </row>
    <row r="204" spans="2:12" ht="18">
      <c r="B204" s="50"/>
      <c r="C204" s="50"/>
      <c r="D204" s="50"/>
      <c r="E204" s="50"/>
      <c r="F204" s="50"/>
      <c r="G204" s="129"/>
      <c r="L204" s="21">
        <v>1</v>
      </c>
    </row>
    <row r="205" spans="2:12" ht="18">
      <c r="B205" s="50"/>
      <c r="C205" s="50"/>
      <c r="D205" s="50"/>
      <c r="E205" s="50"/>
      <c r="F205" s="50"/>
      <c r="G205" s="129"/>
      <c r="L205" s="21">
        <v>1</v>
      </c>
    </row>
    <row r="206" spans="2:12" ht="18">
      <c r="B206" s="50"/>
      <c r="C206" s="50"/>
      <c r="D206" s="50"/>
      <c r="E206" s="50"/>
      <c r="F206" s="50"/>
      <c r="G206" s="129"/>
      <c r="L206" s="21">
        <v>1</v>
      </c>
    </row>
    <row r="207" spans="2:12" ht="18">
      <c r="B207" s="50"/>
      <c r="C207" s="50"/>
      <c r="D207" s="50"/>
      <c r="E207" s="50"/>
      <c r="F207" s="50"/>
      <c r="G207" s="129"/>
      <c r="L207" s="21">
        <v>1</v>
      </c>
    </row>
    <row r="208" spans="2:12" ht="18">
      <c r="B208" s="50"/>
      <c r="C208" s="50"/>
      <c r="D208" s="50"/>
      <c r="E208" s="50"/>
      <c r="F208" s="50"/>
      <c r="G208" s="129"/>
      <c r="L208" s="21">
        <v>1</v>
      </c>
    </row>
    <row r="209" spans="2:12" ht="18">
      <c r="B209" s="50"/>
      <c r="C209" s="50"/>
      <c r="D209" s="50"/>
      <c r="E209" s="50"/>
      <c r="F209" s="50"/>
      <c r="G209" s="129"/>
      <c r="L209" s="21">
        <v>1</v>
      </c>
    </row>
    <row r="210" spans="2:12" ht="18">
      <c r="B210" s="50"/>
      <c r="C210" s="50"/>
      <c r="D210" s="50"/>
      <c r="E210" s="50"/>
      <c r="F210" s="50"/>
      <c r="G210" s="129"/>
      <c r="L210" s="21">
        <v>1</v>
      </c>
    </row>
    <row r="211" spans="2:12" ht="18">
      <c r="B211" s="50"/>
      <c r="C211" s="50"/>
      <c r="D211" s="50"/>
      <c r="E211" s="50"/>
      <c r="F211" s="50"/>
      <c r="G211" s="129"/>
      <c r="L211" s="21">
        <v>1</v>
      </c>
    </row>
    <row r="212" spans="2:12" ht="18">
      <c r="B212" s="50"/>
      <c r="C212" s="50"/>
      <c r="D212" s="50"/>
      <c r="E212" s="50"/>
      <c r="F212" s="50"/>
      <c r="G212" s="129"/>
      <c r="L212" s="21">
        <v>1</v>
      </c>
    </row>
    <row r="213" spans="2:12" ht="18">
      <c r="B213" s="50"/>
      <c r="C213" s="50"/>
      <c r="D213" s="50"/>
      <c r="E213" s="50"/>
      <c r="F213" s="50"/>
      <c r="G213" s="129"/>
      <c r="L213" s="21">
        <v>1</v>
      </c>
    </row>
    <row r="214" spans="2:12" ht="18">
      <c r="B214" s="50"/>
      <c r="C214" s="50"/>
      <c r="D214" s="50"/>
      <c r="E214" s="50"/>
      <c r="F214" s="50"/>
      <c r="G214" s="129"/>
      <c r="L214" s="21">
        <v>1</v>
      </c>
    </row>
    <row r="215" spans="2:12" ht="18">
      <c r="B215" s="50"/>
      <c r="C215" s="50"/>
      <c r="D215" s="50"/>
      <c r="E215" s="50"/>
      <c r="F215" s="50"/>
      <c r="G215" s="129"/>
      <c r="L215" s="21">
        <v>1</v>
      </c>
    </row>
    <row r="216" spans="2:12" ht="18">
      <c r="B216" s="50"/>
      <c r="C216" s="50"/>
      <c r="D216" s="50"/>
      <c r="E216" s="50"/>
      <c r="F216" s="50"/>
      <c r="G216" s="129"/>
      <c r="L216" s="21">
        <v>1</v>
      </c>
    </row>
    <row r="217" spans="2:12" ht="18">
      <c r="B217" s="50"/>
      <c r="C217" s="50"/>
      <c r="D217" s="50"/>
      <c r="E217" s="50"/>
      <c r="F217" s="50"/>
      <c r="G217" s="129"/>
      <c r="L217" s="21">
        <v>1</v>
      </c>
    </row>
    <row r="218" spans="2:12" ht="18">
      <c r="B218" s="50"/>
      <c r="C218" s="50"/>
      <c r="D218" s="50"/>
      <c r="E218" s="50"/>
      <c r="F218" s="50"/>
      <c r="G218" s="129"/>
      <c r="L218" s="21">
        <v>1</v>
      </c>
    </row>
    <row r="219" spans="2:12" ht="18">
      <c r="B219" s="50"/>
      <c r="C219" s="50"/>
      <c r="D219" s="50"/>
      <c r="E219" s="50"/>
      <c r="F219" s="50"/>
      <c r="G219" s="129"/>
      <c r="L219" s="21">
        <v>1</v>
      </c>
    </row>
    <row r="220" spans="2:12" ht="18">
      <c r="B220" s="50"/>
      <c r="C220" s="50"/>
      <c r="D220" s="50"/>
      <c r="E220" s="50"/>
      <c r="F220" s="50"/>
      <c r="G220" s="129"/>
      <c r="L220" s="21">
        <v>1</v>
      </c>
    </row>
    <row r="221" spans="2:12" ht="18">
      <c r="B221" s="50"/>
      <c r="C221" s="50"/>
      <c r="D221" s="50"/>
      <c r="E221" s="50"/>
      <c r="F221" s="50"/>
      <c r="G221" s="129"/>
      <c r="L221" s="21">
        <v>1</v>
      </c>
    </row>
    <row r="222" spans="2:12" ht="18">
      <c r="B222" s="50"/>
      <c r="C222" s="50"/>
      <c r="D222" s="50"/>
      <c r="E222" s="50"/>
      <c r="F222" s="50"/>
      <c r="G222" s="129"/>
      <c r="L222" s="21">
        <v>1</v>
      </c>
    </row>
    <row r="223" spans="2:12" ht="18">
      <c r="B223" s="50"/>
      <c r="C223" s="50"/>
      <c r="D223" s="50"/>
      <c r="E223" s="50"/>
      <c r="F223" s="50"/>
      <c r="G223" s="129"/>
      <c r="L223" s="21">
        <v>1</v>
      </c>
    </row>
    <row r="224" spans="2:12" ht="18">
      <c r="B224" s="50"/>
      <c r="C224" s="50"/>
      <c r="D224" s="50"/>
      <c r="E224" s="50"/>
      <c r="F224" s="50"/>
      <c r="G224" s="129"/>
      <c r="L224" s="21">
        <v>1</v>
      </c>
    </row>
    <row r="225" spans="2:12" ht="18">
      <c r="B225" s="50"/>
      <c r="C225" s="50"/>
      <c r="D225" s="50"/>
      <c r="E225" s="50"/>
      <c r="F225" s="50"/>
      <c r="G225" s="129"/>
      <c r="L225" s="21">
        <v>1</v>
      </c>
    </row>
    <row r="226" spans="2:12" ht="18">
      <c r="B226" s="50"/>
      <c r="C226" s="50"/>
      <c r="D226" s="50"/>
      <c r="E226" s="50"/>
      <c r="F226" s="50"/>
      <c r="G226" s="129"/>
      <c r="L226" s="21">
        <v>1</v>
      </c>
    </row>
    <row r="227" spans="2:12" ht="18">
      <c r="B227" s="50"/>
      <c r="C227" s="50"/>
      <c r="D227" s="50"/>
      <c r="E227" s="50"/>
      <c r="F227" s="50"/>
      <c r="G227" s="129"/>
      <c r="L227" s="21">
        <v>1</v>
      </c>
    </row>
    <row r="228" spans="2:12" ht="18">
      <c r="B228" s="50"/>
      <c r="C228" s="50"/>
      <c r="D228" s="50"/>
      <c r="E228" s="50"/>
      <c r="F228" s="50"/>
      <c r="G228" s="129"/>
      <c r="L228" s="21">
        <v>1</v>
      </c>
    </row>
    <row r="229" spans="2:12" ht="18">
      <c r="B229" s="50"/>
      <c r="C229" s="50"/>
      <c r="D229" s="50"/>
      <c r="E229" s="50"/>
      <c r="F229" s="50"/>
      <c r="G229" s="129"/>
      <c r="L229" s="21">
        <v>1</v>
      </c>
    </row>
    <row r="230" spans="2:12" ht="18">
      <c r="B230" s="50"/>
      <c r="C230" s="50"/>
      <c r="D230" s="50"/>
      <c r="E230" s="50"/>
      <c r="F230" s="50"/>
      <c r="G230" s="129"/>
      <c r="L230" s="21">
        <v>1</v>
      </c>
    </row>
    <row r="231" spans="2:12" ht="18">
      <c r="B231" s="50"/>
      <c r="C231" s="50"/>
      <c r="D231" s="50"/>
      <c r="E231" s="50"/>
      <c r="F231" s="50"/>
      <c r="G231" s="129"/>
      <c r="L231" s="21">
        <v>1</v>
      </c>
    </row>
    <row r="232" spans="2:12" ht="18">
      <c r="B232" s="50"/>
      <c r="C232" s="50"/>
      <c r="D232" s="50"/>
      <c r="E232" s="50"/>
      <c r="F232" s="50"/>
      <c r="G232" s="129"/>
      <c r="L232" s="21">
        <v>1</v>
      </c>
    </row>
    <row r="233" spans="2:12" ht="18">
      <c r="B233" s="50"/>
      <c r="C233" s="50"/>
      <c r="D233" s="50"/>
      <c r="E233" s="50"/>
      <c r="F233" s="50"/>
      <c r="G233" s="129"/>
      <c r="L233" s="21">
        <v>1</v>
      </c>
    </row>
    <row r="234" spans="2:12" ht="18">
      <c r="B234" s="50"/>
      <c r="C234" s="50"/>
      <c r="D234" s="50"/>
      <c r="E234" s="50"/>
      <c r="F234" s="50"/>
      <c r="G234" s="129"/>
      <c r="L234" s="21">
        <v>1</v>
      </c>
    </row>
    <row r="235" spans="2:12" ht="18">
      <c r="B235" s="50"/>
      <c r="C235" s="50"/>
      <c r="D235" s="50"/>
      <c r="E235" s="50"/>
      <c r="F235" s="50"/>
      <c r="G235" s="129"/>
      <c r="L235" s="21">
        <v>1</v>
      </c>
    </row>
    <row r="236" spans="2:12" ht="18">
      <c r="B236" s="50"/>
      <c r="C236" s="50"/>
      <c r="D236" s="50"/>
      <c r="E236" s="50"/>
      <c r="F236" s="50"/>
      <c r="G236" s="129"/>
      <c r="L236" s="21">
        <v>1</v>
      </c>
    </row>
    <row r="237" spans="2:12" ht="18">
      <c r="B237" s="50"/>
      <c r="C237" s="50"/>
      <c r="D237" s="50"/>
      <c r="E237" s="50"/>
      <c r="F237" s="50"/>
      <c r="G237" s="129"/>
      <c r="L237" s="21">
        <v>1</v>
      </c>
    </row>
    <row r="238" spans="2:12" ht="18">
      <c r="B238" s="50"/>
      <c r="C238" s="50"/>
      <c r="D238" s="50"/>
      <c r="E238" s="50"/>
      <c r="F238" s="50"/>
      <c r="G238" s="129"/>
      <c r="L238" s="21">
        <v>1</v>
      </c>
    </row>
    <row r="239" spans="2:12" ht="18">
      <c r="B239" s="50"/>
      <c r="C239" s="50"/>
      <c r="D239" s="50"/>
      <c r="E239" s="50"/>
      <c r="F239" s="50"/>
      <c r="G239" s="129"/>
      <c r="L239" s="21">
        <v>1</v>
      </c>
    </row>
    <row r="240" spans="2:12" ht="18">
      <c r="B240" s="50"/>
      <c r="C240" s="50"/>
      <c r="D240" s="50"/>
      <c r="E240" s="50"/>
      <c r="F240" s="50"/>
      <c r="G240" s="129"/>
      <c r="L240" s="21">
        <v>1</v>
      </c>
    </row>
    <row r="241" spans="2:12" ht="18">
      <c r="B241" s="50"/>
      <c r="C241" s="50"/>
      <c r="D241" s="50"/>
      <c r="E241" s="50"/>
      <c r="F241" s="50"/>
      <c r="G241" s="129"/>
      <c r="L241" s="21">
        <v>1</v>
      </c>
    </row>
    <row r="242" spans="2:12" ht="18">
      <c r="B242" s="50"/>
      <c r="C242" s="50"/>
      <c r="D242" s="50"/>
      <c r="E242" s="50"/>
      <c r="F242" s="50"/>
      <c r="G242" s="129"/>
      <c r="L242" s="21">
        <v>1</v>
      </c>
    </row>
    <row r="243" spans="2:12" ht="18">
      <c r="B243" s="50"/>
      <c r="C243" s="50"/>
      <c r="D243" s="50"/>
      <c r="E243" s="50"/>
      <c r="F243" s="50"/>
      <c r="G243" s="129"/>
      <c r="L243" s="21">
        <v>1</v>
      </c>
    </row>
    <row r="244" spans="2:12" ht="18">
      <c r="B244" s="50"/>
      <c r="C244" s="50"/>
      <c r="D244" s="50"/>
      <c r="E244" s="50"/>
      <c r="F244" s="50"/>
      <c r="G244" s="129"/>
      <c r="L244" s="21">
        <v>1</v>
      </c>
    </row>
    <row r="245" spans="2:12" ht="18">
      <c r="B245" s="50"/>
      <c r="C245" s="50"/>
      <c r="D245" s="50"/>
      <c r="E245" s="50"/>
      <c r="F245" s="50"/>
      <c r="G245" s="129"/>
      <c r="L245" s="21">
        <v>1</v>
      </c>
    </row>
    <row r="246" spans="2:12" ht="18">
      <c r="B246" s="50"/>
      <c r="C246" s="50"/>
      <c r="D246" s="50"/>
      <c r="E246" s="50"/>
      <c r="F246" s="50"/>
      <c r="G246" s="129"/>
      <c r="L246" s="21">
        <v>1</v>
      </c>
    </row>
    <row r="247" spans="2:12" ht="18">
      <c r="B247" s="50"/>
      <c r="C247" s="50"/>
      <c r="D247" s="50"/>
      <c r="E247" s="50"/>
      <c r="F247" s="50"/>
      <c r="G247" s="129"/>
      <c r="L247" s="21">
        <v>1</v>
      </c>
    </row>
    <row r="248" spans="2:12" ht="18">
      <c r="B248" s="50"/>
      <c r="C248" s="50"/>
      <c r="D248" s="50"/>
      <c r="E248" s="50"/>
      <c r="F248" s="50"/>
      <c r="G248" s="129"/>
      <c r="L248" s="21">
        <v>1</v>
      </c>
    </row>
    <row r="249" spans="2:12" ht="18">
      <c r="B249" s="50"/>
      <c r="C249" s="50"/>
      <c r="D249" s="50"/>
      <c r="E249" s="50"/>
      <c r="F249" s="50"/>
      <c r="G249" s="129"/>
      <c r="L249" s="21">
        <v>1</v>
      </c>
    </row>
    <row r="250" spans="2:12" ht="18">
      <c r="B250" s="50"/>
      <c r="C250" s="50"/>
      <c r="D250" s="50"/>
      <c r="E250" s="50"/>
      <c r="F250" s="50"/>
      <c r="G250" s="129"/>
      <c r="L250" s="21">
        <v>1</v>
      </c>
    </row>
    <row r="251" spans="2:12" ht="18">
      <c r="B251" s="50"/>
      <c r="C251" s="50"/>
      <c r="D251" s="50"/>
      <c r="E251" s="50"/>
      <c r="F251" s="50"/>
      <c r="G251" s="129"/>
      <c r="L251" s="21">
        <v>1</v>
      </c>
    </row>
    <row r="252" spans="2:12" ht="18">
      <c r="B252" s="50"/>
      <c r="C252" s="50"/>
      <c r="D252" s="50"/>
      <c r="E252" s="50"/>
      <c r="F252" s="50"/>
      <c r="G252" s="129"/>
      <c r="L252" s="21">
        <v>1</v>
      </c>
    </row>
    <row r="253" spans="2:12" ht="18">
      <c r="B253" s="50"/>
      <c r="C253" s="50"/>
      <c r="D253" s="50"/>
      <c r="E253" s="50"/>
      <c r="F253" s="50"/>
      <c r="G253" s="129"/>
      <c r="L253" s="21">
        <v>1</v>
      </c>
    </row>
    <row r="254" spans="2:12" ht="18">
      <c r="B254" s="50"/>
      <c r="C254" s="50"/>
      <c r="D254" s="50"/>
      <c r="E254" s="50"/>
      <c r="F254" s="50"/>
      <c r="G254" s="129"/>
      <c r="L254" s="21">
        <v>1</v>
      </c>
    </row>
    <row r="255" spans="2:12" ht="18">
      <c r="B255" s="50"/>
      <c r="C255" s="50"/>
      <c r="D255" s="50"/>
      <c r="E255" s="50"/>
      <c r="F255" s="50"/>
      <c r="G255" s="129"/>
      <c r="L255" s="21">
        <v>1</v>
      </c>
    </row>
    <row r="256" spans="2:12" ht="18">
      <c r="B256" s="50"/>
      <c r="C256" s="50"/>
      <c r="D256" s="50"/>
      <c r="E256" s="50"/>
      <c r="F256" s="50"/>
      <c r="G256" s="129"/>
      <c r="L256" s="21">
        <v>1</v>
      </c>
    </row>
    <row r="257" spans="2:12" ht="18">
      <c r="B257" s="50"/>
      <c r="C257" s="50"/>
      <c r="D257" s="50"/>
      <c r="E257" s="50"/>
      <c r="F257" s="50"/>
      <c r="G257" s="129"/>
      <c r="L257" s="21">
        <v>1</v>
      </c>
    </row>
    <row r="258" spans="2:12" ht="18">
      <c r="B258" s="50"/>
      <c r="C258" s="50"/>
      <c r="D258" s="50"/>
      <c r="E258" s="50"/>
      <c r="F258" s="50"/>
      <c r="G258" s="129"/>
      <c r="L258" s="21">
        <v>1</v>
      </c>
    </row>
    <row r="259" spans="2:12" ht="18">
      <c r="B259" s="50"/>
      <c r="C259" s="50"/>
      <c r="D259" s="50"/>
      <c r="E259" s="50"/>
      <c r="F259" s="50"/>
      <c r="G259" s="129"/>
      <c r="L259" s="21">
        <v>1</v>
      </c>
    </row>
    <row r="260" spans="2:12" ht="18">
      <c r="B260" s="50"/>
      <c r="C260" s="50"/>
      <c r="D260" s="50"/>
      <c r="E260" s="50"/>
      <c r="F260" s="50"/>
      <c r="G260" s="129"/>
      <c r="L260" s="21">
        <v>1</v>
      </c>
    </row>
    <row r="261" spans="2:12" ht="18">
      <c r="B261" s="50"/>
      <c r="C261" s="50"/>
      <c r="D261" s="50"/>
      <c r="E261" s="50"/>
      <c r="F261" s="50"/>
      <c r="G261" s="129"/>
      <c r="L261" s="21">
        <v>1</v>
      </c>
    </row>
    <row r="262" spans="2:12" ht="18">
      <c r="B262" s="50"/>
      <c r="C262" s="50"/>
      <c r="D262" s="50"/>
      <c r="E262" s="50"/>
      <c r="F262" s="50"/>
      <c r="G262" s="129"/>
      <c r="L262" s="21">
        <v>1</v>
      </c>
    </row>
    <row r="263" spans="2:12" ht="18">
      <c r="B263" s="50"/>
      <c r="C263" s="50"/>
      <c r="D263" s="50"/>
      <c r="E263" s="50"/>
      <c r="F263" s="50"/>
      <c r="G263" s="129"/>
      <c r="L263" s="21">
        <v>1</v>
      </c>
    </row>
    <row r="264" spans="2:12" ht="18">
      <c r="B264" s="50"/>
      <c r="C264" s="50"/>
      <c r="D264" s="50"/>
      <c r="E264" s="50"/>
      <c r="F264" s="50"/>
      <c r="G264" s="129"/>
      <c r="L264" s="21">
        <v>1</v>
      </c>
    </row>
    <row r="265" spans="2:12" ht="18">
      <c r="B265" s="50"/>
      <c r="C265" s="50"/>
      <c r="D265" s="50"/>
      <c r="E265" s="50"/>
      <c r="F265" s="50"/>
      <c r="G265" s="129"/>
      <c r="L265" s="21">
        <v>1</v>
      </c>
    </row>
    <row r="266" spans="2:12" ht="18">
      <c r="B266" s="50"/>
      <c r="C266" s="50"/>
      <c r="D266" s="50"/>
      <c r="E266" s="50"/>
      <c r="F266" s="50"/>
      <c r="G266" s="129"/>
      <c r="L266" s="21">
        <v>1</v>
      </c>
    </row>
    <row r="267" spans="2:12" ht="18">
      <c r="B267" s="50"/>
      <c r="C267" s="50"/>
      <c r="D267" s="50"/>
      <c r="E267" s="50"/>
      <c r="F267" s="50"/>
      <c r="G267" s="129"/>
      <c r="L267" s="21">
        <v>1</v>
      </c>
    </row>
    <row r="268" spans="2:12" ht="18">
      <c r="B268" s="50"/>
      <c r="C268" s="50"/>
      <c r="D268" s="50"/>
      <c r="E268" s="50"/>
      <c r="F268" s="50"/>
      <c r="G268" s="129"/>
      <c r="L268" s="21">
        <v>1</v>
      </c>
    </row>
    <row r="269" spans="2:12" ht="18">
      <c r="B269" s="50"/>
      <c r="C269" s="50"/>
      <c r="D269" s="50"/>
      <c r="E269" s="50"/>
      <c r="F269" s="50"/>
      <c r="G269" s="129"/>
      <c r="L269" s="21">
        <v>1</v>
      </c>
    </row>
    <row r="270" spans="2:12" ht="18">
      <c r="B270" s="50"/>
      <c r="C270" s="50"/>
      <c r="D270" s="50"/>
      <c r="E270" s="50"/>
      <c r="F270" s="50"/>
      <c r="G270" s="129"/>
      <c r="L270" s="21">
        <v>1</v>
      </c>
    </row>
    <row r="271" spans="2:12" ht="18">
      <c r="B271" s="50"/>
      <c r="C271" s="50"/>
      <c r="D271" s="50"/>
      <c r="E271" s="50"/>
      <c r="F271" s="50"/>
      <c r="G271" s="129"/>
      <c r="L271" s="21">
        <v>1</v>
      </c>
    </row>
    <row r="272" spans="2:12" ht="18">
      <c r="B272" s="50"/>
      <c r="C272" s="50"/>
      <c r="D272" s="50"/>
      <c r="E272" s="50"/>
      <c r="F272" s="50"/>
      <c r="G272" s="129"/>
      <c r="L272" s="21">
        <v>1</v>
      </c>
    </row>
    <row r="273" spans="2:12" ht="18">
      <c r="B273" s="50"/>
      <c r="C273" s="50"/>
      <c r="D273" s="50"/>
      <c r="E273" s="50"/>
      <c r="F273" s="50"/>
      <c r="G273" s="129"/>
      <c r="L273" s="21">
        <v>1</v>
      </c>
    </row>
    <row r="274" spans="2:12" ht="18">
      <c r="B274" s="50"/>
      <c r="C274" s="50"/>
      <c r="D274" s="50"/>
      <c r="E274" s="50"/>
      <c r="F274" s="50"/>
      <c r="G274" s="129"/>
      <c r="L274" s="21">
        <v>1</v>
      </c>
    </row>
    <row r="275" spans="2:12" ht="18">
      <c r="B275" s="50"/>
      <c r="C275" s="50"/>
      <c r="D275" s="50"/>
      <c r="E275" s="50"/>
      <c r="F275" s="50"/>
      <c r="G275" s="129"/>
      <c r="L275" s="21">
        <v>1</v>
      </c>
    </row>
    <row r="276" spans="2:12" ht="18">
      <c r="B276" s="50"/>
      <c r="C276" s="50"/>
      <c r="D276" s="50"/>
      <c r="E276" s="50"/>
      <c r="F276" s="50"/>
      <c r="G276" s="129"/>
      <c r="L276" s="21">
        <v>1</v>
      </c>
    </row>
    <row r="277" spans="2:12" ht="18">
      <c r="B277" s="50"/>
      <c r="C277" s="50"/>
      <c r="D277" s="50"/>
      <c r="E277" s="50"/>
      <c r="F277" s="50"/>
      <c r="G277" s="129"/>
      <c r="L277" s="21">
        <v>1</v>
      </c>
    </row>
    <row r="278" spans="2:12" ht="18">
      <c r="B278" s="50"/>
      <c r="C278" s="50"/>
      <c r="D278" s="50"/>
      <c r="E278" s="50"/>
      <c r="F278" s="50"/>
      <c r="G278" s="129"/>
      <c r="L278" s="21">
        <v>1</v>
      </c>
    </row>
    <row r="279" spans="2:12" ht="18">
      <c r="B279" s="50"/>
      <c r="C279" s="50"/>
      <c r="D279" s="50"/>
      <c r="E279" s="50"/>
      <c r="F279" s="50"/>
      <c r="G279" s="129"/>
      <c r="L279" s="21">
        <v>1</v>
      </c>
    </row>
    <row r="280" spans="2:12" ht="18">
      <c r="B280" s="50"/>
      <c r="C280" s="50"/>
      <c r="D280" s="50"/>
      <c r="E280" s="50"/>
      <c r="F280" s="50"/>
      <c r="G280" s="129"/>
      <c r="L280" s="21">
        <v>1</v>
      </c>
    </row>
    <row r="281" spans="2:12" ht="18">
      <c r="B281" s="50"/>
      <c r="C281" s="50"/>
      <c r="D281" s="50"/>
      <c r="E281" s="50"/>
      <c r="F281" s="50"/>
      <c r="G281" s="129"/>
      <c r="L281" s="21">
        <v>1</v>
      </c>
    </row>
    <row r="282" spans="2:12" ht="18">
      <c r="B282" s="50"/>
      <c r="C282" s="50"/>
      <c r="D282" s="50"/>
      <c r="E282" s="50"/>
      <c r="F282" s="50"/>
      <c r="G282" s="129"/>
      <c r="L282" s="21">
        <v>1</v>
      </c>
    </row>
    <row r="283" spans="2:12" ht="18">
      <c r="B283" s="50"/>
      <c r="C283" s="50"/>
      <c r="D283" s="50"/>
      <c r="E283" s="50"/>
      <c r="F283" s="50"/>
      <c r="G283" s="129"/>
      <c r="L283" s="21">
        <v>1</v>
      </c>
    </row>
    <row r="284" spans="2:12" ht="18">
      <c r="B284" s="50"/>
      <c r="C284" s="50"/>
      <c r="D284" s="50"/>
      <c r="E284" s="50"/>
      <c r="F284" s="50"/>
      <c r="G284" s="129"/>
      <c r="L284" s="21">
        <v>1</v>
      </c>
    </row>
    <row r="285" spans="2:12" ht="18">
      <c r="B285" s="50"/>
      <c r="C285" s="50"/>
      <c r="D285" s="50"/>
      <c r="E285" s="50"/>
      <c r="F285" s="50"/>
      <c r="G285" s="129"/>
      <c r="L285" s="21">
        <v>1</v>
      </c>
    </row>
    <row r="286" spans="2:12" ht="18">
      <c r="B286" s="50"/>
      <c r="C286" s="50"/>
      <c r="D286" s="50"/>
      <c r="E286" s="50"/>
      <c r="F286" s="50"/>
      <c r="G286" s="129"/>
      <c r="L286" s="21">
        <v>1</v>
      </c>
    </row>
    <row r="287" spans="2:12" ht="18">
      <c r="B287" s="50"/>
      <c r="C287" s="50"/>
      <c r="D287" s="50"/>
      <c r="E287" s="50"/>
      <c r="F287" s="50"/>
      <c r="G287" s="129"/>
      <c r="L287" s="21">
        <v>1</v>
      </c>
    </row>
    <row r="288" spans="2:12" ht="18">
      <c r="B288" s="50"/>
      <c r="C288" s="50"/>
      <c r="D288" s="50"/>
      <c r="E288" s="50"/>
      <c r="F288" s="50"/>
      <c r="G288" s="129"/>
      <c r="L288" s="21">
        <v>1</v>
      </c>
    </row>
    <row r="289" spans="2:12" ht="18">
      <c r="B289" s="50"/>
      <c r="C289" s="50"/>
      <c r="D289" s="50"/>
      <c r="E289" s="50"/>
      <c r="F289" s="50"/>
      <c r="G289" s="129"/>
      <c r="L289" s="21">
        <v>1</v>
      </c>
    </row>
    <row r="290" spans="2:12" ht="18">
      <c r="B290" s="50"/>
      <c r="C290" s="50"/>
      <c r="D290" s="50"/>
      <c r="E290" s="50"/>
      <c r="F290" s="50"/>
      <c r="G290" s="129"/>
      <c r="L290" s="21">
        <v>1</v>
      </c>
    </row>
    <row r="291" spans="2:12" ht="18">
      <c r="B291" s="50"/>
      <c r="C291" s="50"/>
      <c r="D291" s="50"/>
      <c r="E291" s="50"/>
      <c r="F291" s="50"/>
      <c r="G291" s="129"/>
      <c r="L291" s="21">
        <v>1</v>
      </c>
    </row>
    <row r="292" spans="2:12" ht="18">
      <c r="B292" s="50"/>
      <c r="C292" s="50"/>
      <c r="D292" s="50"/>
      <c r="E292" s="50"/>
      <c r="F292" s="50"/>
      <c r="G292" s="129"/>
      <c r="L292" s="21">
        <v>1</v>
      </c>
    </row>
    <row r="293" spans="2:12" ht="18">
      <c r="B293" s="50"/>
      <c r="C293" s="50"/>
      <c r="D293" s="50"/>
      <c r="E293" s="50"/>
      <c r="F293" s="50"/>
      <c r="G293" s="129"/>
      <c r="L293" s="21">
        <v>1</v>
      </c>
    </row>
    <row r="294" spans="2:12" ht="18">
      <c r="B294" s="50"/>
      <c r="C294" s="50"/>
      <c r="D294" s="50"/>
      <c r="E294" s="50"/>
      <c r="F294" s="50"/>
      <c r="G294" s="129"/>
      <c r="L294" s="21">
        <v>1</v>
      </c>
    </row>
    <row r="295" spans="2:12" ht="18">
      <c r="B295" s="50"/>
      <c r="C295" s="50"/>
      <c r="D295" s="50"/>
      <c r="E295" s="50"/>
      <c r="F295" s="50"/>
      <c r="G295" s="129"/>
      <c r="L295" s="21">
        <v>1</v>
      </c>
    </row>
    <row r="296" spans="2:12" ht="18">
      <c r="B296" s="50"/>
      <c r="C296" s="50"/>
      <c r="D296" s="50"/>
      <c r="E296" s="50"/>
      <c r="F296" s="50"/>
      <c r="G296" s="129"/>
      <c r="L296" s="21">
        <v>1</v>
      </c>
    </row>
    <row r="297" spans="2:12" ht="18">
      <c r="B297" s="50"/>
      <c r="C297" s="50"/>
      <c r="D297" s="50"/>
      <c r="E297" s="50"/>
      <c r="F297" s="50"/>
      <c r="G297" s="129"/>
      <c r="L297" s="21">
        <v>1</v>
      </c>
    </row>
    <row r="298" spans="2:12" ht="18">
      <c r="B298" s="50"/>
      <c r="C298" s="50"/>
      <c r="D298" s="50"/>
      <c r="E298" s="50"/>
      <c r="F298" s="50"/>
      <c r="G298" s="129"/>
      <c r="L298" s="21">
        <v>1</v>
      </c>
    </row>
    <row r="299" spans="2:12" ht="18">
      <c r="B299" s="50"/>
      <c r="C299" s="50"/>
      <c r="D299" s="50"/>
      <c r="E299" s="50"/>
      <c r="F299" s="50"/>
      <c r="G299" s="129"/>
      <c r="L299" s="21">
        <v>1</v>
      </c>
    </row>
    <row r="300" spans="2:12" ht="18">
      <c r="B300" s="50"/>
      <c r="C300" s="50"/>
      <c r="D300" s="50"/>
      <c r="E300" s="50"/>
      <c r="F300" s="50"/>
      <c r="G300" s="129"/>
      <c r="L300" s="21">
        <v>1</v>
      </c>
    </row>
    <row r="301" spans="2:12" ht="18">
      <c r="B301" s="50"/>
      <c r="C301" s="50"/>
      <c r="D301" s="50"/>
      <c r="E301" s="50"/>
      <c r="F301" s="50"/>
      <c r="G301" s="129"/>
      <c r="L301" s="21">
        <v>1</v>
      </c>
    </row>
    <row r="302" spans="2:12" ht="18">
      <c r="B302" s="50"/>
      <c r="C302" s="50"/>
      <c r="D302" s="50"/>
      <c r="E302" s="50"/>
      <c r="F302" s="50"/>
      <c r="G302" s="129"/>
      <c r="L302" s="21">
        <v>1</v>
      </c>
    </row>
    <row r="303" spans="2:12" ht="18">
      <c r="B303" s="50"/>
      <c r="C303" s="50"/>
      <c r="D303" s="50"/>
      <c r="E303" s="50"/>
      <c r="F303" s="50"/>
      <c r="G303" s="129"/>
      <c r="L303" s="21">
        <v>1</v>
      </c>
    </row>
    <row r="304" spans="2:12" ht="18">
      <c r="B304" s="50"/>
      <c r="C304" s="50"/>
      <c r="D304" s="50"/>
      <c r="E304" s="50"/>
      <c r="F304" s="50"/>
      <c r="G304" s="129"/>
      <c r="L304" s="21">
        <v>1</v>
      </c>
    </row>
    <row r="305" spans="2:12" ht="18">
      <c r="B305" s="50"/>
      <c r="C305" s="50"/>
      <c r="D305" s="50"/>
      <c r="E305" s="50"/>
      <c r="F305" s="50"/>
      <c r="G305" s="129"/>
      <c r="L305" s="21">
        <v>1</v>
      </c>
    </row>
    <row r="306" spans="2:12" ht="18">
      <c r="B306" s="50"/>
      <c r="C306" s="50"/>
      <c r="D306" s="50"/>
      <c r="E306" s="50"/>
      <c r="F306" s="50"/>
      <c r="G306" s="129"/>
      <c r="L306" s="21">
        <v>1</v>
      </c>
    </row>
    <row r="307" spans="2:12" ht="18">
      <c r="B307" s="50"/>
      <c r="C307" s="50"/>
      <c r="D307" s="50"/>
      <c r="E307" s="50"/>
      <c r="F307" s="50"/>
      <c r="G307" s="129"/>
      <c r="L307" s="21">
        <v>1</v>
      </c>
    </row>
    <row r="308" spans="2:12" ht="18">
      <c r="B308" s="50"/>
      <c r="C308" s="50"/>
      <c r="D308" s="50"/>
      <c r="E308" s="50"/>
      <c r="F308" s="50"/>
      <c r="G308" s="129"/>
      <c r="L308" s="21">
        <v>1</v>
      </c>
    </row>
    <row r="309" spans="2:12" ht="18">
      <c r="B309" s="50"/>
      <c r="C309" s="50"/>
      <c r="D309" s="50"/>
      <c r="E309" s="50"/>
      <c r="F309" s="50"/>
      <c r="G309" s="129"/>
      <c r="L309" s="21">
        <v>1</v>
      </c>
    </row>
    <row r="310" spans="2:12" ht="18">
      <c r="B310" s="50"/>
      <c r="C310" s="50"/>
      <c r="D310" s="50"/>
      <c r="E310" s="50"/>
      <c r="F310" s="50"/>
      <c r="G310" s="129"/>
      <c r="L310" s="21">
        <v>1</v>
      </c>
    </row>
    <row r="311" spans="2:12" ht="18">
      <c r="B311" s="50"/>
      <c r="C311" s="50"/>
      <c r="D311" s="50"/>
      <c r="E311" s="50"/>
      <c r="F311" s="50"/>
      <c r="G311" s="129"/>
      <c r="L311" s="21">
        <v>1</v>
      </c>
    </row>
    <row r="312" spans="2:12" ht="18">
      <c r="B312" s="50"/>
      <c r="C312" s="50"/>
      <c r="D312" s="50"/>
      <c r="E312" s="50"/>
      <c r="F312" s="50"/>
      <c r="G312" s="129"/>
      <c r="L312" s="21">
        <v>1</v>
      </c>
    </row>
    <row r="313" spans="2:12" ht="18">
      <c r="B313" s="50"/>
      <c r="C313" s="50"/>
      <c r="D313" s="50"/>
      <c r="E313" s="50"/>
      <c r="F313" s="50"/>
      <c r="G313" s="129"/>
      <c r="L313" s="21">
        <v>1</v>
      </c>
    </row>
    <row r="314" spans="2:12" ht="18">
      <c r="B314" s="50"/>
      <c r="C314" s="50"/>
      <c r="D314" s="50"/>
      <c r="E314" s="50"/>
      <c r="F314" s="50"/>
      <c r="G314" s="129"/>
      <c r="L314" s="21">
        <v>1</v>
      </c>
    </row>
    <row r="315" spans="2:12" ht="18">
      <c r="B315" s="50"/>
      <c r="C315" s="50"/>
      <c r="D315" s="50"/>
      <c r="E315" s="50"/>
      <c r="F315" s="50"/>
      <c r="G315" s="129"/>
      <c r="L315" s="21">
        <v>1</v>
      </c>
    </row>
    <row r="316" spans="2:12" ht="18">
      <c r="B316" s="50"/>
      <c r="C316" s="50"/>
      <c r="D316" s="50"/>
      <c r="E316" s="50"/>
      <c r="F316" s="50"/>
      <c r="G316" s="129"/>
      <c r="L316" s="21">
        <v>1</v>
      </c>
    </row>
    <row r="317" spans="2:12" ht="18">
      <c r="B317" s="50"/>
      <c r="C317" s="50"/>
      <c r="D317" s="50"/>
      <c r="E317" s="50"/>
      <c r="F317" s="50"/>
      <c r="G317" s="129"/>
      <c r="L317" s="21">
        <v>1</v>
      </c>
    </row>
    <row r="318" spans="2:12" ht="18">
      <c r="B318" s="50"/>
      <c r="C318" s="50"/>
      <c r="D318" s="50"/>
      <c r="E318" s="50"/>
      <c r="F318" s="50"/>
      <c r="G318" s="129"/>
      <c r="L318" s="21">
        <v>1</v>
      </c>
    </row>
    <row r="319" spans="2:12" ht="18">
      <c r="B319" s="50"/>
      <c r="C319" s="50"/>
      <c r="D319" s="50"/>
      <c r="E319" s="50"/>
      <c r="F319" s="50"/>
      <c r="G319" s="129"/>
      <c r="L319" s="21">
        <v>1</v>
      </c>
    </row>
    <row r="320" spans="2:12" ht="18">
      <c r="B320" s="50"/>
      <c r="C320" s="50"/>
      <c r="D320" s="50"/>
      <c r="E320" s="50"/>
      <c r="F320" s="50"/>
      <c r="G320" s="129"/>
      <c r="L320" s="21">
        <v>1</v>
      </c>
    </row>
    <row r="321" spans="2:12" ht="18">
      <c r="B321" s="50"/>
      <c r="C321" s="50"/>
      <c r="D321" s="50"/>
      <c r="E321" s="50"/>
      <c r="F321" s="50"/>
      <c r="G321" s="129"/>
      <c r="L321" s="21">
        <v>1</v>
      </c>
    </row>
    <row r="322" spans="2:12" ht="18">
      <c r="B322" s="50"/>
      <c r="C322" s="50"/>
      <c r="D322" s="50"/>
      <c r="E322" s="50"/>
      <c r="F322" s="50"/>
      <c r="G322" s="129"/>
      <c r="L322" s="21">
        <v>1</v>
      </c>
    </row>
    <row r="323" spans="2:12" ht="18">
      <c r="B323" s="50"/>
      <c r="C323" s="50"/>
      <c r="D323" s="50"/>
      <c r="E323" s="50"/>
      <c r="F323" s="50"/>
      <c r="G323" s="129"/>
      <c r="L323" s="21">
        <v>1</v>
      </c>
    </row>
    <row r="324" spans="2:12" ht="18">
      <c r="B324" s="50"/>
      <c r="C324" s="50"/>
      <c r="D324" s="50"/>
      <c r="E324" s="50"/>
      <c r="F324" s="50"/>
      <c r="G324" s="129"/>
      <c r="L324" s="21">
        <v>1</v>
      </c>
    </row>
    <row r="325" spans="2:12" ht="18">
      <c r="B325" s="50"/>
      <c r="C325" s="50"/>
      <c r="D325" s="50"/>
      <c r="E325" s="50"/>
      <c r="F325" s="50"/>
      <c r="G325" s="129"/>
      <c r="L325" s="21">
        <v>1</v>
      </c>
    </row>
    <row r="326" spans="2:12" ht="18">
      <c r="B326" s="50"/>
      <c r="C326" s="50"/>
      <c r="D326" s="50"/>
      <c r="E326" s="50"/>
      <c r="F326" s="50"/>
      <c r="G326" s="129"/>
      <c r="L326" s="21">
        <v>1</v>
      </c>
    </row>
    <row r="327" spans="2:12" ht="18">
      <c r="B327" s="50"/>
      <c r="C327" s="50"/>
      <c r="D327" s="50"/>
      <c r="E327" s="50"/>
      <c r="F327" s="50"/>
      <c r="G327" s="129"/>
      <c r="L327" s="21">
        <v>1</v>
      </c>
    </row>
    <row r="328" spans="2:12" ht="18">
      <c r="B328" s="50"/>
      <c r="C328" s="50"/>
      <c r="D328" s="50"/>
      <c r="E328" s="50"/>
      <c r="F328" s="50"/>
      <c r="G328" s="129"/>
      <c r="L328" s="21">
        <v>1</v>
      </c>
    </row>
    <row r="329" spans="2:12" ht="18">
      <c r="B329" s="50"/>
      <c r="C329" s="50"/>
      <c r="D329" s="50"/>
      <c r="E329" s="50"/>
      <c r="F329" s="50"/>
      <c r="G329" s="129"/>
      <c r="L329" s="21">
        <v>1</v>
      </c>
    </row>
    <row r="330" spans="2:12" ht="18">
      <c r="B330" s="50"/>
      <c r="C330" s="50"/>
      <c r="D330" s="50"/>
      <c r="E330" s="50"/>
      <c r="F330" s="50"/>
      <c r="G330" s="129"/>
      <c r="L330" s="21">
        <v>1</v>
      </c>
    </row>
    <row r="331" spans="2:12" ht="18">
      <c r="B331" s="50"/>
      <c r="C331" s="50"/>
      <c r="D331" s="50"/>
      <c r="E331" s="50"/>
      <c r="F331" s="50"/>
      <c r="G331" s="129"/>
      <c r="L331" s="21">
        <v>1</v>
      </c>
    </row>
    <row r="332" spans="2:12" ht="18">
      <c r="B332" s="50"/>
      <c r="C332" s="50"/>
      <c r="D332" s="50"/>
      <c r="E332" s="50"/>
      <c r="F332" s="50"/>
      <c r="G332" s="129"/>
      <c r="L332" s="21">
        <v>1</v>
      </c>
    </row>
    <row r="333" spans="2:12" ht="18">
      <c r="B333" s="50"/>
      <c r="C333" s="50"/>
      <c r="D333" s="50"/>
      <c r="E333" s="50"/>
      <c r="F333" s="50"/>
      <c r="G333" s="129"/>
      <c r="L333" s="21">
        <v>1</v>
      </c>
    </row>
    <row r="334" spans="2:12" ht="18">
      <c r="B334" s="50"/>
      <c r="C334" s="50"/>
      <c r="D334" s="50"/>
      <c r="E334" s="50"/>
      <c r="F334" s="50"/>
      <c r="G334" s="129"/>
      <c r="L334" s="21">
        <v>1</v>
      </c>
    </row>
    <row r="335" spans="2:12" ht="18">
      <c r="B335" s="50"/>
      <c r="C335" s="50"/>
      <c r="D335" s="50"/>
      <c r="E335" s="50"/>
      <c r="F335" s="50"/>
      <c r="G335" s="129"/>
      <c r="L335" s="21">
        <v>1</v>
      </c>
    </row>
    <row r="336" spans="2:12" ht="18">
      <c r="B336" s="50"/>
      <c r="C336" s="50"/>
      <c r="D336" s="50"/>
      <c r="E336" s="50"/>
      <c r="F336" s="50"/>
      <c r="G336" s="129"/>
      <c r="L336" s="21">
        <v>1</v>
      </c>
    </row>
    <row r="337" spans="2:12" ht="18">
      <c r="B337" s="50"/>
      <c r="C337" s="50"/>
      <c r="D337" s="50"/>
      <c r="E337" s="50"/>
      <c r="F337" s="50"/>
      <c r="G337" s="129"/>
      <c r="L337" s="21">
        <v>1</v>
      </c>
    </row>
    <row r="338" spans="2:12" ht="18">
      <c r="B338" s="50"/>
      <c r="C338" s="50"/>
      <c r="D338" s="50"/>
      <c r="E338" s="50"/>
      <c r="F338" s="50"/>
      <c r="G338" s="129"/>
      <c r="L338" s="21">
        <v>1</v>
      </c>
    </row>
    <row r="339" spans="2:12" ht="18">
      <c r="B339" s="50"/>
      <c r="C339" s="50"/>
      <c r="D339" s="50"/>
      <c r="E339" s="50"/>
      <c r="F339" s="50"/>
      <c r="G339" s="129"/>
      <c r="L339" s="21">
        <v>1</v>
      </c>
    </row>
    <row r="340" spans="2:12" ht="18">
      <c r="B340" s="50"/>
      <c r="C340" s="50"/>
      <c r="D340" s="50"/>
      <c r="E340" s="50"/>
      <c r="F340" s="50"/>
      <c r="G340" s="129"/>
      <c r="L340" s="21">
        <v>1</v>
      </c>
    </row>
    <row r="341" spans="2:12" ht="18">
      <c r="B341" s="50"/>
      <c r="C341" s="50"/>
      <c r="D341" s="50"/>
      <c r="E341" s="50"/>
      <c r="F341" s="50"/>
      <c r="G341" s="129"/>
      <c r="L341" s="21">
        <v>1</v>
      </c>
    </row>
    <row r="342" spans="2:12" ht="18">
      <c r="B342" s="50"/>
      <c r="C342" s="50"/>
      <c r="D342" s="50"/>
      <c r="E342" s="50"/>
      <c r="F342" s="50"/>
      <c r="G342" s="129"/>
      <c r="L342" s="21">
        <v>1</v>
      </c>
    </row>
    <row r="343" spans="2:12" ht="18">
      <c r="B343" s="50"/>
      <c r="C343" s="50"/>
      <c r="D343" s="50"/>
      <c r="E343" s="50"/>
      <c r="F343" s="50"/>
      <c r="G343" s="129"/>
      <c r="L343" s="21">
        <v>1</v>
      </c>
    </row>
    <row r="344" spans="2:12" ht="18">
      <c r="B344" s="50"/>
      <c r="C344" s="50"/>
      <c r="D344" s="50"/>
      <c r="E344" s="50"/>
      <c r="F344" s="50"/>
      <c r="G344" s="129"/>
      <c r="L344" s="21">
        <v>1</v>
      </c>
    </row>
    <row r="345" spans="2:12" ht="18">
      <c r="B345" s="50"/>
      <c r="C345" s="50"/>
      <c r="D345" s="50"/>
      <c r="E345" s="50"/>
      <c r="F345" s="50"/>
      <c r="G345" s="129"/>
      <c r="L345" s="21">
        <v>1</v>
      </c>
    </row>
    <row r="346" spans="2:12" ht="18">
      <c r="B346" s="50"/>
      <c r="C346" s="50"/>
      <c r="D346" s="50"/>
      <c r="E346" s="50"/>
      <c r="F346" s="50"/>
      <c r="G346" s="129"/>
      <c r="L346" s="21">
        <v>1</v>
      </c>
    </row>
    <row r="347" spans="2:12" ht="18">
      <c r="B347" s="50"/>
      <c r="C347" s="50"/>
      <c r="D347" s="50"/>
      <c r="E347" s="50"/>
      <c r="F347" s="50"/>
      <c r="G347" s="129"/>
      <c r="L347" s="21">
        <v>1</v>
      </c>
    </row>
    <row r="348" spans="2:12" ht="18">
      <c r="B348" s="50"/>
      <c r="C348" s="50"/>
      <c r="D348" s="50"/>
      <c r="E348" s="50"/>
      <c r="F348" s="50"/>
      <c r="G348" s="129"/>
      <c r="L348" s="21">
        <v>1</v>
      </c>
    </row>
    <row r="349" spans="2:12" ht="27.75" thickBot="1">
      <c r="B349" s="130" t="s">
        <v>3</v>
      </c>
      <c r="C349" s="130" t="s">
        <v>3</v>
      </c>
      <c r="D349" s="130" t="s">
        <v>3</v>
      </c>
      <c r="E349" s="131" t="s">
        <v>3</v>
      </c>
      <c r="F349" s="131" t="s">
        <v>3</v>
      </c>
      <c r="G349" s="132" t="s">
        <v>3</v>
      </c>
      <c r="K349" s="54" t="s">
        <v>5</v>
      </c>
      <c r="L349" s="55" t="s">
        <v>3</v>
      </c>
    </row>
  </sheetData>
  <sheetProtection sheet="1" objects="1" scenarios="1" selectLockedCells="1"/>
  <customSheetViews>
    <customSheetView guid="{2EA3A6B8-61D5-4EF1-87B1-B14945A241CD}" showGridLines="0" showRowCol="0">
      <pane ySplit="8" topLeftCell="A10" activePane="bottomLeft" state="frozen"/>
      <selection pane="bottomLeft" activeCell="I4" sqref="I4"/>
      <pageMargins left="0.7" right="0.7" top="0.75" bottom="0.75" header="0.3" footer="0.3"/>
      <pageSetup paperSize="9" orientation="portrait" r:id="rId1"/>
    </customSheetView>
    <customSheetView guid="{242CE75B-5318-4B80-8985-D15BFA50C3F5}" showGridLines="0" showRowCol="0">
      <pane ySplit="8" topLeftCell="A9" activePane="bottomLeft" state="frozen"/>
      <selection pane="bottomLeft" activeCell="I2" sqref="I2"/>
      <pageMargins left="0.7" right="0.7" top="0.75" bottom="0.75" header="0.3" footer="0.3"/>
      <pageSetup paperSize="9" orientation="portrait" r:id="rId2"/>
    </customSheetView>
    <customSheetView guid="{CA30A091-FDE4-4C31-B428-76E484062E02}" showGridLines="0" showRowCol="0">
      <pane ySplit="8" topLeftCell="A9" activePane="bottomLeft" state="frozen"/>
      <selection pane="bottomLeft" activeCell="I2" sqref="I2"/>
      <pageMargins left="0.7" right="0.7" top="0.75" bottom="0.75" header="0.3" footer="0.3"/>
      <pageSetup paperSize="9" orientation="portrait" r:id="rId3"/>
    </customSheetView>
  </customSheetViews>
  <mergeCells count="4">
    <mergeCell ref="M9:N9"/>
    <mergeCell ref="O8:Q8"/>
    <mergeCell ref="R8:T8"/>
    <mergeCell ref="U8:W8"/>
  </mergeCells>
  <dataValidations count="4">
    <dataValidation type="list" allowBlank="1" showDropDown="1" showInputMessage="1" showErrorMessage="1" sqref="D9:D348">
      <formula1>$N$10:$N$29</formula1>
    </dataValidation>
    <dataValidation type="list" allowBlank="1" showDropDown="1" showInputMessage="1" showErrorMessage="1" sqref="B9:B348">
      <formula1>$C$6</formula1>
    </dataValidation>
    <dataValidation allowBlank="1" showInputMessage="1" showErrorMessage="1" errorTitle="Dato no valido" error="El valor esta fuera de rango [0,30] o No es un numero" sqref="E9:G348"/>
    <dataValidation type="list" allowBlank="1" showDropDown="1" showInputMessage="1" showErrorMessage="1" sqref="C9:C348">
      <formula1>$N$32:$N$48</formula1>
    </dataValidation>
  </dataValidations>
  <hyperlinks>
    <hyperlink ref="I2" location="PPrincipal!A1" display="* Pagina Principal"/>
    <hyperlink ref="I3" location="Barinas!A1" display="Barinas"/>
    <hyperlink ref="I4" location="Mérida!A1" display="Mérida"/>
    <hyperlink ref="I5" location="Táchira!A1" display="Táchira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>
  <dimension ref="B1:K46"/>
  <sheetViews>
    <sheetView showGridLines="0" showRowColHeaders="0" workbookViewId="0">
      <selection activeCell="R2" sqref="R2"/>
    </sheetView>
  </sheetViews>
  <sheetFormatPr baseColWidth="10" defaultColWidth="15.7109375" defaultRowHeight="22.5" customHeight="1"/>
  <cols>
    <col min="1" max="16384" width="15.7109375" style="53"/>
  </cols>
  <sheetData>
    <row r="1" spans="2:11" ht="15" customHeight="1">
      <c r="J1" s="86"/>
      <c r="K1" s="108"/>
    </row>
    <row r="2" spans="2:11" ht="15" customHeight="1">
      <c r="I2" s="13"/>
      <c r="J2" s="79" t="s">
        <v>7</v>
      </c>
      <c r="K2" s="108"/>
    </row>
    <row r="3" spans="2:11" ht="15" customHeight="1">
      <c r="I3" s="13"/>
      <c r="J3" s="79" t="s">
        <v>80</v>
      </c>
      <c r="K3" s="108"/>
    </row>
    <row r="4" spans="2:11" ht="15" customHeight="1">
      <c r="I4" s="13"/>
      <c r="J4" s="79" t="s">
        <v>81</v>
      </c>
      <c r="K4" s="108"/>
    </row>
    <row r="5" spans="2:11" ht="15" customHeight="1">
      <c r="G5" s="56"/>
      <c r="I5" s="13"/>
      <c r="J5" s="79" t="s">
        <v>82</v>
      </c>
      <c r="K5" s="108"/>
    </row>
    <row r="6" spans="2:11" ht="15" customHeight="1">
      <c r="B6" s="169" t="s">
        <v>71</v>
      </c>
      <c r="C6" s="169"/>
      <c r="D6" s="169"/>
      <c r="E6" s="169"/>
      <c r="F6" s="169"/>
      <c r="G6" s="169"/>
      <c r="J6" s="79"/>
    </row>
    <row r="27" spans="2:7" ht="22.5" customHeight="1">
      <c r="B27" s="169"/>
      <c r="C27" s="169"/>
      <c r="D27" s="169"/>
      <c r="E27" s="169"/>
      <c r="F27" s="169"/>
      <c r="G27" s="169"/>
    </row>
    <row r="46" spans="7:7" ht="22.5" customHeight="1">
      <c r="G46" s="56"/>
    </row>
  </sheetData>
  <customSheetViews>
    <customSheetView guid="{2EA3A6B8-61D5-4EF1-87B1-B14945A241CD}" showGridLines="0" showRowCol="0">
      <selection activeCell="R2" sqref="R2"/>
      <pageMargins left="0.7" right="0.7" top="0.75" bottom="0.75" header="0.3" footer="0.3"/>
    </customSheetView>
    <customSheetView guid="{242CE75B-5318-4B80-8985-D15BFA50C3F5}" scale="60" showPageBreaks="1" showGridLines="0" showRowCol="0" printArea="1" view="pageBreakPreview">
      <selection activeCell="J3" sqref="J3"/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72" orientation="landscape" verticalDpi="0" r:id="rId1"/>
    </customSheetView>
    <customSheetView guid="{CA30A091-FDE4-4C31-B428-76E484062E02}" showGridLines="0" showRowCol="0">
      <selection activeCell="J4" sqref="J4"/>
      <pageMargins left="0.7" right="0.7" top="0.75" bottom="0.75" header="0.3" footer="0.3"/>
    </customSheetView>
  </customSheetViews>
  <mergeCells count="2">
    <mergeCell ref="B6:G6"/>
    <mergeCell ref="B27:G27"/>
  </mergeCells>
  <hyperlinks>
    <hyperlink ref="J2" location="PPrincipal!A1" display="* Pagina Principal"/>
    <hyperlink ref="J3" location="GBarinas!A1" display="Barinas"/>
    <hyperlink ref="J4" location="GMérida!A1" display="Mérida"/>
    <hyperlink ref="J5" location="GTáchira!A1" display="Táchira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"/>
  <sheetViews>
    <sheetView showGridLines="0" showRowColHeaders="0" workbookViewId="0">
      <selection activeCell="Y2" sqref="Y2"/>
    </sheetView>
  </sheetViews>
  <sheetFormatPr baseColWidth="10" defaultColWidth="5.85546875" defaultRowHeight="15" customHeight="1"/>
  <cols>
    <col min="1" max="1" width="1.7109375" style="67" customWidth="1"/>
    <col min="2" max="2" width="7.28515625" style="67" customWidth="1"/>
    <col min="3" max="3" width="5.5703125" style="67" customWidth="1"/>
    <col min="4" max="4" width="5.42578125" style="67" customWidth="1"/>
    <col min="5" max="5" width="5.5703125" style="67" bestFit="1" customWidth="1"/>
    <col min="6" max="6" width="5.42578125" style="67" customWidth="1"/>
    <col min="7" max="13" width="5.5703125" style="67" bestFit="1" customWidth="1"/>
    <col min="14" max="14" width="5.5703125" style="68" bestFit="1" customWidth="1"/>
    <col min="15" max="22" width="5.5703125" style="67" bestFit="1" customWidth="1"/>
    <col min="23" max="23" width="1.42578125" style="67" customWidth="1"/>
    <col min="24" max="24" width="14" style="123" bestFit="1" customWidth="1"/>
    <col min="25" max="27" width="10.42578125" style="67" customWidth="1"/>
    <col min="28" max="16384" width="5.85546875" style="67"/>
  </cols>
  <sheetData>
    <row r="1" spans="1:27" ht="31.5" customHeight="1">
      <c r="B1" s="170" t="s">
        <v>72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</row>
    <row r="2" spans="1:27" ht="15" customHeight="1">
      <c r="C2" s="84"/>
      <c r="F2" s="85"/>
      <c r="G2" s="85"/>
      <c r="H2" s="85"/>
      <c r="I2" s="78"/>
      <c r="J2" s="78"/>
      <c r="X2" s="13"/>
      <c r="Y2" s="79" t="s">
        <v>7</v>
      </c>
      <c r="Z2" s="84"/>
    </row>
    <row r="3" spans="1:27" ht="15" customHeight="1">
      <c r="C3" s="84"/>
      <c r="F3" s="85"/>
      <c r="G3" s="85"/>
      <c r="H3" s="85"/>
      <c r="I3" s="78"/>
      <c r="J3" s="78"/>
      <c r="X3" s="13"/>
      <c r="Y3" s="79" t="s">
        <v>80</v>
      </c>
      <c r="Z3" s="84"/>
    </row>
    <row r="4" spans="1:27" ht="15" customHeight="1">
      <c r="C4" s="84"/>
      <c r="F4" s="85"/>
      <c r="G4" s="85"/>
      <c r="H4" s="85"/>
      <c r="I4" s="78"/>
      <c r="J4" s="78"/>
      <c r="X4" s="13"/>
      <c r="Y4" s="79" t="s">
        <v>81</v>
      </c>
      <c r="Z4" s="84"/>
    </row>
    <row r="5" spans="1:27" ht="15" customHeight="1">
      <c r="C5" s="84"/>
      <c r="F5" s="85"/>
      <c r="G5" s="85"/>
      <c r="H5" s="85"/>
      <c r="I5" s="78"/>
      <c r="J5" s="78"/>
      <c r="X5" s="13"/>
      <c r="Y5" s="79" t="s">
        <v>82</v>
      </c>
      <c r="Z5" s="84"/>
    </row>
    <row r="6" spans="1:27" s="1" customFormat="1" ht="15" customHeight="1" thickBot="1">
      <c r="A6" s="57"/>
      <c r="B6" s="64"/>
      <c r="C6" s="64"/>
      <c r="D6" s="64"/>
      <c r="E6" s="64"/>
      <c r="F6" s="64"/>
      <c r="G6" s="64"/>
      <c r="H6" s="64"/>
      <c r="I6" s="64"/>
      <c r="J6" s="64"/>
      <c r="K6" s="64"/>
      <c r="L6" s="67"/>
      <c r="M6" s="67"/>
      <c r="N6" s="68"/>
      <c r="O6" s="67"/>
      <c r="P6" s="67"/>
      <c r="Q6" s="67"/>
      <c r="R6" s="67"/>
      <c r="S6" s="67"/>
      <c r="T6" s="67"/>
      <c r="U6" s="67"/>
      <c r="V6" s="67"/>
      <c r="X6" s="124"/>
      <c r="Y6" s="79"/>
    </row>
    <row r="7" spans="1:27" s="65" customFormat="1" ht="15" customHeight="1" thickBot="1">
      <c r="A7" s="58"/>
      <c r="B7" s="88" t="s">
        <v>0</v>
      </c>
      <c r="C7" s="117">
        <v>0.3125</v>
      </c>
      <c r="D7" s="118">
        <v>0.33333333333333298</v>
      </c>
      <c r="E7" s="118">
        <v>0.35416666666666702</v>
      </c>
      <c r="F7" s="118">
        <v>0.375</v>
      </c>
      <c r="G7" s="118">
        <v>0.39583333333333298</v>
      </c>
      <c r="H7" s="118">
        <v>0.41666666666666702</v>
      </c>
      <c r="I7" s="118">
        <v>0.4375</v>
      </c>
      <c r="J7" s="118">
        <v>0.45833333333333298</v>
      </c>
      <c r="K7" s="118">
        <v>0.47916666666666702</v>
      </c>
      <c r="L7" s="118">
        <v>0.5</v>
      </c>
      <c r="M7" s="118">
        <v>0.52083333333333304</v>
      </c>
      <c r="N7" s="118">
        <v>4.1666666666666664E-2</v>
      </c>
      <c r="O7" s="118">
        <v>6.25E-2</v>
      </c>
      <c r="P7" s="118">
        <v>8.3333333333333329E-2</v>
      </c>
      <c r="Q7" s="118">
        <v>0.104166666666667</v>
      </c>
      <c r="R7" s="118">
        <v>0.125</v>
      </c>
      <c r="S7" s="118">
        <v>0.14583333333333301</v>
      </c>
      <c r="T7" s="118">
        <v>0.16666666666666599</v>
      </c>
      <c r="U7" s="118">
        <v>0.187499999999999</v>
      </c>
      <c r="V7" s="119">
        <v>0.20833333333333201</v>
      </c>
      <c r="X7" s="171" t="s">
        <v>6</v>
      </c>
      <c r="Y7" s="171" t="s">
        <v>69</v>
      </c>
      <c r="Z7" s="171" t="s">
        <v>70</v>
      </c>
      <c r="AA7" s="173" t="s">
        <v>4</v>
      </c>
    </row>
    <row r="8" spans="1:27" ht="15" customHeight="1" thickBot="1">
      <c r="A8" s="66"/>
      <c r="B8" s="154" t="s">
        <v>2</v>
      </c>
      <c r="C8" s="137">
        <v>1</v>
      </c>
      <c r="D8" s="120">
        <v>2</v>
      </c>
      <c r="E8" s="120">
        <v>3</v>
      </c>
      <c r="F8" s="120">
        <v>4</v>
      </c>
      <c r="G8" s="120">
        <v>5</v>
      </c>
      <c r="H8" s="120">
        <v>6</v>
      </c>
      <c r="I8" s="120">
        <v>7</v>
      </c>
      <c r="J8" s="120">
        <v>8</v>
      </c>
      <c r="K8" s="120">
        <v>9</v>
      </c>
      <c r="L8" s="120">
        <v>10</v>
      </c>
      <c r="M8" s="120">
        <v>11</v>
      </c>
      <c r="N8" s="120">
        <v>12</v>
      </c>
      <c r="O8" s="120">
        <v>13</v>
      </c>
      <c r="P8" s="120">
        <v>14</v>
      </c>
      <c r="Q8" s="120">
        <v>15</v>
      </c>
      <c r="R8" s="120">
        <v>16</v>
      </c>
      <c r="S8" s="120">
        <v>17</v>
      </c>
      <c r="T8" s="120">
        <v>18</v>
      </c>
      <c r="U8" s="120">
        <v>19</v>
      </c>
      <c r="V8" s="121">
        <v>20</v>
      </c>
      <c r="X8" s="172"/>
      <c r="Y8" s="172"/>
      <c r="Z8" s="172"/>
      <c r="AA8" s="174"/>
    </row>
    <row r="9" spans="1:27" ht="15" customHeight="1">
      <c r="A9" s="66"/>
      <c r="B9" s="150">
        <v>65</v>
      </c>
      <c r="C9" s="155">
        <f t="shared" ref="C9:L18" si="0">SUMIFS(SumaTU,CentroTU,$B9,TurnoTU,C$8)</f>
        <v>0</v>
      </c>
      <c r="D9" s="122">
        <f t="shared" si="0"/>
        <v>0</v>
      </c>
      <c r="E9" s="122">
        <f t="shared" si="0"/>
        <v>0</v>
      </c>
      <c r="F9" s="122">
        <f t="shared" si="0"/>
        <v>0</v>
      </c>
      <c r="G9" s="122">
        <f t="shared" si="0"/>
        <v>0</v>
      </c>
      <c r="H9" s="122">
        <f t="shared" si="0"/>
        <v>0</v>
      </c>
      <c r="I9" s="122">
        <f t="shared" si="0"/>
        <v>0</v>
      </c>
      <c r="J9" s="122">
        <f t="shared" si="0"/>
        <v>0</v>
      </c>
      <c r="K9" s="122">
        <f t="shared" si="0"/>
        <v>0</v>
      </c>
      <c r="L9" s="122">
        <f t="shared" si="0"/>
        <v>0</v>
      </c>
      <c r="M9" s="122">
        <f t="shared" ref="M9:V18" si="1">SUMIFS(SumaTU,CentroTU,$B9,TurnoTU,M$8)</f>
        <v>0</v>
      </c>
      <c r="N9" s="122">
        <f t="shared" si="1"/>
        <v>0</v>
      </c>
      <c r="O9" s="122">
        <f t="shared" si="1"/>
        <v>0</v>
      </c>
      <c r="P9" s="122">
        <f t="shared" si="1"/>
        <v>0</v>
      </c>
      <c r="Q9" s="122">
        <f t="shared" si="1"/>
        <v>0</v>
      </c>
      <c r="R9" s="122">
        <f t="shared" si="1"/>
        <v>0</v>
      </c>
      <c r="S9" s="122">
        <f t="shared" si="1"/>
        <v>0</v>
      </c>
      <c r="T9" s="122">
        <f t="shared" si="1"/>
        <v>0</v>
      </c>
      <c r="U9" s="122">
        <f t="shared" si="1"/>
        <v>0</v>
      </c>
      <c r="V9" s="122">
        <f t="shared" si="1"/>
        <v>0</v>
      </c>
      <c r="X9" s="133" t="s">
        <v>73</v>
      </c>
      <c r="Y9" s="116">
        <f t="shared" ref="Y9:Y25" si="2">SUMIF(CentroTU,$B9,Hugo_Cabezas)</f>
        <v>0</v>
      </c>
      <c r="Z9" s="116">
        <f t="shared" ref="Z9:Z25" si="3">SUMIF(CentroTU,$B9,Enrique_Catalan)</f>
        <v>0</v>
      </c>
      <c r="AA9" s="135">
        <f t="shared" ref="AA9:AA25" si="4">SUMIF(CentroTU,$B9,OtroTU)</f>
        <v>0</v>
      </c>
    </row>
    <row r="10" spans="1:27" ht="15" customHeight="1">
      <c r="A10" s="66"/>
      <c r="B10" s="151">
        <v>66</v>
      </c>
      <c r="C10" s="155">
        <f t="shared" si="0"/>
        <v>0</v>
      </c>
      <c r="D10" s="122">
        <f t="shared" si="0"/>
        <v>0</v>
      </c>
      <c r="E10" s="122">
        <f t="shared" si="0"/>
        <v>0</v>
      </c>
      <c r="F10" s="122">
        <f t="shared" si="0"/>
        <v>0</v>
      </c>
      <c r="G10" s="122">
        <f t="shared" si="0"/>
        <v>0</v>
      </c>
      <c r="H10" s="122">
        <f t="shared" si="0"/>
        <v>0</v>
      </c>
      <c r="I10" s="122">
        <f t="shared" si="0"/>
        <v>0</v>
      </c>
      <c r="J10" s="122">
        <f t="shared" si="0"/>
        <v>0</v>
      </c>
      <c r="K10" s="122">
        <f t="shared" si="0"/>
        <v>0</v>
      </c>
      <c r="L10" s="122">
        <f t="shared" si="0"/>
        <v>0</v>
      </c>
      <c r="M10" s="122">
        <f t="shared" si="1"/>
        <v>0</v>
      </c>
      <c r="N10" s="122">
        <f t="shared" si="1"/>
        <v>0</v>
      </c>
      <c r="O10" s="122">
        <f t="shared" si="1"/>
        <v>0</v>
      </c>
      <c r="P10" s="122">
        <f t="shared" si="1"/>
        <v>0</v>
      </c>
      <c r="Q10" s="122">
        <f t="shared" si="1"/>
        <v>0</v>
      </c>
      <c r="R10" s="122">
        <f t="shared" si="1"/>
        <v>0</v>
      </c>
      <c r="S10" s="122">
        <f t="shared" si="1"/>
        <v>0</v>
      </c>
      <c r="T10" s="122">
        <f t="shared" si="1"/>
        <v>0</v>
      </c>
      <c r="U10" s="122">
        <f t="shared" si="1"/>
        <v>0</v>
      </c>
      <c r="V10" s="122">
        <f t="shared" si="1"/>
        <v>0</v>
      </c>
      <c r="X10" s="133" t="s">
        <v>73</v>
      </c>
      <c r="Y10" s="116">
        <f t="shared" si="2"/>
        <v>0</v>
      </c>
      <c r="Z10" s="116">
        <f t="shared" si="3"/>
        <v>0</v>
      </c>
      <c r="AA10" s="135">
        <f t="shared" si="4"/>
        <v>0</v>
      </c>
    </row>
    <row r="11" spans="1:27" ht="15" customHeight="1">
      <c r="A11" s="66"/>
      <c r="B11" s="151">
        <v>67</v>
      </c>
      <c r="C11" s="155">
        <f t="shared" si="0"/>
        <v>0</v>
      </c>
      <c r="D11" s="122">
        <f t="shared" si="0"/>
        <v>0</v>
      </c>
      <c r="E11" s="122">
        <f t="shared" si="0"/>
        <v>0</v>
      </c>
      <c r="F11" s="122">
        <f t="shared" si="0"/>
        <v>0</v>
      </c>
      <c r="G11" s="122">
        <f t="shared" si="0"/>
        <v>0</v>
      </c>
      <c r="H11" s="122">
        <f t="shared" si="0"/>
        <v>0</v>
      </c>
      <c r="I11" s="122">
        <f t="shared" si="0"/>
        <v>0</v>
      </c>
      <c r="J11" s="122">
        <f t="shared" si="0"/>
        <v>0</v>
      </c>
      <c r="K11" s="122">
        <f t="shared" si="0"/>
        <v>0</v>
      </c>
      <c r="L11" s="122">
        <f t="shared" si="0"/>
        <v>0</v>
      </c>
      <c r="M11" s="122">
        <f t="shared" si="1"/>
        <v>0</v>
      </c>
      <c r="N11" s="122">
        <f t="shared" si="1"/>
        <v>0</v>
      </c>
      <c r="O11" s="122">
        <f t="shared" si="1"/>
        <v>0</v>
      </c>
      <c r="P11" s="122">
        <f t="shared" si="1"/>
        <v>0</v>
      </c>
      <c r="Q11" s="122">
        <f t="shared" si="1"/>
        <v>0</v>
      </c>
      <c r="R11" s="122">
        <f t="shared" si="1"/>
        <v>0</v>
      </c>
      <c r="S11" s="122">
        <f t="shared" si="1"/>
        <v>0</v>
      </c>
      <c r="T11" s="122">
        <f t="shared" si="1"/>
        <v>0</v>
      </c>
      <c r="U11" s="122">
        <f t="shared" si="1"/>
        <v>0</v>
      </c>
      <c r="V11" s="122">
        <f t="shared" si="1"/>
        <v>0</v>
      </c>
      <c r="X11" s="133" t="s">
        <v>74</v>
      </c>
      <c r="Y11" s="116">
        <f t="shared" si="2"/>
        <v>0</v>
      </c>
      <c r="Z11" s="116">
        <f t="shared" si="3"/>
        <v>0</v>
      </c>
      <c r="AA11" s="135">
        <f t="shared" si="4"/>
        <v>0</v>
      </c>
    </row>
    <row r="12" spans="1:27" ht="15" customHeight="1">
      <c r="A12" s="66"/>
      <c r="B12" s="151">
        <v>68</v>
      </c>
      <c r="C12" s="155">
        <f t="shared" si="0"/>
        <v>0</v>
      </c>
      <c r="D12" s="122">
        <f t="shared" si="0"/>
        <v>0</v>
      </c>
      <c r="E12" s="122">
        <f t="shared" si="0"/>
        <v>0</v>
      </c>
      <c r="F12" s="122">
        <f t="shared" si="0"/>
        <v>0</v>
      </c>
      <c r="G12" s="122">
        <f t="shared" si="0"/>
        <v>0</v>
      </c>
      <c r="H12" s="122">
        <f t="shared" si="0"/>
        <v>0</v>
      </c>
      <c r="I12" s="122">
        <f t="shared" si="0"/>
        <v>0</v>
      </c>
      <c r="J12" s="122">
        <f t="shared" si="0"/>
        <v>0</v>
      </c>
      <c r="K12" s="122">
        <f t="shared" si="0"/>
        <v>0</v>
      </c>
      <c r="L12" s="122">
        <f t="shared" si="0"/>
        <v>0</v>
      </c>
      <c r="M12" s="122">
        <f t="shared" si="1"/>
        <v>0</v>
      </c>
      <c r="N12" s="122">
        <f t="shared" si="1"/>
        <v>0</v>
      </c>
      <c r="O12" s="122">
        <f t="shared" si="1"/>
        <v>0</v>
      </c>
      <c r="P12" s="122">
        <f t="shared" si="1"/>
        <v>0</v>
      </c>
      <c r="Q12" s="122">
        <f t="shared" si="1"/>
        <v>0</v>
      </c>
      <c r="R12" s="122">
        <f t="shared" si="1"/>
        <v>0</v>
      </c>
      <c r="S12" s="122">
        <f t="shared" si="1"/>
        <v>0</v>
      </c>
      <c r="T12" s="122">
        <f t="shared" si="1"/>
        <v>0</v>
      </c>
      <c r="U12" s="122">
        <f t="shared" si="1"/>
        <v>0</v>
      </c>
      <c r="V12" s="122">
        <f t="shared" si="1"/>
        <v>0</v>
      </c>
      <c r="X12" s="133" t="s">
        <v>75</v>
      </c>
      <c r="Y12" s="116">
        <f t="shared" si="2"/>
        <v>0</v>
      </c>
      <c r="Z12" s="116">
        <f t="shared" si="3"/>
        <v>0</v>
      </c>
      <c r="AA12" s="135">
        <f t="shared" si="4"/>
        <v>0</v>
      </c>
    </row>
    <row r="13" spans="1:27" ht="15" customHeight="1">
      <c r="A13" s="66"/>
      <c r="B13" s="151">
        <v>69</v>
      </c>
      <c r="C13" s="155">
        <f t="shared" si="0"/>
        <v>0</v>
      </c>
      <c r="D13" s="122">
        <f t="shared" si="0"/>
        <v>0</v>
      </c>
      <c r="E13" s="122">
        <f t="shared" si="0"/>
        <v>0</v>
      </c>
      <c r="F13" s="122">
        <f t="shared" si="0"/>
        <v>0</v>
      </c>
      <c r="G13" s="122">
        <f t="shared" si="0"/>
        <v>0</v>
      </c>
      <c r="H13" s="122">
        <f t="shared" si="0"/>
        <v>0</v>
      </c>
      <c r="I13" s="122">
        <f t="shared" si="0"/>
        <v>0</v>
      </c>
      <c r="J13" s="122">
        <f t="shared" si="0"/>
        <v>0</v>
      </c>
      <c r="K13" s="122">
        <f t="shared" si="0"/>
        <v>0</v>
      </c>
      <c r="L13" s="122">
        <f t="shared" si="0"/>
        <v>0</v>
      </c>
      <c r="M13" s="122">
        <f t="shared" si="1"/>
        <v>0</v>
      </c>
      <c r="N13" s="122">
        <f t="shared" si="1"/>
        <v>0</v>
      </c>
      <c r="O13" s="122">
        <f t="shared" si="1"/>
        <v>0</v>
      </c>
      <c r="P13" s="122">
        <f t="shared" si="1"/>
        <v>0</v>
      </c>
      <c r="Q13" s="122">
        <f t="shared" si="1"/>
        <v>0</v>
      </c>
      <c r="R13" s="122">
        <f t="shared" si="1"/>
        <v>0</v>
      </c>
      <c r="S13" s="122">
        <f t="shared" si="1"/>
        <v>0</v>
      </c>
      <c r="T13" s="122">
        <f t="shared" si="1"/>
        <v>0</v>
      </c>
      <c r="U13" s="122">
        <f t="shared" si="1"/>
        <v>0</v>
      </c>
      <c r="V13" s="122">
        <f t="shared" si="1"/>
        <v>0</v>
      </c>
      <c r="X13" s="133" t="s">
        <v>72</v>
      </c>
      <c r="Y13" s="116">
        <f t="shared" si="2"/>
        <v>0</v>
      </c>
      <c r="Z13" s="116">
        <f t="shared" si="3"/>
        <v>0</v>
      </c>
      <c r="AA13" s="135">
        <f t="shared" si="4"/>
        <v>0</v>
      </c>
    </row>
    <row r="14" spans="1:27" ht="15" customHeight="1">
      <c r="B14" s="151">
        <v>70</v>
      </c>
      <c r="C14" s="155">
        <f t="shared" si="0"/>
        <v>2</v>
      </c>
      <c r="D14" s="122">
        <f t="shared" si="0"/>
        <v>1</v>
      </c>
      <c r="E14" s="122">
        <f t="shared" si="0"/>
        <v>1</v>
      </c>
      <c r="F14" s="122">
        <f t="shared" si="0"/>
        <v>1</v>
      </c>
      <c r="G14" s="122">
        <f t="shared" si="0"/>
        <v>1</v>
      </c>
      <c r="H14" s="122">
        <f t="shared" si="0"/>
        <v>1</v>
      </c>
      <c r="I14" s="122">
        <f t="shared" si="0"/>
        <v>1</v>
      </c>
      <c r="J14" s="122">
        <f t="shared" si="0"/>
        <v>1</v>
      </c>
      <c r="K14" s="122">
        <f t="shared" si="0"/>
        <v>1</v>
      </c>
      <c r="L14" s="122">
        <f t="shared" si="0"/>
        <v>1</v>
      </c>
      <c r="M14" s="122">
        <f t="shared" si="1"/>
        <v>1</v>
      </c>
      <c r="N14" s="122">
        <f t="shared" si="1"/>
        <v>0</v>
      </c>
      <c r="O14" s="122">
        <f t="shared" si="1"/>
        <v>0</v>
      </c>
      <c r="P14" s="122">
        <f t="shared" si="1"/>
        <v>0</v>
      </c>
      <c r="Q14" s="122">
        <f t="shared" si="1"/>
        <v>0</v>
      </c>
      <c r="R14" s="122">
        <f t="shared" si="1"/>
        <v>0</v>
      </c>
      <c r="S14" s="122">
        <f t="shared" si="1"/>
        <v>0</v>
      </c>
      <c r="T14" s="122">
        <f t="shared" si="1"/>
        <v>0</v>
      </c>
      <c r="U14" s="122">
        <f t="shared" si="1"/>
        <v>0</v>
      </c>
      <c r="V14" s="122">
        <f t="shared" si="1"/>
        <v>0</v>
      </c>
      <c r="X14" s="133" t="s">
        <v>72</v>
      </c>
      <c r="Y14" s="116">
        <f t="shared" si="2"/>
        <v>600</v>
      </c>
      <c r="Z14" s="116">
        <f t="shared" si="3"/>
        <v>319</v>
      </c>
      <c r="AA14" s="135">
        <f t="shared" si="4"/>
        <v>210</v>
      </c>
    </row>
    <row r="15" spans="1:27" ht="15" customHeight="1">
      <c r="B15" s="151">
        <v>71</v>
      </c>
      <c r="C15" s="155">
        <f t="shared" si="0"/>
        <v>0</v>
      </c>
      <c r="D15" s="122">
        <f t="shared" si="0"/>
        <v>0</v>
      </c>
      <c r="E15" s="122">
        <f t="shared" si="0"/>
        <v>0</v>
      </c>
      <c r="F15" s="122">
        <f t="shared" si="0"/>
        <v>0</v>
      </c>
      <c r="G15" s="122">
        <f t="shared" si="0"/>
        <v>0</v>
      </c>
      <c r="H15" s="122">
        <f t="shared" si="0"/>
        <v>0</v>
      </c>
      <c r="I15" s="122">
        <f t="shared" si="0"/>
        <v>0</v>
      </c>
      <c r="J15" s="122">
        <f t="shared" si="0"/>
        <v>0</v>
      </c>
      <c r="K15" s="122">
        <f t="shared" si="0"/>
        <v>0</v>
      </c>
      <c r="L15" s="122">
        <f t="shared" si="0"/>
        <v>0</v>
      </c>
      <c r="M15" s="122">
        <f t="shared" si="1"/>
        <v>0</v>
      </c>
      <c r="N15" s="122">
        <f t="shared" si="1"/>
        <v>0</v>
      </c>
      <c r="O15" s="122">
        <f t="shared" si="1"/>
        <v>0</v>
      </c>
      <c r="P15" s="122">
        <f t="shared" si="1"/>
        <v>0</v>
      </c>
      <c r="Q15" s="122">
        <f t="shared" si="1"/>
        <v>0</v>
      </c>
      <c r="R15" s="122">
        <f t="shared" si="1"/>
        <v>0</v>
      </c>
      <c r="S15" s="122">
        <f t="shared" si="1"/>
        <v>0</v>
      </c>
      <c r="T15" s="122">
        <f t="shared" si="1"/>
        <v>0</v>
      </c>
      <c r="U15" s="122">
        <f t="shared" si="1"/>
        <v>0</v>
      </c>
      <c r="V15" s="122">
        <f t="shared" si="1"/>
        <v>0</v>
      </c>
      <c r="X15" s="133" t="s">
        <v>72</v>
      </c>
      <c r="Y15" s="116">
        <f t="shared" si="2"/>
        <v>0</v>
      </c>
      <c r="Z15" s="116">
        <f t="shared" si="3"/>
        <v>0</v>
      </c>
      <c r="AA15" s="135">
        <f t="shared" si="4"/>
        <v>0</v>
      </c>
    </row>
    <row r="16" spans="1:27" ht="15" customHeight="1">
      <c r="B16" s="151">
        <v>72</v>
      </c>
      <c r="C16" s="155">
        <f t="shared" si="0"/>
        <v>0</v>
      </c>
      <c r="D16" s="122">
        <f t="shared" si="0"/>
        <v>0</v>
      </c>
      <c r="E16" s="122">
        <f t="shared" si="0"/>
        <v>0</v>
      </c>
      <c r="F16" s="122">
        <f t="shared" si="0"/>
        <v>0</v>
      </c>
      <c r="G16" s="122">
        <f t="shared" si="0"/>
        <v>0</v>
      </c>
      <c r="H16" s="122">
        <f t="shared" si="0"/>
        <v>0</v>
      </c>
      <c r="I16" s="122">
        <f t="shared" si="0"/>
        <v>0</v>
      </c>
      <c r="J16" s="122">
        <f t="shared" si="0"/>
        <v>0</v>
      </c>
      <c r="K16" s="122">
        <f t="shared" si="0"/>
        <v>0</v>
      </c>
      <c r="L16" s="122">
        <f t="shared" si="0"/>
        <v>0</v>
      </c>
      <c r="M16" s="122">
        <f t="shared" si="1"/>
        <v>0</v>
      </c>
      <c r="N16" s="122">
        <f t="shared" si="1"/>
        <v>1</v>
      </c>
      <c r="O16" s="122">
        <f t="shared" si="1"/>
        <v>0</v>
      </c>
      <c r="P16" s="122">
        <f t="shared" si="1"/>
        <v>0</v>
      </c>
      <c r="Q16" s="122">
        <f t="shared" si="1"/>
        <v>0</v>
      </c>
      <c r="R16" s="122">
        <f t="shared" si="1"/>
        <v>0</v>
      </c>
      <c r="S16" s="122">
        <f t="shared" si="1"/>
        <v>0</v>
      </c>
      <c r="T16" s="122">
        <f t="shared" si="1"/>
        <v>0</v>
      </c>
      <c r="U16" s="122">
        <f t="shared" si="1"/>
        <v>0</v>
      </c>
      <c r="V16" s="122">
        <f t="shared" si="1"/>
        <v>0</v>
      </c>
      <c r="X16" s="133" t="s">
        <v>76</v>
      </c>
      <c r="Y16" s="116">
        <f t="shared" si="2"/>
        <v>55</v>
      </c>
      <c r="Z16" s="116">
        <f t="shared" si="3"/>
        <v>30</v>
      </c>
      <c r="AA16" s="135">
        <f t="shared" si="4"/>
        <v>19</v>
      </c>
    </row>
    <row r="17" spans="2:27" ht="15" customHeight="1">
      <c r="B17" s="151">
        <v>73</v>
      </c>
      <c r="C17" s="155">
        <f t="shared" si="0"/>
        <v>0</v>
      </c>
      <c r="D17" s="122">
        <f t="shared" si="0"/>
        <v>0</v>
      </c>
      <c r="E17" s="122">
        <f t="shared" si="0"/>
        <v>0</v>
      </c>
      <c r="F17" s="122">
        <f t="shared" si="0"/>
        <v>0</v>
      </c>
      <c r="G17" s="122">
        <f t="shared" si="0"/>
        <v>0</v>
      </c>
      <c r="H17" s="122">
        <f t="shared" si="0"/>
        <v>0</v>
      </c>
      <c r="I17" s="122">
        <f t="shared" si="0"/>
        <v>0</v>
      </c>
      <c r="J17" s="122">
        <f t="shared" si="0"/>
        <v>0</v>
      </c>
      <c r="K17" s="122">
        <f t="shared" si="0"/>
        <v>0</v>
      </c>
      <c r="L17" s="122">
        <f t="shared" si="0"/>
        <v>0</v>
      </c>
      <c r="M17" s="122">
        <f t="shared" si="1"/>
        <v>0</v>
      </c>
      <c r="N17" s="122">
        <f t="shared" si="1"/>
        <v>0</v>
      </c>
      <c r="O17" s="122">
        <f t="shared" si="1"/>
        <v>0</v>
      </c>
      <c r="P17" s="122">
        <f t="shared" si="1"/>
        <v>0</v>
      </c>
      <c r="Q17" s="122">
        <f t="shared" si="1"/>
        <v>0</v>
      </c>
      <c r="R17" s="122">
        <f t="shared" si="1"/>
        <v>0</v>
      </c>
      <c r="S17" s="122">
        <f t="shared" si="1"/>
        <v>0</v>
      </c>
      <c r="T17" s="122">
        <f t="shared" si="1"/>
        <v>0</v>
      </c>
      <c r="U17" s="122">
        <f t="shared" si="1"/>
        <v>0</v>
      </c>
      <c r="V17" s="122">
        <f t="shared" si="1"/>
        <v>0</v>
      </c>
      <c r="X17" s="133" t="s">
        <v>76</v>
      </c>
      <c r="Y17" s="116">
        <f t="shared" si="2"/>
        <v>0</v>
      </c>
      <c r="Z17" s="116">
        <f t="shared" si="3"/>
        <v>0</v>
      </c>
      <c r="AA17" s="135">
        <f t="shared" si="4"/>
        <v>0</v>
      </c>
    </row>
    <row r="18" spans="2:27" ht="15" customHeight="1">
      <c r="B18" s="151">
        <v>74</v>
      </c>
      <c r="C18" s="155">
        <f t="shared" si="0"/>
        <v>0</v>
      </c>
      <c r="D18" s="122">
        <f t="shared" si="0"/>
        <v>0</v>
      </c>
      <c r="E18" s="122">
        <f t="shared" si="0"/>
        <v>0</v>
      </c>
      <c r="F18" s="122">
        <f t="shared" si="0"/>
        <v>0</v>
      </c>
      <c r="G18" s="122">
        <f t="shared" si="0"/>
        <v>0</v>
      </c>
      <c r="H18" s="122">
        <f t="shared" si="0"/>
        <v>0</v>
      </c>
      <c r="I18" s="122">
        <f t="shared" si="0"/>
        <v>0</v>
      </c>
      <c r="J18" s="122">
        <f t="shared" si="0"/>
        <v>0</v>
      </c>
      <c r="K18" s="122">
        <f t="shared" si="0"/>
        <v>0</v>
      </c>
      <c r="L18" s="122">
        <f t="shared" si="0"/>
        <v>0</v>
      </c>
      <c r="M18" s="122">
        <f t="shared" si="1"/>
        <v>0</v>
      </c>
      <c r="N18" s="122">
        <f t="shared" si="1"/>
        <v>0</v>
      </c>
      <c r="O18" s="122">
        <f t="shared" si="1"/>
        <v>0</v>
      </c>
      <c r="P18" s="122">
        <f t="shared" si="1"/>
        <v>0</v>
      </c>
      <c r="Q18" s="122">
        <f t="shared" si="1"/>
        <v>0</v>
      </c>
      <c r="R18" s="122">
        <f t="shared" si="1"/>
        <v>0</v>
      </c>
      <c r="S18" s="122">
        <f t="shared" si="1"/>
        <v>0</v>
      </c>
      <c r="T18" s="122">
        <f t="shared" si="1"/>
        <v>0</v>
      </c>
      <c r="U18" s="122">
        <f t="shared" si="1"/>
        <v>0</v>
      </c>
      <c r="V18" s="122">
        <f t="shared" si="1"/>
        <v>0</v>
      </c>
      <c r="X18" s="133" t="s">
        <v>76</v>
      </c>
      <c r="Y18" s="116">
        <f t="shared" si="2"/>
        <v>0</v>
      </c>
      <c r="Z18" s="116">
        <f t="shared" si="3"/>
        <v>0</v>
      </c>
      <c r="AA18" s="135">
        <f t="shared" si="4"/>
        <v>0</v>
      </c>
    </row>
    <row r="19" spans="2:27" ht="15" customHeight="1">
      <c r="B19" s="151">
        <v>75</v>
      </c>
      <c r="C19" s="155">
        <f t="shared" ref="C19:L25" si="5">SUMIFS(SumaTU,CentroTU,$B19,TurnoTU,C$8)</f>
        <v>0</v>
      </c>
      <c r="D19" s="122">
        <f t="shared" si="5"/>
        <v>0</v>
      </c>
      <c r="E19" s="122">
        <f t="shared" si="5"/>
        <v>0</v>
      </c>
      <c r="F19" s="122">
        <f t="shared" si="5"/>
        <v>0</v>
      </c>
      <c r="G19" s="122">
        <f t="shared" si="5"/>
        <v>0</v>
      </c>
      <c r="H19" s="122">
        <f t="shared" si="5"/>
        <v>0</v>
      </c>
      <c r="I19" s="122">
        <f t="shared" si="5"/>
        <v>0</v>
      </c>
      <c r="J19" s="122">
        <f t="shared" si="5"/>
        <v>0</v>
      </c>
      <c r="K19" s="122">
        <f t="shared" si="5"/>
        <v>0</v>
      </c>
      <c r="L19" s="122">
        <f t="shared" si="5"/>
        <v>0</v>
      </c>
      <c r="M19" s="122">
        <f t="shared" ref="M19:V25" si="6">SUMIFS(SumaTU,CentroTU,$B19,TurnoTU,M$8)</f>
        <v>0</v>
      </c>
      <c r="N19" s="122">
        <f t="shared" si="6"/>
        <v>0</v>
      </c>
      <c r="O19" s="122">
        <f t="shared" si="6"/>
        <v>0</v>
      </c>
      <c r="P19" s="122">
        <f t="shared" si="6"/>
        <v>0</v>
      </c>
      <c r="Q19" s="122">
        <f t="shared" si="6"/>
        <v>0</v>
      </c>
      <c r="R19" s="122">
        <f t="shared" si="6"/>
        <v>0</v>
      </c>
      <c r="S19" s="122">
        <f t="shared" si="6"/>
        <v>0</v>
      </c>
      <c r="T19" s="122">
        <f t="shared" si="6"/>
        <v>0</v>
      </c>
      <c r="U19" s="122">
        <f t="shared" si="6"/>
        <v>0</v>
      </c>
      <c r="V19" s="122">
        <f t="shared" si="6"/>
        <v>0</v>
      </c>
      <c r="X19" s="133" t="s">
        <v>76</v>
      </c>
      <c r="Y19" s="116">
        <f t="shared" si="2"/>
        <v>0</v>
      </c>
      <c r="Z19" s="116">
        <f t="shared" si="3"/>
        <v>0</v>
      </c>
      <c r="AA19" s="135">
        <f t="shared" si="4"/>
        <v>0</v>
      </c>
    </row>
    <row r="20" spans="2:27" ht="15" customHeight="1">
      <c r="B20" s="151">
        <v>76</v>
      </c>
      <c r="C20" s="155">
        <f t="shared" si="5"/>
        <v>0</v>
      </c>
      <c r="D20" s="122">
        <f t="shared" si="5"/>
        <v>0</v>
      </c>
      <c r="E20" s="122">
        <f t="shared" si="5"/>
        <v>0</v>
      </c>
      <c r="F20" s="122">
        <f t="shared" si="5"/>
        <v>0</v>
      </c>
      <c r="G20" s="122">
        <f t="shared" si="5"/>
        <v>0</v>
      </c>
      <c r="H20" s="122">
        <f t="shared" si="5"/>
        <v>0</v>
      </c>
      <c r="I20" s="122">
        <f t="shared" si="5"/>
        <v>0</v>
      </c>
      <c r="J20" s="122">
        <f t="shared" si="5"/>
        <v>0</v>
      </c>
      <c r="K20" s="122">
        <f t="shared" si="5"/>
        <v>0</v>
      </c>
      <c r="L20" s="122">
        <f t="shared" si="5"/>
        <v>0</v>
      </c>
      <c r="M20" s="122">
        <f t="shared" si="6"/>
        <v>0</v>
      </c>
      <c r="N20" s="122">
        <f t="shared" si="6"/>
        <v>0</v>
      </c>
      <c r="O20" s="122">
        <f t="shared" si="6"/>
        <v>0</v>
      </c>
      <c r="P20" s="122">
        <f t="shared" si="6"/>
        <v>0</v>
      </c>
      <c r="Q20" s="122">
        <f t="shared" si="6"/>
        <v>0</v>
      </c>
      <c r="R20" s="122">
        <f t="shared" si="6"/>
        <v>0</v>
      </c>
      <c r="S20" s="122">
        <f t="shared" si="6"/>
        <v>0</v>
      </c>
      <c r="T20" s="122">
        <f t="shared" si="6"/>
        <v>0</v>
      </c>
      <c r="U20" s="122">
        <f t="shared" si="6"/>
        <v>0</v>
      </c>
      <c r="V20" s="122">
        <f t="shared" si="6"/>
        <v>0</v>
      </c>
      <c r="X20" s="133" t="s">
        <v>76</v>
      </c>
      <c r="Y20" s="116">
        <f t="shared" si="2"/>
        <v>0</v>
      </c>
      <c r="Z20" s="116">
        <f t="shared" si="3"/>
        <v>0</v>
      </c>
      <c r="AA20" s="135">
        <f t="shared" si="4"/>
        <v>0</v>
      </c>
    </row>
    <row r="21" spans="2:27" ht="15" customHeight="1">
      <c r="B21" s="151">
        <v>77</v>
      </c>
      <c r="C21" s="155">
        <f t="shared" si="5"/>
        <v>0</v>
      </c>
      <c r="D21" s="122">
        <f t="shared" si="5"/>
        <v>0</v>
      </c>
      <c r="E21" s="122">
        <f t="shared" si="5"/>
        <v>0</v>
      </c>
      <c r="F21" s="122">
        <f t="shared" si="5"/>
        <v>0</v>
      </c>
      <c r="G21" s="122">
        <f t="shared" si="5"/>
        <v>0</v>
      </c>
      <c r="H21" s="122">
        <f t="shared" si="5"/>
        <v>0</v>
      </c>
      <c r="I21" s="122">
        <f t="shared" si="5"/>
        <v>0</v>
      </c>
      <c r="J21" s="122">
        <f t="shared" si="5"/>
        <v>0</v>
      </c>
      <c r="K21" s="122">
        <f t="shared" si="5"/>
        <v>0</v>
      </c>
      <c r="L21" s="122">
        <f t="shared" si="5"/>
        <v>0</v>
      </c>
      <c r="M21" s="122">
        <f t="shared" si="6"/>
        <v>0</v>
      </c>
      <c r="N21" s="122">
        <f t="shared" si="6"/>
        <v>0</v>
      </c>
      <c r="O21" s="122">
        <f t="shared" si="6"/>
        <v>0</v>
      </c>
      <c r="P21" s="122">
        <f t="shared" si="6"/>
        <v>0</v>
      </c>
      <c r="Q21" s="122">
        <f t="shared" si="6"/>
        <v>0</v>
      </c>
      <c r="R21" s="122">
        <f t="shared" si="6"/>
        <v>0</v>
      </c>
      <c r="S21" s="122">
        <f t="shared" si="6"/>
        <v>0</v>
      </c>
      <c r="T21" s="122">
        <f t="shared" si="6"/>
        <v>0</v>
      </c>
      <c r="U21" s="122">
        <f t="shared" si="6"/>
        <v>0</v>
      </c>
      <c r="V21" s="122">
        <f t="shared" si="6"/>
        <v>0</v>
      </c>
      <c r="X21" s="133" t="s">
        <v>76</v>
      </c>
      <c r="Y21" s="116">
        <f t="shared" si="2"/>
        <v>0</v>
      </c>
      <c r="Z21" s="116">
        <f t="shared" si="3"/>
        <v>0</v>
      </c>
      <c r="AA21" s="135">
        <f t="shared" si="4"/>
        <v>0</v>
      </c>
    </row>
    <row r="22" spans="2:27" ht="15" customHeight="1">
      <c r="B22" s="151">
        <v>78</v>
      </c>
      <c r="C22" s="155">
        <f t="shared" si="5"/>
        <v>0</v>
      </c>
      <c r="D22" s="122">
        <f t="shared" si="5"/>
        <v>0</v>
      </c>
      <c r="E22" s="122">
        <f t="shared" si="5"/>
        <v>0</v>
      </c>
      <c r="F22" s="122">
        <f t="shared" si="5"/>
        <v>0</v>
      </c>
      <c r="G22" s="122">
        <f t="shared" si="5"/>
        <v>0</v>
      </c>
      <c r="H22" s="122">
        <f t="shared" si="5"/>
        <v>0</v>
      </c>
      <c r="I22" s="122">
        <f t="shared" si="5"/>
        <v>0</v>
      </c>
      <c r="J22" s="122">
        <f t="shared" si="5"/>
        <v>0</v>
      </c>
      <c r="K22" s="122">
        <f t="shared" si="5"/>
        <v>0</v>
      </c>
      <c r="L22" s="122">
        <f t="shared" si="5"/>
        <v>0</v>
      </c>
      <c r="M22" s="122">
        <f t="shared" si="6"/>
        <v>0</v>
      </c>
      <c r="N22" s="122">
        <f t="shared" si="6"/>
        <v>0</v>
      </c>
      <c r="O22" s="122">
        <f t="shared" si="6"/>
        <v>0</v>
      </c>
      <c r="P22" s="122">
        <f t="shared" si="6"/>
        <v>0</v>
      </c>
      <c r="Q22" s="122">
        <f t="shared" si="6"/>
        <v>0</v>
      </c>
      <c r="R22" s="122">
        <f t="shared" si="6"/>
        <v>0</v>
      </c>
      <c r="S22" s="122">
        <f t="shared" si="6"/>
        <v>0</v>
      </c>
      <c r="T22" s="122">
        <f t="shared" si="6"/>
        <v>0</v>
      </c>
      <c r="U22" s="122">
        <f t="shared" si="6"/>
        <v>0</v>
      </c>
      <c r="V22" s="122">
        <f t="shared" si="6"/>
        <v>0</v>
      </c>
      <c r="X22" s="133" t="s">
        <v>76</v>
      </c>
      <c r="Y22" s="116">
        <f t="shared" si="2"/>
        <v>0</v>
      </c>
      <c r="Z22" s="116">
        <f t="shared" si="3"/>
        <v>0</v>
      </c>
      <c r="AA22" s="135">
        <f t="shared" si="4"/>
        <v>0</v>
      </c>
    </row>
    <row r="23" spans="2:27" ht="15" customHeight="1">
      <c r="B23" s="151">
        <v>79</v>
      </c>
      <c r="C23" s="155">
        <f t="shared" si="5"/>
        <v>0</v>
      </c>
      <c r="D23" s="122">
        <f t="shared" si="5"/>
        <v>0</v>
      </c>
      <c r="E23" s="122">
        <f t="shared" si="5"/>
        <v>0</v>
      </c>
      <c r="F23" s="122">
        <f t="shared" si="5"/>
        <v>0</v>
      </c>
      <c r="G23" s="122">
        <f t="shared" si="5"/>
        <v>0</v>
      </c>
      <c r="H23" s="122">
        <f t="shared" si="5"/>
        <v>0</v>
      </c>
      <c r="I23" s="122">
        <f t="shared" si="5"/>
        <v>0</v>
      </c>
      <c r="J23" s="122">
        <f t="shared" si="5"/>
        <v>0</v>
      </c>
      <c r="K23" s="122">
        <f t="shared" si="5"/>
        <v>0</v>
      </c>
      <c r="L23" s="122">
        <f t="shared" si="5"/>
        <v>0</v>
      </c>
      <c r="M23" s="122">
        <f t="shared" si="6"/>
        <v>0</v>
      </c>
      <c r="N23" s="122">
        <f t="shared" si="6"/>
        <v>0</v>
      </c>
      <c r="O23" s="122">
        <f t="shared" si="6"/>
        <v>0</v>
      </c>
      <c r="P23" s="122">
        <f t="shared" si="6"/>
        <v>0</v>
      </c>
      <c r="Q23" s="122">
        <f t="shared" si="6"/>
        <v>0</v>
      </c>
      <c r="R23" s="122">
        <f t="shared" si="6"/>
        <v>0</v>
      </c>
      <c r="S23" s="122">
        <f t="shared" si="6"/>
        <v>0</v>
      </c>
      <c r="T23" s="122">
        <f t="shared" si="6"/>
        <v>0</v>
      </c>
      <c r="U23" s="122">
        <f t="shared" si="6"/>
        <v>0</v>
      </c>
      <c r="V23" s="122">
        <f t="shared" si="6"/>
        <v>0</v>
      </c>
      <c r="X23" s="133" t="s">
        <v>77</v>
      </c>
      <c r="Y23" s="116">
        <f t="shared" si="2"/>
        <v>0</v>
      </c>
      <c r="Z23" s="116">
        <f t="shared" si="3"/>
        <v>0</v>
      </c>
      <c r="AA23" s="135">
        <f t="shared" si="4"/>
        <v>0</v>
      </c>
    </row>
    <row r="24" spans="2:27" ht="15" customHeight="1">
      <c r="B24" s="151">
        <v>80</v>
      </c>
      <c r="C24" s="155">
        <f t="shared" si="5"/>
        <v>0</v>
      </c>
      <c r="D24" s="122">
        <f t="shared" si="5"/>
        <v>0</v>
      </c>
      <c r="E24" s="122">
        <f t="shared" si="5"/>
        <v>0</v>
      </c>
      <c r="F24" s="122">
        <f t="shared" si="5"/>
        <v>0</v>
      </c>
      <c r="G24" s="122">
        <f t="shared" si="5"/>
        <v>0</v>
      </c>
      <c r="H24" s="122">
        <f t="shared" si="5"/>
        <v>0</v>
      </c>
      <c r="I24" s="122">
        <f t="shared" si="5"/>
        <v>0</v>
      </c>
      <c r="J24" s="122">
        <f t="shared" si="5"/>
        <v>0</v>
      </c>
      <c r="K24" s="122">
        <f t="shared" si="5"/>
        <v>0</v>
      </c>
      <c r="L24" s="122">
        <f t="shared" si="5"/>
        <v>0</v>
      </c>
      <c r="M24" s="122">
        <f t="shared" si="6"/>
        <v>0</v>
      </c>
      <c r="N24" s="122">
        <f t="shared" si="6"/>
        <v>0</v>
      </c>
      <c r="O24" s="122">
        <f t="shared" si="6"/>
        <v>0</v>
      </c>
      <c r="P24" s="122">
        <f t="shared" si="6"/>
        <v>0</v>
      </c>
      <c r="Q24" s="122">
        <f t="shared" si="6"/>
        <v>0</v>
      </c>
      <c r="R24" s="122">
        <f t="shared" si="6"/>
        <v>0</v>
      </c>
      <c r="S24" s="122">
        <f t="shared" si="6"/>
        <v>0</v>
      </c>
      <c r="T24" s="122">
        <f t="shared" si="6"/>
        <v>0</v>
      </c>
      <c r="U24" s="122">
        <f t="shared" si="6"/>
        <v>0</v>
      </c>
      <c r="V24" s="122">
        <f t="shared" si="6"/>
        <v>0</v>
      </c>
      <c r="X24" s="133" t="s">
        <v>78</v>
      </c>
      <c r="Y24" s="116">
        <f t="shared" si="2"/>
        <v>0</v>
      </c>
      <c r="Z24" s="116">
        <f t="shared" si="3"/>
        <v>0</v>
      </c>
      <c r="AA24" s="135">
        <f t="shared" si="4"/>
        <v>0</v>
      </c>
    </row>
    <row r="25" spans="2:27" ht="15" customHeight="1" thickBot="1">
      <c r="B25" s="152">
        <v>81</v>
      </c>
      <c r="C25" s="155">
        <f t="shared" si="5"/>
        <v>0</v>
      </c>
      <c r="D25" s="122">
        <f t="shared" si="5"/>
        <v>0</v>
      </c>
      <c r="E25" s="122">
        <f t="shared" si="5"/>
        <v>0</v>
      </c>
      <c r="F25" s="122">
        <f t="shared" si="5"/>
        <v>0</v>
      </c>
      <c r="G25" s="122">
        <f t="shared" si="5"/>
        <v>0</v>
      </c>
      <c r="H25" s="122">
        <f t="shared" si="5"/>
        <v>0</v>
      </c>
      <c r="I25" s="122">
        <f t="shared" si="5"/>
        <v>0</v>
      </c>
      <c r="J25" s="122">
        <f t="shared" si="5"/>
        <v>0</v>
      </c>
      <c r="K25" s="122">
        <f t="shared" si="5"/>
        <v>0</v>
      </c>
      <c r="L25" s="122">
        <f t="shared" si="5"/>
        <v>0</v>
      </c>
      <c r="M25" s="122">
        <f t="shared" si="6"/>
        <v>0</v>
      </c>
      <c r="N25" s="122">
        <f t="shared" si="6"/>
        <v>0</v>
      </c>
      <c r="O25" s="122">
        <f t="shared" si="6"/>
        <v>0</v>
      </c>
      <c r="P25" s="122">
        <f t="shared" si="6"/>
        <v>0</v>
      </c>
      <c r="Q25" s="122">
        <f t="shared" si="6"/>
        <v>0</v>
      </c>
      <c r="R25" s="122">
        <f t="shared" si="6"/>
        <v>0</v>
      </c>
      <c r="S25" s="122">
        <f t="shared" si="6"/>
        <v>0</v>
      </c>
      <c r="T25" s="122">
        <f t="shared" si="6"/>
        <v>0</v>
      </c>
      <c r="U25" s="122">
        <f t="shared" si="6"/>
        <v>0</v>
      </c>
      <c r="V25" s="122">
        <f t="shared" si="6"/>
        <v>0</v>
      </c>
      <c r="X25" s="133" t="s">
        <v>79</v>
      </c>
      <c r="Y25" s="116">
        <f t="shared" si="2"/>
        <v>0</v>
      </c>
      <c r="Z25" s="116">
        <f t="shared" si="3"/>
        <v>0</v>
      </c>
      <c r="AA25" s="135">
        <f t="shared" si="4"/>
        <v>0</v>
      </c>
    </row>
    <row r="27" spans="2:27" ht="15" customHeight="1">
      <c r="X27" s="133" t="s">
        <v>73</v>
      </c>
      <c r="Y27" s="69">
        <f>SUMIF(MunicipiosTU,$X27,Y$9:Y$25)</f>
        <v>0</v>
      </c>
      <c r="Z27" s="69">
        <f>SUMIF(MunicipiosTU,$X27,Z$9:Z$25)</f>
        <v>0</v>
      </c>
      <c r="AA27" s="69">
        <f>SUMIF(MunicipiosTU,$X27,AA$9:AA$25)</f>
        <v>0</v>
      </c>
    </row>
    <row r="28" spans="2:27" ht="15" customHeight="1">
      <c r="X28" s="133" t="s">
        <v>74</v>
      </c>
      <c r="Y28" s="69">
        <f>SUMIF(MunicipiosTU,#REF!,Y$9:Y$25)</f>
        <v>0</v>
      </c>
      <c r="Z28" s="69">
        <f>SUMIF(MunicipiosTU,#REF!,Z$9:Z$25)</f>
        <v>0</v>
      </c>
      <c r="AA28" s="69">
        <f>SUMIF(MunicipiosTU,#REF!,AA$9:AA$25)</f>
        <v>0</v>
      </c>
    </row>
    <row r="29" spans="2:27" ht="15" customHeight="1">
      <c r="X29" s="133" t="s">
        <v>75</v>
      </c>
      <c r="Y29" s="69">
        <f>SUMIF(MunicipiosTU,$X28,Y$9:Y$25)</f>
        <v>0</v>
      </c>
      <c r="Z29" s="69">
        <f>SUMIF(MunicipiosTU,$X28,Z$9:Z$25)</f>
        <v>0</v>
      </c>
      <c r="AA29" s="69">
        <f>SUMIF(MunicipiosTU,$X28,AA$9:AA$25)</f>
        <v>0</v>
      </c>
    </row>
    <row r="30" spans="2:27" ht="15" customHeight="1">
      <c r="X30" s="133" t="s">
        <v>72</v>
      </c>
      <c r="Y30" s="69">
        <f>SUMIF(MunicipiosTU,$X30,Y$9:Y$25)</f>
        <v>600</v>
      </c>
      <c r="Z30" s="69">
        <f>SUMIF(MunicipiosTU,$X30,Z$9:Z$25)</f>
        <v>319</v>
      </c>
      <c r="AA30" s="69">
        <f>SUMIF(MunicipiosTU,$X30,AA$9:AA$25)</f>
        <v>210</v>
      </c>
    </row>
    <row r="31" spans="2:27" ht="15" customHeight="1">
      <c r="X31" s="133" t="s">
        <v>76</v>
      </c>
      <c r="Y31" s="69">
        <f>SUMIF(MunicipiosTU,#REF!,Y$9:Y$25)</f>
        <v>0</v>
      </c>
      <c r="Z31" s="69">
        <f>SUMIF(MunicipiosTU,#REF!,Z$9:Z$25)</f>
        <v>0</v>
      </c>
      <c r="AA31" s="69">
        <f>SUMIF(MunicipiosTU,#REF!,AA$9:AA$25)</f>
        <v>0</v>
      </c>
    </row>
    <row r="32" spans="2:27" ht="15" customHeight="1">
      <c r="X32" s="133" t="s">
        <v>77</v>
      </c>
      <c r="Y32" s="69">
        <f>SUMIF(MunicipiosTU,$X31,Y$9:Y$25)</f>
        <v>55</v>
      </c>
      <c r="Z32" s="69">
        <f>SUMIF(MunicipiosTU,$X31,Z$9:Z$25)</f>
        <v>30</v>
      </c>
      <c r="AA32" s="69">
        <f>SUMIF(MunicipiosTU,$X31,AA$9:AA$25)</f>
        <v>19</v>
      </c>
    </row>
    <row r="33" spans="24:27" ht="15" customHeight="1">
      <c r="X33" s="133" t="s">
        <v>78</v>
      </c>
      <c r="Y33" s="69">
        <f>SUMIF(MunicipiosTU,$X33,Y$9:Y$25)</f>
        <v>0</v>
      </c>
      <c r="Z33" s="69">
        <f>SUMIF(MunicipiosTU,$X33,Z$9:Z$25)</f>
        <v>0</v>
      </c>
      <c r="AA33" s="69">
        <f>SUMIF(MunicipiosTU,$X33,AA$9:AA$25)</f>
        <v>0</v>
      </c>
    </row>
    <row r="34" spans="24:27" ht="15" customHeight="1">
      <c r="X34" s="133" t="s">
        <v>79</v>
      </c>
      <c r="Y34" s="69">
        <f>SUMIF(MunicipiosTU,#REF!,Y$9:Y$25)</f>
        <v>0</v>
      </c>
      <c r="Z34" s="69">
        <f>SUMIF(MunicipiosTU,#REF!,Z$9:Z$25)</f>
        <v>0</v>
      </c>
      <c r="AA34" s="69">
        <f>SUMIF(MunicipiosTU,#REF!,AA$9:AA$25)</f>
        <v>0</v>
      </c>
    </row>
  </sheetData>
  <sheetProtection selectLockedCells="1"/>
  <customSheetViews>
    <customSheetView guid="{2EA3A6B8-61D5-4EF1-87B1-B14945A241CD}" showGridLines="0" showRowCol="0">
      <selection activeCell="Y2" sqref="Y2"/>
      <pageMargins left="0.75" right="0.75" top="1" bottom="1" header="0" footer="0"/>
      <pageSetup paperSize="9" orientation="portrait" r:id="rId1"/>
      <headerFooter alignWithMargins="0"/>
    </customSheetView>
    <customSheetView guid="{242CE75B-5318-4B80-8985-D15BFA50C3F5}" showGridLines="0" showRowCol="0">
      <selection activeCell="Y3" sqref="Y3"/>
      <pageMargins left="0.75" right="0.75" top="1" bottom="1" header="0" footer="0"/>
      <pageSetup paperSize="9" orientation="portrait" r:id="rId2"/>
      <headerFooter alignWithMargins="0"/>
    </customSheetView>
    <customSheetView guid="{CA30A091-FDE4-4C31-B428-76E484062E02}" showGridLines="0" showRowCol="0">
      <selection activeCell="Y2" sqref="Y2"/>
      <pageMargins left="0.75" right="0.75" top="1" bottom="1" header="0" footer="0"/>
      <pageSetup paperSize="9" orientation="portrait" r:id="rId3"/>
      <headerFooter alignWithMargins="0"/>
    </customSheetView>
    <customSheetView guid="{A77EC4ED-03BF-4540-A476-D8F99E900844}" showRuler="0">
      <selection activeCell="J24" sqref="J24"/>
      <pageMargins left="0.75" right="0.75" top="1" bottom="1" header="0" footer="0"/>
      <headerFooter alignWithMargins="0"/>
    </customSheetView>
    <customSheetView guid="{71ABA865-EF8A-4EB3-AA45-9433D0EFFA82}" showRuler="0">
      <selection activeCell="J24" sqref="J24"/>
      <pageMargins left="0.75" right="0.75" top="1" bottom="1" header="0" footer="0"/>
      <headerFooter alignWithMargins="0"/>
    </customSheetView>
    <customSheetView guid="{C985031D-D85E-4FDB-AC65-62493A942234}" showRuler="0">
      <selection activeCell="J24" sqref="J24"/>
      <pageMargins left="0.75" right="0.75" top="1" bottom="1" header="0" footer="0"/>
      <headerFooter alignWithMargins="0"/>
    </customSheetView>
    <customSheetView guid="{9FEEFF71-DB18-450A-9C46-2600DEBD4C2F}" showRuler="0">
      <selection activeCell="J24" sqref="J24"/>
      <pageMargins left="0.75" right="0.75" top="1" bottom="1" header="0" footer="0"/>
      <headerFooter alignWithMargins="0"/>
    </customSheetView>
    <customSheetView guid="{CA2040AE-62FD-482F-B99E-D7687506BEE4}" showRuler="0">
      <selection activeCell="J24" sqref="J24"/>
      <pageMargins left="0.75" right="0.75" top="1" bottom="1" header="0" footer="0"/>
      <headerFooter alignWithMargins="0"/>
    </customSheetView>
    <customSheetView guid="{8533A692-1FDC-4EF0-90A0-99C037A6D79B}" showPageBreaks="1" showRuler="0" topLeftCell="C1">
      <selection activeCell="C16" sqref="C16"/>
      <pageMargins left="0.75" right="0.75" top="1" bottom="1" header="0" footer="0"/>
      <headerFooter alignWithMargins="0"/>
    </customSheetView>
    <customSheetView guid="{57DF099C-2F69-48FA-8FC1-A9D4BE3C4B9B}" showRuler="0">
      <selection activeCell="J24" sqref="J24"/>
      <pageMargins left="0.75" right="0.75" top="1" bottom="1" header="0" footer="0"/>
      <headerFooter alignWithMargins="0"/>
    </customSheetView>
    <customSheetView guid="{6E31FC92-C3FF-4227-932A-BABD82E820B9}" showRuler="0">
      <selection activeCell="J24" sqref="J24"/>
      <pageMargins left="0.75" right="0.75" top="1" bottom="1" header="0" footer="0"/>
      <headerFooter alignWithMargins="0"/>
    </customSheetView>
  </customSheetViews>
  <mergeCells count="5">
    <mergeCell ref="B1:V1"/>
    <mergeCell ref="Y7:Y8"/>
    <mergeCell ref="Z7:Z8"/>
    <mergeCell ref="AA7:AA8"/>
    <mergeCell ref="X7:X8"/>
  </mergeCells>
  <phoneticPr fontId="0" type="noConversion"/>
  <conditionalFormatting sqref="C8:V8 B6:K6">
    <cfRule type="cellIs" dxfId="23" priority="6" stopIfTrue="1" operator="equal">
      <formula>"F"</formula>
    </cfRule>
    <cfRule type="cellIs" dxfId="22" priority="7" stopIfTrue="1" operator="equal">
      <formula>"C"</formula>
    </cfRule>
    <cfRule type="cellIs" dxfId="21" priority="8" stopIfTrue="1" operator="equal">
      <formula>"C"</formula>
    </cfRule>
  </conditionalFormatting>
  <conditionalFormatting sqref="C9:V25">
    <cfRule type="cellIs" dxfId="20" priority="3" stopIfTrue="1" operator="equal">
      <formula>0</formula>
    </cfRule>
    <cfRule type="cellIs" dxfId="19" priority="4" stopIfTrue="1" operator="equal">
      <formula>1</formula>
    </cfRule>
    <cfRule type="cellIs" dxfId="18" priority="5" stopIfTrue="1" operator="greaterThan">
      <formula>1</formula>
    </cfRule>
  </conditionalFormatting>
  <hyperlinks>
    <hyperlink ref="Y2" location="PPrincipal!A1" display="* Pagina Principal"/>
    <hyperlink ref="Y3" location="CBarinas!A1" display="Barinas"/>
    <hyperlink ref="Y4" location="CMérida!A1" display="Mérida"/>
    <hyperlink ref="Y5" location="CTáchira!A1" display="Táchira"/>
  </hyperlinks>
  <pageMargins left="0.75" right="0.75" top="1" bottom="1" header="0" footer="0"/>
  <pageSetup paperSize="9" orientation="portrait" r:id="rId4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B1:W550"/>
  <sheetViews>
    <sheetView showGridLines="0" showRowColHeaders="0" tabSelected="1" workbookViewId="0">
      <pane ySplit="8" topLeftCell="A196" activePane="bottomLeft" state="frozen"/>
      <selection pane="bottomLeft" activeCell="I3" sqref="I3"/>
    </sheetView>
  </sheetViews>
  <sheetFormatPr baseColWidth="10" defaultRowHeight="12.75"/>
  <cols>
    <col min="1" max="1" width="42.7109375" customWidth="1"/>
    <col min="2" max="7" width="13.7109375" customWidth="1"/>
    <col min="8" max="8" width="13.7109375" style="161" customWidth="1"/>
    <col min="9" max="10" width="13.7109375" customWidth="1"/>
    <col min="11" max="11" width="13.7109375" style="21" customWidth="1"/>
    <col min="12" max="24" width="13.7109375" customWidth="1"/>
  </cols>
  <sheetData>
    <row r="1" spans="2:23" s="13" customFormat="1">
      <c r="H1" s="91"/>
      <c r="I1" s="111"/>
      <c r="K1" s="26"/>
    </row>
    <row r="2" spans="2:23" s="13" customFormat="1">
      <c r="H2" s="95"/>
      <c r="I2" s="158" t="s">
        <v>7</v>
      </c>
      <c r="K2" s="26"/>
      <c r="O2" s="61" t="s">
        <v>55</v>
      </c>
      <c r="P2" s="62">
        <f>Q9</f>
        <v>0.40184584684459967</v>
      </c>
      <c r="Q2" s="59"/>
    </row>
    <row r="3" spans="2:23" s="13" customFormat="1">
      <c r="H3" s="95"/>
      <c r="I3" s="158" t="s">
        <v>80</v>
      </c>
      <c r="K3" s="26"/>
      <c r="O3" s="61" t="s">
        <v>56</v>
      </c>
      <c r="P3" s="62">
        <f>T9</f>
        <v>0.50236966824644547</v>
      </c>
      <c r="Q3" s="59"/>
    </row>
    <row r="4" spans="2:23" s="13" customFormat="1">
      <c r="H4" s="95"/>
      <c r="I4" s="158" t="s">
        <v>84</v>
      </c>
      <c r="K4" s="26"/>
      <c r="O4" s="61" t="s">
        <v>4</v>
      </c>
      <c r="P4" s="62">
        <f>W9</f>
        <v>9.5784484908954845E-2</v>
      </c>
      <c r="Q4" s="59"/>
    </row>
    <row r="5" spans="2:23" s="13" customFormat="1">
      <c r="H5" s="95"/>
      <c r="I5" s="158" t="s">
        <v>83</v>
      </c>
      <c r="K5" s="26"/>
      <c r="O5" s="61"/>
      <c r="P5" s="62"/>
      <c r="Q5" s="59"/>
    </row>
    <row r="6" spans="2:23" s="13" customFormat="1" ht="33">
      <c r="C6" s="22">
        <v>18</v>
      </c>
      <c r="D6" s="18" t="s">
        <v>53</v>
      </c>
      <c r="E6" s="14"/>
      <c r="F6" s="14"/>
      <c r="H6" s="92"/>
      <c r="K6" s="26"/>
    </row>
    <row r="7" spans="2:23" ht="13.5" thickBot="1">
      <c r="H7" s="93"/>
    </row>
    <row r="8" spans="2:23" ht="30.75" thickBot="1">
      <c r="B8" s="23" t="s">
        <v>1</v>
      </c>
      <c r="C8" s="24" t="s">
        <v>2</v>
      </c>
      <c r="D8" s="25" t="s">
        <v>0</v>
      </c>
      <c r="E8" s="12" t="s">
        <v>55</v>
      </c>
      <c r="F8" s="12" t="s">
        <v>56</v>
      </c>
      <c r="G8" s="12" t="s">
        <v>4</v>
      </c>
      <c r="H8" s="94"/>
      <c r="J8" s="21"/>
      <c r="L8" s="72" t="s">
        <v>54</v>
      </c>
      <c r="O8" s="166" t="s">
        <v>55</v>
      </c>
      <c r="P8" s="167"/>
      <c r="Q8" s="168"/>
      <c r="R8" s="166" t="s">
        <v>56</v>
      </c>
      <c r="S8" s="167"/>
      <c r="T8" s="168"/>
      <c r="U8" s="166" t="s">
        <v>4</v>
      </c>
      <c r="V8" s="167"/>
      <c r="W8" s="168"/>
    </row>
    <row r="9" spans="2:23" ht="18">
      <c r="B9" s="29">
        <v>18</v>
      </c>
      <c r="C9" s="29">
        <v>40</v>
      </c>
      <c r="D9" s="29">
        <v>1</v>
      </c>
      <c r="E9" s="29">
        <v>1</v>
      </c>
      <c r="F9" s="29">
        <v>1</v>
      </c>
      <c r="G9" s="29">
        <v>1</v>
      </c>
      <c r="H9" s="159"/>
      <c r="L9" s="21">
        <v>1</v>
      </c>
      <c r="M9" s="164" t="s">
        <v>0</v>
      </c>
      <c r="N9" s="164"/>
      <c r="O9" s="31">
        <f>SUM(Leonardo_Salcedo)</f>
        <v>1611</v>
      </c>
      <c r="P9" s="32">
        <f>O9</f>
        <v>1611</v>
      </c>
      <c r="Q9" s="33">
        <f>O9/($O$9+$R$9+$U$9)</f>
        <v>0.40184584684459967</v>
      </c>
      <c r="R9" s="31">
        <f>SUM(Cesar_Perez_Vivas)</f>
        <v>2014</v>
      </c>
      <c r="S9" s="32">
        <f>R9</f>
        <v>2014</v>
      </c>
      <c r="T9" s="33">
        <f>R9/($O$9+$R$9+$U$9)</f>
        <v>0.50236966824644547</v>
      </c>
      <c r="U9" s="31">
        <f>SUM(OtroTA)</f>
        <v>384</v>
      </c>
      <c r="V9" s="32">
        <f>U9</f>
        <v>384</v>
      </c>
      <c r="W9" s="34">
        <f>U9/($O$9+$R$9+$U$9)</f>
        <v>9.5784484908954845E-2</v>
      </c>
    </row>
    <row r="10" spans="2:23" ht="18">
      <c r="B10" s="30">
        <v>18</v>
      </c>
      <c r="C10" s="30">
        <v>55</v>
      </c>
      <c r="D10" s="29">
        <v>1</v>
      </c>
      <c r="E10" s="30">
        <v>3</v>
      </c>
      <c r="F10" s="30">
        <v>2</v>
      </c>
      <c r="G10" s="30">
        <v>0</v>
      </c>
      <c r="H10" s="159"/>
      <c r="L10" s="21">
        <v>1</v>
      </c>
      <c r="M10" s="6">
        <v>0.3125</v>
      </c>
      <c r="N10" s="2">
        <v>1</v>
      </c>
      <c r="O10" s="4">
        <f t="shared" ref="O10:O29" si="0">SUMIF(TurnoTA,$N10,Leonardo_Salcedo)</f>
        <v>72</v>
      </c>
      <c r="P10" s="5">
        <f>O10</f>
        <v>72</v>
      </c>
      <c r="Q10" s="10">
        <f>IF(O10&lt;&gt;0,P10/($P10+$S10+$V10),LOOKUP(2121,$Q$3:$Q$6))</f>
        <v>0.38297872340425532</v>
      </c>
      <c r="R10" s="4">
        <f t="shared" ref="R10:R29" si="1">SUMIF(TurnoTA,$N10,Cesar_Perez_Vivas)</f>
        <v>91</v>
      </c>
      <c r="S10" s="5">
        <f>R10</f>
        <v>91</v>
      </c>
      <c r="T10" s="10">
        <f>IF(R10&lt;&gt;0,S10/($P10+$S10+$V10),LOOKUP(2121,$Q$3:$Q$6))</f>
        <v>0.48404255319148937</v>
      </c>
      <c r="U10" s="4">
        <f t="shared" ref="U10:U29" si="2">SUMIF(TurnoTA,$N10,OtroTA)</f>
        <v>25</v>
      </c>
      <c r="V10" s="5">
        <f>U10</f>
        <v>25</v>
      </c>
      <c r="W10" s="3">
        <f>IF(U10&lt;&gt;0,V10/($P10+$S10+$V10),LOOKUP(2121,$Q$3:$Q$6))</f>
        <v>0.13297872340425532</v>
      </c>
    </row>
    <row r="11" spans="2:23" ht="18">
      <c r="B11" s="30">
        <v>18</v>
      </c>
      <c r="C11" s="30">
        <v>51</v>
      </c>
      <c r="D11" s="29">
        <v>1</v>
      </c>
      <c r="E11" s="30">
        <v>5</v>
      </c>
      <c r="F11" s="30">
        <v>8</v>
      </c>
      <c r="G11" s="30">
        <v>3</v>
      </c>
      <c r="H11" s="159"/>
      <c r="L11" s="21">
        <v>1</v>
      </c>
      <c r="M11" s="6">
        <v>0.33333333333333298</v>
      </c>
      <c r="N11" s="2">
        <v>2</v>
      </c>
      <c r="O11" s="4">
        <f t="shared" si="0"/>
        <v>87</v>
      </c>
      <c r="P11" s="5">
        <f>P10+O11</f>
        <v>159</v>
      </c>
      <c r="Q11" s="10">
        <f t="shared" ref="Q11:Q29" si="3">IF(O11&lt;&gt;0,P11/($P11+$S11+$V11),LOOKUP(2121,$Q$3:$Q$6))</f>
        <v>0.39650872817955113</v>
      </c>
      <c r="R11" s="4">
        <f t="shared" si="1"/>
        <v>110</v>
      </c>
      <c r="S11" s="5">
        <f>S10+R11</f>
        <v>201</v>
      </c>
      <c r="T11" s="10">
        <f t="shared" ref="T11:T29" si="4">IF(R11&lt;&gt;0,S11/($P11+$S11+$V11),LOOKUP(2121,$Q$3:$Q$6))</f>
        <v>0.50124688279301743</v>
      </c>
      <c r="U11" s="4">
        <f t="shared" si="2"/>
        <v>16</v>
      </c>
      <c r="V11" s="5">
        <f>V10+U11</f>
        <v>41</v>
      </c>
      <c r="W11" s="3">
        <f t="shared" ref="W11:W29" si="5">IF(U11&lt;&gt;0,V11/($P11+$S11+$V11),LOOKUP(2121,$Q$3:$Q$6))</f>
        <v>0.10224438902743142</v>
      </c>
    </row>
    <row r="12" spans="2:23" ht="18">
      <c r="B12" s="30">
        <v>18</v>
      </c>
      <c r="C12" s="30">
        <v>39</v>
      </c>
      <c r="D12" s="29">
        <v>1</v>
      </c>
      <c r="E12" s="30">
        <v>4</v>
      </c>
      <c r="F12" s="30">
        <v>0</v>
      </c>
      <c r="G12" s="30">
        <v>1</v>
      </c>
      <c r="H12" s="159"/>
      <c r="L12" s="21">
        <v>1</v>
      </c>
      <c r="M12" s="6">
        <v>0.35416666666666702</v>
      </c>
      <c r="N12" s="2">
        <v>3</v>
      </c>
      <c r="O12" s="4">
        <f t="shared" si="0"/>
        <v>132</v>
      </c>
      <c r="P12" s="5">
        <f t="shared" ref="P12:P29" si="6">P11+O12</f>
        <v>291</v>
      </c>
      <c r="Q12" s="10">
        <f t="shared" si="3"/>
        <v>0.39808481532147744</v>
      </c>
      <c r="R12" s="4">
        <f t="shared" si="1"/>
        <v>176</v>
      </c>
      <c r="S12" s="5">
        <f t="shared" ref="S12:S29" si="7">S11+R12</f>
        <v>377</v>
      </c>
      <c r="T12" s="10">
        <f t="shared" si="4"/>
        <v>0.51573187414500687</v>
      </c>
      <c r="U12" s="4">
        <f t="shared" si="2"/>
        <v>22</v>
      </c>
      <c r="V12" s="5">
        <f t="shared" ref="V12:V29" si="8">V11+U12</f>
        <v>63</v>
      </c>
      <c r="W12" s="3">
        <f t="shared" si="5"/>
        <v>8.6183310533515731E-2</v>
      </c>
    </row>
    <row r="13" spans="2:23" ht="18">
      <c r="B13" s="30">
        <v>18</v>
      </c>
      <c r="C13" s="30">
        <v>38</v>
      </c>
      <c r="D13" s="29">
        <v>1</v>
      </c>
      <c r="E13" s="30">
        <v>8</v>
      </c>
      <c r="F13" s="30">
        <v>4</v>
      </c>
      <c r="G13" s="30">
        <v>2</v>
      </c>
      <c r="H13" s="159"/>
      <c r="L13" s="21">
        <v>1</v>
      </c>
      <c r="M13" s="6">
        <v>0.375</v>
      </c>
      <c r="N13" s="2">
        <v>4</v>
      </c>
      <c r="O13" s="4">
        <f t="shared" si="0"/>
        <v>160</v>
      </c>
      <c r="P13" s="5">
        <f t="shared" si="6"/>
        <v>451</v>
      </c>
      <c r="Q13" s="10">
        <f t="shared" si="3"/>
        <v>0.40053285968028418</v>
      </c>
      <c r="R13" s="4">
        <f t="shared" si="1"/>
        <v>211</v>
      </c>
      <c r="S13" s="5">
        <f t="shared" si="7"/>
        <v>588</v>
      </c>
      <c r="T13" s="10">
        <f t="shared" si="4"/>
        <v>0.52220248667850799</v>
      </c>
      <c r="U13" s="4">
        <f t="shared" si="2"/>
        <v>24</v>
      </c>
      <c r="V13" s="5">
        <f t="shared" si="8"/>
        <v>87</v>
      </c>
      <c r="W13" s="3">
        <f t="shared" si="5"/>
        <v>7.7264653641207812E-2</v>
      </c>
    </row>
    <row r="14" spans="2:23" ht="18">
      <c r="B14" s="30">
        <v>18</v>
      </c>
      <c r="C14" s="30">
        <v>44</v>
      </c>
      <c r="D14" s="29">
        <v>1</v>
      </c>
      <c r="E14" s="30">
        <v>9</v>
      </c>
      <c r="F14" s="30">
        <v>9</v>
      </c>
      <c r="G14" s="30">
        <v>7</v>
      </c>
      <c r="H14" s="159"/>
      <c r="L14" s="21">
        <v>1</v>
      </c>
      <c r="M14" s="6">
        <v>0.39583333333333298</v>
      </c>
      <c r="N14" s="2">
        <v>5</v>
      </c>
      <c r="O14" s="4">
        <f t="shared" si="0"/>
        <v>135</v>
      </c>
      <c r="P14" s="5">
        <f t="shared" si="6"/>
        <v>586</v>
      </c>
      <c r="Q14" s="10">
        <f t="shared" si="3"/>
        <v>0.40219629375428961</v>
      </c>
      <c r="R14" s="4">
        <f t="shared" si="1"/>
        <v>173</v>
      </c>
      <c r="S14" s="5">
        <f t="shared" si="7"/>
        <v>761</v>
      </c>
      <c r="T14" s="10">
        <f t="shared" si="4"/>
        <v>0.52230610844200409</v>
      </c>
      <c r="U14" s="4">
        <f t="shared" si="2"/>
        <v>23</v>
      </c>
      <c r="V14" s="5">
        <f t="shared" si="8"/>
        <v>110</v>
      </c>
      <c r="W14" s="3">
        <f t="shared" si="5"/>
        <v>7.549759780370624E-2</v>
      </c>
    </row>
    <row r="15" spans="2:23" ht="18">
      <c r="B15" s="30">
        <v>18</v>
      </c>
      <c r="C15" s="30">
        <v>53</v>
      </c>
      <c r="D15" s="29">
        <v>1</v>
      </c>
      <c r="E15" s="30">
        <v>2</v>
      </c>
      <c r="F15" s="30">
        <v>6</v>
      </c>
      <c r="G15" s="30">
        <v>0</v>
      </c>
      <c r="H15" s="159"/>
      <c r="L15" s="21">
        <v>1</v>
      </c>
      <c r="M15" s="6">
        <v>0.41666666666666702</v>
      </c>
      <c r="N15" s="2">
        <v>6</v>
      </c>
      <c r="O15" s="4">
        <f t="shared" si="0"/>
        <v>113</v>
      </c>
      <c r="P15" s="5">
        <f t="shared" si="6"/>
        <v>699</v>
      </c>
      <c r="Q15" s="10">
        <f t="shared" si="3"/>
        <v>0.40218642117376296</v>
      </c>
      <c r="R15" s="4">
        <f t="shared" si="1"/>
        <v>141</v>
      </c>
      <c r="S15" s="5">
        <f t="shared" si="7"/>
        <v>902</v>
      </c>
      <c r="T15" s="10">
        <f t="shared" si="4"/>
        <v>0.51898734177215189</v>
      </c>
      <c r="U15" s="4">
        <f t="shared" si="2"/>
        <v>27</v>
      </c>
      <c r="V15" s="5">
        <f t="shared" si="8"/>
        <v>137</v>
      </c>
      <c r="W15" s="3">
        <f t="shared" si="5"/>
        <v>7.882623705408516E-2</v>
      </c>
    </row>
    <row r="16" spans="2:23" ht="18">
      <c r="B16" s="30">
        <v>18</v>
      </c>
      <c r="C16" s="30">
        <v>49</v>
      </c>
      <c r="D16" s="29">
        <v>1</v>
      </c>
      <c r="E16" s="30">
        <v>4</v>
      </c>
      <c r="F16" s="30">
        <v>4</v>
      </c>
      <c r="G16" s="30">
        <v>3</v>
      </c>
      <c r="H16" s="159"/>
      <c r="L16" s="21">
        <v>1</v>
      </c>
      <c r="M16" s="6">
        <v>0.4375</v>
      </c>
      <c r="N16" s="2">
        <v>7</v>
      </c>
      <c r="O16" s="4">
        <f t="shared" si="0"/>
        <v>116</v>
      </c>
      <c r="P16" s="5">
        <f t="shared" si="6"/>
        <v>815</v>
      </c>
      <c r="Q16" s="10">
        <f t="shared" si="3"/>
        <v>0.39467312348668282</v>
      </c>
      <c r="R16" s="4">
        <f t="shared" si="1"/>
        <v>165</v>
      </c>
      <c r="S16" s="5">
        <f t="shared" si="7"/>
        <v>1067</v>
      </c>
      <c r="T16" s="10">
        <f t="shared" si="4"/>
        <v>0.51670702179176753</v>
      </c>
      <c r="U16" s="4">
        <f t="shared" si="2"/>
        <v>46</v>
      </c>
      <c r="V16" s="5">
        <f t="shared" si="8"/>
        <v>183</v>
      </c>
      <c r="W16" s="3">
        <f t="shared" si="5"/>
        <v>8.8619854721549637E-2</v>
      </c>
    </row>
    <row r="17" spans="2:23" ht="18">
      <c r="B17" s="30">
        <v>18</v>
      </c>
      <c r="C17" s="30">
        <v>39</v>
      </c>
      <c r="D17" s="29">
        <v>3</v>
      </c>
      <c r="E17" s="30">
        <v>11</v>
      </c>
      <c r="F17" s="30">
        <v>9</v>
      </c>
      <c r="G17" s="30">
        <v>5</v>
      </c>
      <c r="H17" s="159"/>
      <c r="L17" s="21">
        <v>1</v>
      </c>
      <c r="M17" s="6">
        <v>0.45833333333333298</v>
      </c>
      <c r="N17" s="2">
        <v>8</v>
      </c>
      <c r="O17" s="4">
        <f t="shared" si="0"/>
        <v>92</v>
      </c>
      <c r="P17" s="5">
        <f t="shared" si="6"/>
        <v>907</v>
      </c>
      <c r="Q17" s="10">
        <f t="shared" si="3"/>
        <v>0.38777255237280889</v>
      </c>
      <c r="R17" s="4">
        <f t="shared" si="1"/>
        <v>148</v>
      </c>
      <c r="S17" s="5">
        <f t="shared" si="7"/>
        <v>1215</v>
      </c>
      <c r="T17" s="10">
        <f t="shared" si="4"/>
        <v>0.51945275758871312</v>
      </c>
      <c r="U17" s="4">
        <f t="shared" si="2"/>
        <v>34</v>
      </c>
      <c r="V17" s="5">
        <f t="shared" si="8"/>
        <v>217</v>
      </c>
      <c r="W17" s="3">
        <f t="shared" si="5"/>
        <v>9.2774690038477978E-2</v>
      </c>
    </row>
    <row r="18" spans="2:23" ht="18">
      <c r="B18" s="30">
        <v>18</v>
      </c>
      <c r="C18" s="30">
        <v>50</v>
      </c>
      <c r="D18" s="29">
        <v>2</v>
      </c>
      <c r="E18" s="30">
        <v>3</v>
      </c>
      <c r="F18" s="30">
        <v>14</v>
      </c>
      <c r="G18" s="30">
        <v>0</v>
      </c>
      <c r="H18" s="159"/>
      <c r="L18" s="21">
        <v>1</v>
      </c>
      <c r="M18" s="6">
        <v>0.47916666666666702</v>
      </c>
      <c r="N18" s="2">
        <v>9</v>
      </c>
      <c r="O18" s="4">
        <f t="shared" si="0"/>
        <v>108</v>
      </c>
      <c r="P18" s="5">
        <f t="shared" si="6"/>
        <v>1015</v>
      </c>
      <c r="Q18" s="10">
        <f t="shared" si="3"/>
        <v>0.39023452518262208</v>
      </c>
      <c r="R18" s="4">
        <f t="shared" si="1"/>
        <v>131</v>
      </c>
      <c r="S18" s="5">
        <f t="shared" si="7"/>
        <v>1346</v>
      </c>
      <c r="T18" s="10">
        <f t="shared" si="4"/>
        <v>0.51749327181853133</v>
      </c>
      <c r="U18" s="4">
        <f t="shared" si="2"/>
        <v>23</v>
      </c>
      <c r="V18" s="5">
        <f t="shared" si="8"/>
        <v>240</v>
      </c>
      <c r="W18" s="3">
        <f t="shared" si="5"/>
        <v>9.22722029988466E-2</v>
      </c>
    </row>
    <row r="19" spans="2:23" ht="18">
      <c r="B19" s="30">
        <v>18</v>
      </c>
      <c r="C19" s="30">
        <v>43</v>
      </c>
      <c r="D19" s="29">
        <v>2</v>
      </c>
      <c r="E19" s="30">
        <v>3</v>
      </c>
      <c r="F19" s="30">
        <v>9</v>
      </c>
      <c r="G19" s="30">
        <v>2</v>
      </c>
      <c r="H19" s="159"/>
      <c r="L19" s="21">
        <v>1</v>
      </c>
      <c r="M19" s="6">
        <v>0.5</v>
      </c>
      <c r="N19" s="2">
        <v>10</v>
      </c>
      <c r="O19" s="4">
        <f t="shared" si="0"/>
        <v>109</v>
      </c>
      <c r="P19" s="5">
        <f t="shared" si="6"/>
        <v>1124</v>
      </c>
      <c r="Q19" s="10">
        <f t="shared" si="3"/>
        <v>0.39369527145359018</v>
      </c>
      <c r="R19" s="4">
        <f t="shared" si="1"/>
        <v>121</v>
      </c>
      <c r="S19" s="5">
        <f t="shared" si="7"/>
        <v>1467</v>
      </c>
      <c r="T19" s="10">
        <f t="shared" si="4"/>
        <v>0.5138353765323993</v>
      </c>
      <c r="U19" s="4">
        <f t="shared" si="2"/>
        <v>24</v>
      </c>
      <c r="V19" s="5">
        <f t="shared" si="8"/>
        <v>264</v>
      </c>
      <c r="W19" s="3">
        <f t="shared" si="5"/>
        <v>9.2469352014010506E-2</v>
      </c>
    </row>
    <row r="20" spans="2:23" ht="18">
      <c r="B20" s="30">
        <v>18</v>
      </c>
      <c r="C20" s="30">
        <v>55</v>
      </c>
      <c r="D20" s="29">
        <v>2</v>
      </c>
      <c r="E20" s="30">
        <v>10</v>
      </c>
      <c r="F20" s="30">
        <v>5</v>
      </c>
      <c r="G20" s="30">
        <v>1</v>
      </c>
      <c r="H20" s="159"/>
      <c r="L20" s="21">
        <v>1</v>
      </c>
      <c r="M20" s="6">
        <v>0.52083333333333304</v>
      </c>
      <c r="N20" s="2">
        <v>11</v>
      </c>
      <c r="O20" s="4">
        <f t="shared" si="0"/>
        <v>108</v>
      </c>
      <c r="P20" s="5">
        <f t="shared" si="6"/>
        <v>1232</v>
      </c>
      <c r="Q20" s="10">
        <f t="shared" si="3"/>
        <v>0.39729119638826182</v>
      </c>
      <c r="R20" s="4">
        <f t="shared" si="1"/>
        <v>113</v>
      </c>
      <c r="S20" s="5">
        <f t="shared" si="7"/>
        <v>1580</v>
      </c>
      <c r="T20" s="10">
        <f t="shared" si="4"/>
        <v>0.50951306030312804</v>
      </c>
      <c r="U20" s="4">
        <f t="shared" si="2"/>
        <v>25</v>
      </c>
      <c r="V20" s="5">
        <f t="shared" si="8"/>
        <v>289</v>
      </c>
      <c r="W20" s="3">
        <f t="shared" si="5"/>
        <v>9.3195743308610121E-2</v>
      </c>
    </row>
    <row r="21" spans="2:23" ht="18">
      <c r="B21" s="30">
        <v>18</v>
      </c>
      <c r="C21" s="30">
        <v>49</v>
      </c>
      <c r="D21" s="29">
        <v>2</v>
      </c>
      <c r="E21" s="30">
        <v>7</v>
      </c>
      <c r="F21" s="30">
        <v>1</v>
      </c>
      <c r="G21" s="30">
        <v>1</v>
      </c>
      <c r="H21" s="159"/>
      <c r="L21" s="21">
        <v>1</v>
      </c>
      <c r="M21" s="6">
        <v>4.1666666666666664E-2</v>
      </c>
      <c r="N21" s="2">
        <v>12</v>
      </c>
      <c r="O21" s="4">
        <f t="shared" si="0"/>
        <v>96</v>
      </c>
      <c r="P21" s="5">
        <f t="shared" si="6"/>
        <v>1328</v>
      </c>
      <c r="Q21" s="10">
        <f t="shared" si="3"/>
        <v>0.39736684619988033</v>
      </c>
      <c r="R21" s="4">
        <f t="shared" si="1"/>
        <v>125</v>
      </c>
      <c r="S21" s="5">
        <f t="shared" si="7"/>
        <v>1705</v>
      </c>
      <c r="T21" s="10">
        <f t="shared" si="4"/>
        <v>0.51017354877318966</v>
      </c>
      <c r="U21" s="4">
        <f t="shared" si="2"/>
        <v>20</v>
      </c>
      <c r="V21" s="5">
        <f t="shared" si="8"/>
        <v>309</v>
      </c>
      <c r="W21" s="3">
        <f t="shared" si="5"/>
        <v>9.2459605026929986E-2</v>
      </c>
    </row>
    <row r="22" spans="2:23" ht="18">
      <c r="B22" s="30">
        <v>18</v>
      </c>
      <c r="C22" s="30">
        <v>51</v>
      </c>
      <c r="D22" s="29">
        <v>2</v>
      </c>
      <c r="E22" s="30">
        <v>5</v>
      </c>
      <c r="F22" s="30">
        <v>10</v>
      </c>
      <c r="G22" s="30">
        <v>5</v>
      </c>
      <c r="H22" s="159"/>
      <c r="L22" s="21">
        <v>1</v>
      </c>
      <c r="M22" s="6">
        <v>6.25E-2</v>
      </c>
      <c r="N22" s="2">
        <v>13</v>
      </c>
      <c r="O22" s="4">
        <f t="shared" si="0"/>
        <v>99</v>
      </c>
      <c r="P22" s="5">
        <f t="shared" si="6"/>
        <v>1427</v>
      </c>
      <c r="Q22" s="10">
        <f t="shared" si="3"/>
        <v>0.39882615986584685</v>
      </c>
      <c r="R22" s="4">
        <f t="shared" si="1"/>
        <v>102</v>
      </c>
      <c r="S22" s="5">
        <f t="shared" si="7"/>
        <v>1807</v>
      </c>
      <c r="T22" s="10">
        <f t="shared" si="4"/>
        <v>0.50503074343208498</v>
      </c>
      <c r="U22" s="4">
        <f t="shared" si="2"/>
        <v>35</v>
      </c>
      <c r="V22" s="5">
        <f t="shared" si="8"/>
        <v>344</v>
      </c>
      <c r="W22" s="3">
        <f t="shared" si="5"/>
        <v>9.6143096702068193E-2</v>
      </c>
    </row>
    <row r="23" spans="2:23" ht="18">
      <c r="B23" s="30">
        <v>18</v>
      </c>
      <c r="C23" s="30">
        <v>62</v>
      </c>
      <c r="D23" s="29">
        <v>2</v>
      </c>
      <c r="E23" s="30">
        <v>13</v>
      </c>
      <c r="F23" s="30">
        <v>14</v>
      </c>
      <c r="G23" s="30">
        <v>0</v>
      </c>
      <c r="H23" s="159"/>
      <c r="L23" s="21">
        <v>1</v>
      </c>
      <c r="M23" s="6">
        <v>8.3333333333333329E-2</v>
      </c>
      <c r="N23" s="2">
        <v>14</v>
      </c>
      <c r="O23" s="4">
        <f t="shared" si="0"/>
        <v>52</v>
      </c>
      <c r="P23" s="5">
        <f t="shared" si="6"/>
        <v>1479</v>
      </c>
      <c r="Q23" s="10">
        <f t="shared" si="3"/>
        <v>0.39790153349475382</v>
      </c>
      <c r="R23" s="4">
        <f t="shared" si="1"/>
        <v>70</v>
      </c>
      <c r="S23" s="5">
        <f t="shared" si="7"/>
        <v>1877</v>
      </c>
      <c r="T23" s="10">
        <f t="shared" si="4"/>
        <v>0.50497713209577622</v>
      </c>
      <c r="U23" s="4">
        <f t="shared" si="2"/>
        <v>17</v>
      </c>
      <c r="V23" s="5">
        <f t="shared" si="8"/>
        <v>361</v>
      </c>
      <c r="W23" s="3">
        <f t="shared" si="5"/>
        <v>9.7121334409470003E-2</v>
      </c>
    </row>
    <row r="24" spans="2:23" ht="18">
      <c r="B24" s="30">
        <v>18</v>
      </c>
      <c r="C24" s="30">
        <v>60</v>
      </c>
      <c r="D24" s="29">
        <v>3</v>
      </c>
      <c r="E24" s="30">
        <v>16</v>
      </c>
      <c r="F24" s="30">
        <v>14</v>
      </c>
      <c r="G24" s="30">
        <v>0</v>
      </c>
      <c r="H24" s="159"/>
      <c r="L24" s="21">
        <v>1</v>
      </c>
      <c r="M24" s="6">
        <v>0.104166666666667</v>
      </c>
      <c r="N24" s="2">
        <v>15</v>
      </c>
      <c r="O24" s="4">
        <f t="shared" si="0"/>
        <v>49</v>
      </c>
      <c r="P24" s="5">
        <f t="shared" si="6"/>
        <v>1528</v>
      </c>
      <c r="Q24" s="10">
        <f t="shared" si="3"/>
        <v>0.40031438302331673</v>
      </c>
      <c r="R24" s="4">
        <f t="shared" si="1"/>
        <v>40</v>
      </c>
      <c r="S24" s="5">
        <f t="shared" si="7"/>
        <v>1917</v>
      </c>
      <c r="T24" s="10">
        <f t="shared" si="4"/>
        <v>0.50222687974849356</v>
      </c>
      <c r="U24" s="4">
        <f t="shared" si="2"/>
        <v>11</v>
      </c>
      <c r="V24" s="5">
        <f t="shared" si="8"/>
        <v>372</v>
      </c>
      <c r="W24" s="3">
        <f t="shared" si="5"/>
        <v>9.7458737228189679E-2</v>
      </c>
    </row>
    <row r="25" spans="2:23" ht="18">
      <c r="B25" s="30">
        <v>18</v>
      </c>
      <c r="C25" s="30">
        <v>44</v>
      </c>
      <c r="D25" s="29">
        <v>2</v>
      </c>
      <c r="E25" s="30">
        <v>9</v>
      </c>
      <c r="F25" s="30">
        <v>6</v>
      </c>
      <c r="G25" s="30">
        <v>3</v>
      </c>
      <c r="H25" s="159"/>
      <c r="L25" s="21">
        <v>1</v>
      </c>
      <c r="M25" s="6">
        <v>0.125</v>
      </c>
      <c r="N25" s="2">
        <v>16</v>
      </c>
      <c r="O25" s="4">
        <f t="shared" si="0"/>
        <v>36</v>
      </c>
      <c r="P25" s="5">
        <f t="shared" si="6"/>
        <v>1564</v>
      </c>
      <c r="Q25" s="10">
        <f t="shared" si="3"/>
        <v>0.40020470829068577</v>
      </c>
      <c r="R25" s="4">
        <f t="shared" si="1"/>
        <v>44</v>
      </c>
      <c r="S25" s="5">
        <f t="shared" si="7"/>
        <v>1961</v>
      </c>
      <c r="T25" s="10">
        <f t="shared" si="4"/>
        <v>0.50179119754350054</v>
      </c>
      <c r="U25" s="4">
        <f t="shared" si="2"/>
        <v>11</v>
      </c>
      <c r="V25" s="5">
        <f t="shared" si="8"/>
        <v>383</v>
      </c>
      <c r="W25" s="3">
        <f t="shared" si="5"/>
        <v>9.800409416581371E-2</v>
      </c>
    </row>
    <row r="26" spans="2:23" ht="18">
      <c r="B26" s="30">
        <v>18</v>
      </c>
      <c r="C26" s="30">
        <v>49</v>
      </c>
      <c r="D26" s="29">
        <v>3</v>
      </c>
      <c r="E26" s="30">
        <v>6</v>
      </c>
      <c r="F26" s="30">
        <v>4</v>
      </c>
      <c r="G26" s="30">
        <v>2</v>
      </c>
      <c r="H26" s="159"/>
      <c r="L26" s="21">
        <v>1</v>
      </c>
      <c r="M26" s="6">
        <v>0.14583333333333301</v>
      </c>
      <c r="N26" s="2">
        <v>17</v>
      </c>
      <c r="O26" s="4">
        <f t="shared" si="0"/>
        <v>13</v>
      </c>
      <c r="P26" s="5">
        <f t="shared" si="6"/>
        <v>1577</v>
      </c>
      <c r="Q26" s="10">
        <f t="shared" si="3"/>
        <v>0.40025380710659897</v>
      </c>
      <c r="R26" s="4">
        <f t="shared" si="1"/>
        <v>18</v>
      </c>
      <c r="S26" s="5">
        <f t="shared" si="7"/>
        <v>1979</v>
      </c>
      <c r="T26" s="10">
        <f t="shared" si="4"/>
        <v>0.50228426395939085</v>
      </c>
      <c r="U26" s="4">
        <f t="shared" si="2"/>
        <v>1</v>
      </c>
      <c r="V26" s="5">
        <f t="shared" si="8"/>
        <v>384</v>
      </c>
      <c r="W26" s="3">
        <f t="shared" si="5"/>
        <v>9.746192893401015E-2</v>
      </c>
    </row>
    <row r="27" spans="2:23" ht="18">
      <c r="B27" s="30">
        <v>18</v>
      </c>
      <c r="C27" s="30">
        <v>48</v>
      </c>
      <c r="D27" s="29">
        <v>3</v>
      </c>
      <c r="E27" s="30">
        <v>1</v>
      </c>
      <c r="F27" s="30">
        <v>8</v>
      </c>
      <c r="G27" s="30">
        <v>0</v>
      </c>
      <c r="H27" s="159"/>
      <c r="L27" s="21">
        <v>1</v>
      </c>
      <c r="M27" s="6">
        <v>0.16666666666666599</v>
      </c>
      <c r="N27" s="2">
        <v>18</v>
      </c>
      <c r="O27" s="4">
        <f t="shared" si="0"/>
        <v>12</v>
      </c>
      <c r="P27" s="5">
        <f t="shared" si="6"/>
        <v>1589</v>
      </c>
      <c r="Q27" s="10">
        <f t="shared" si="3"/>
        <v>0.40095886954327531</v>
      </c>
      <c r="R27" s="4">
        <f t="shared" si="1"/>
        <v>11</v>
      </c>
      <c r="S27" s="5">
        <f t="shared" si="7"/>
        <v>1990</v>
      </c>
      <c r="T27" s="10">
        <f t="shared" si="4"/>
        <v>0.50214483976785262</v>
      </c>
      <c r="U27" s="4">
        <f t="shared" si="2"/>
        <v>0</v>
      </c>
      <c r="V27" s="5">
        <f t="shared" si="8"/>
        <v>384</v>
      </c>
      <c r="W27" s="3" t="e">
        <f t="shared" si="5"/>
        <v>#N/A</v>
      </c>
    </row>
    <row r="28" spans="2:23" ht="18">
      <c r="B28" s="30">
        <v>18</v>
      </c>
      <c r="C28" s="30">
        <v>45</v>
      </c>
      <c r="D28" s="29">
        <v>1</v>
      </c>
      <c r="E28" s="30">
        <v>3</v>
      </c>
      <c r="F28" s="30">
        <v>4</v>
      </c>
      <c r="G28" s="30">
        <v>1</v>
      </c>
      <c r="H28" s="159"/>
      <c r="L28" s="21">
        <v>1</v>
      </c>
      <c r="M28" s="6">
        <v>0.187499999999999</v>
      </c>
      <c r="N28" s="2">
        <v>19</v>
      </c>
      <c r="O28" s="4">
        <f t="shared" si="0"/>
        <v>14</v>
      </c>
      <c r="P28" s="5">
        <f t="shared" si="6"/>
        <v>1603</v>
      </c>
      <c r="Q28" s="10">
        <f t="shared" si="3"/>
        <v>0.40145254194840974</v>
      </c>
      <c r="R28" s="4">
        <f t="shared" si="1"/>
        <v>16</v>
      </c>
      <c r="S28" s="5">
        <f t="shared" si="7"/>
        <v>2006</v>
      </c>
      <c r="T28" s="10">
        <f t="shared" si="4"/>
        <v>0.50237916353618828</v>
      </c>
      <c r="U28" s="4">
        <f t="shared" si="2"/>
        <v>0</v>
      </c>
      <c r="V28" s="5">
        <f t="shared" si="8"/>
        <v>384</v>
      </c>
      <c r="W28" s="3" t="e">
        <f t="shared" si="5"/>
        <v>#N/A</v>
      </c>
    </row>
    <row r="29" spans="2:23" ht="18.75" thickBot="1">
      <c r="B29" s="30">
        <v>18</v>
      </c>
      <c r="C29" s="30">
        <v>53</v>
      </c>
      <c r="D29" s="29">
        <v>2</v>
      </c>
      <c r="E29" s="30">
        <v>10</v>
      </c>
      <c r="F29" s="30">
        <v>18</v>
      </c>
      <c r="G29" s="30">
        <v>1</v>
      </c>
      <c r="H29" s="159"/>
      <c r="L29" s="21">
        <v>1</v>
      </c>
      <c r="M29" s="6">
        <v>0.20833333333333201</v>
      </c>
      <c r="N29" s="2">
        <v>20</v>
      </c>
      <c r="O29" s="4">
        <f t="shared" si="0"/>
        <v>8</v>
      </c>
      <c r="P29" s="8">
        <f t="shared" si="6"/>
        <v>1611</v>
      </c>
      <c r="Q29" s="11">
        <f t="shared" si="3"/>
        <v>0.40184584684459967</v>
      </c>
      <c r="R29" s="4">
        <f t="shared" si="1"/>
        <v>8</v>
      </c>
      <c r="S29" s="8">
        <f t="shared" si="7"/>
        <v>2014</v>
      </c>
      <c r="T29" s="11">
        <f t="shared" si="4"/>
        <v>0.50236966824644547</v>
      </c>
      <c r="U29" s="7">
        <f t="shared" si="2"/>
        <v>0</v>
      </c>
      <c r="V29" s="8">
        <f t="shared" si="8"/>
        <v>384</v>
      </c>
      <c r="W29" s="9" t="e">
        <f t="shared" si="5"/>
        <v>#N/A</v>
      </c>
    </row>
    <row r="30" spans="2:23" ht="18">
      <c r="B30" s="30">
        <v>18</v>
      </c>
      <c r="C30" s="30">
        <v>60</v>
      </c>
      <c r="D30" s="29">
        <v>2</v>
      </c>
      <c r="E30" s="30">
        <v>4</v>
      </c>
      <c r="F30" s="30">
        <v>20</v>
      </c>
      <c r="G30" s="30">
        <v>1</v>
      </c>
      <c r="H30" s="159"/>
      <c r="L30" s="21">
        <v>1</v>
      </c>
    </row>
    <row r="31" spans="2:23" ht="18">
      <c r="B31" s="30">
        <v>18</v>
      </c>
      <c r="C31" s="30">
        <v>53</v>
      </c>
      <c r="D31" s="29">
        <v>1</v>
      </c>
      <c r="E31" s="30">
        <v>9</v>
      </c>
      <c r="F31" s="30">
        <v>16</v>
      </c>
      <c r="G31" s="30">
        <v>0</v>
      </c>
      <c r="H31" s="159"/>
      <c r="L31" s="21">
        <v>1</v>
      </c>
    </row>
    <row r="32" spans="2:23" ht="18">
      <c r="B32" s="30">
        <v>18</v>
      </c>
      <c r="C32" s="30">
        <v>60</v>
      </c>
      <c r="D32" s="29">
        <v>3</v>
      </c>
      <c r="E32" s="30">
        <v>10</v>
      </c>
      <c r="F32" s="30">
        <v>15</v>
      </c>
      <c r="G32" s="30">
        <v>0</v>
      </c>
      <c r="H32" s="159"/>
      <c r="L32" s="21">
        <v>1</v>
      </c>
      <c r="N32" s="21">
        <v>38</v>
      </c>
    </row>
    <row r="33" spans="2:14" ht="18">
      <c r="B33" s="30">
        <v>18</v>
      </c>
      <c r="C33" s="30">
        <v>60</v>
      </c>
      <c r="D33" s="29">
        <v>1</v>
      </c>
      <c r="E33" s="30">
        <v>6</v>
      </c>
      <c r="F33" s="30">
        <v>19</v>
      </c>
      <c r="G33" s="30">
        <v>0</v>
      </c>
      <c r="H33" s="159"/>
      <c r="L33" s="21">
        <v>1</v>
      </c>
      <c r="N33" s="21">
        <v>39</v>
      </c>
    </row>
    <row r="34" spans="2:14" ht="18">
      <c r="B34" s="30">
        <v>18</v>
      </c>
      <c r="C34" s="30">
        <v>39</v>
      </c>
      <c r="D34" s="29">
        <v>4</v>
      </c>
      <c r="E34" s="30">
        <v>14</v>
      </c>
      <c r="F34" s="30">
        <v>8</v>
      </c>
      <c r="G34" s="30">
        <v>1</v>
      </c>
      <c r="H34" s="159"/>
      <c r="L34" s="21">
        <v>1</v>
      </c>
      <c r="N34" s="21">
        <v>40</v>
      </c>
    </row>
    <row r="35" spans="2:14" ht="18">
      <c r="B35" s="30">
        <v>18</v>
      </c>
      <c r="C35" s="30">
        <v>48</v>
      </c>
      <c r="D35" s="29">
        <v>4</v>
      </c>
      <c r="E35" s="30">
        <v>8</v>
      </c>
      <c r="F35" s="30">
        <v>7</v>
      </c>
      <c r="G35" s="30">
        <v>1</v>
      </c>
      <c r="H35" s="159"/>
      <c r="L35" s="21">
        <v>1</v>
      </c>
      <c r="N35" s="21">
        <v>41</v>
      </c>
    </row>
    <row r="36" spans="2:14" ht="18">
      <c r="B36" s="29">
        <v>18</v>
      </c>
      <c r="C36" s="30">
        <v>43</v>
      </c>
      <c r="D36" s="29">
        <v>4</v>
      </c>
      <c r="E36" s="30">
        <v>2</v>
      </c>
      <c r="F36" s="30">
        <v>3</v>
      </c>
      <c r="G36" s="30">
        <v>1</v>
      </c>
      <c r="H36" s="159"/>
      <c r="L36" s="21">
        <v>1</v>
      </c>
      <c r="N36" s="21">
        <v>42</v>
      </c>
    </row>
    <row r="37" spans="2:14" ht="18">
      <c r="B37" s="29">
        <v>18</v>
      </c>
      <c r="C37" s="30">
        <v>43</v>
      </c>
      <c r="D37" s="29">
        <v>3</v>
      </c>
      <c r="E37" s="30">
        <v>5</v>
      </c>
      <c r="F37" s="30">
        <v>7</v>
      </c>
      <c r="G37" s="30">
        <v>3</v>
      </c>
      <c r="H37" s="159"/>
      <c r="L37" s="21">
        <v>1</v>
      </c>
      <c r="N37" s="21">
        <v>43</v>
      </c>
    </row>
    <row r="38" spans="2:14" ht="18">
      <c r="B38" s="29">
        <v>18</v>
      </c>
      <c r="C38" s="30">
        <v>55</v>
      </c>
      <c r="D38" s="29">
        <v>3</v>
      </c>
      <c r="E38" s="30">
        <v>24</v>
      </c>
      <c r="F38" s="30">
        <v>20</v>
      </c>
      <c r="G38" s="30">
        <v>1</v>
      </c>
      <c r="H38" s="159"/>
      <c r="L38" s="21">
        <v>1</v>
      </c>
      <c r="N38" s="21">
        <v>44</v>
      </c>
    </row>
    <row r="39" spans="2:14" ht="18">
      <c r="B39" s="29">
        <v>18</v>
      </c>
      <c r="C39" s="30">
        <v>51</v>
      </c>
      <c r="D39" s="29">
        <v>4</v>
      </c>
      <c r="E39" s="30">
        <v>10</v>
      </c>
      <c r="F39" s="30">
        <v>13</v>
      </c>
      <c r="G39" s="30">
        <v>2</v>
      </c>
      <c r="H39" s="159"/>
      <c r="L39" s="21">
        <v>1</v>
      </c>
      <c r="N39" s="21">
        <v>45</v>
      </c>
    </row>
    <row r="40" spans="2:14" ht="18">
      <c r="B40" s="29">
        <v>18</v>
      </c>
      <c r="C40" s="30">
        <v>51</v>
      </c>
      <c r="D40" s="29">
        <v>3</v>
      </c>
      <c r="E40" s="30">
        <v>4</v>
      </c>
      <c r="F40" s="30">
        <v>20</v>
      </c>
      <c r="G40" s="30">
        <v>1</v>
      </c>
      <c r="H40" s="159"/>
      <c r="L40" s="21">
        <v>1</v>
      </c>
      <c r="N40" s="21">
        <v>46</v>
      </c>
    </row>
    <row r="41" spans="2:14" ht="18">
      <c r="B41" s="29">
        <v>18</v>
      </c>
      <c r="C41" s="30">
        <v>45</v>
      </c>
      <c r="D41" s="29">
        <v>2</v>
      </c>
      <c r="E41" s="30">
        <v>4</v>
      </c>
      <c r="F41" s="30">
        <v>2</v>
      </c>
      <c r="G41" s="30">
        <v>2</v>
      </c>
      <c r="H41" s="159"/>
      <c r="L41" s="21">
        <v>1</v>
      </c>
      <c r="N41" s="21">
        <v>47</v>
      </c>
    </row>
    <row r="42" spans="2:14" ht="18">
      <c r="B42" s="29">
        <v>18</v>
      </c>
      <c r="C42" s="30">
        <v>38</v>
      </c>
      <c r="D42" s="29">
        <v>4</v>
      </c>
      <c r="E42" s="30">
        <v>4</v>
      </c>
      <c r="F42" s="30">
        <v>9</v>
      </c>
      <c r="G42" s="30">
        <v>7</v>
      </c>
      <c r="H42" s="159"/>
      <c r="L42" s="21">
        <v>1</v>
      </c>
      <c r="N42" s="21">
        <v>48</v>
      </c>
    </row>
    <row r="43" spans="2:14" ht="18">
      <c r="B43" s="29">
        <v>18</v>
      </c>
      <c r="C43" s="30">
        <v>38</v>
      </c>
      <c r="D43" s="29">
        <v>3</v>
      </c>
      <c r="E43" s="30">
        <v>9</v>
      </c>
      <c r="F43" s="30">
        <v>6</v>
      </c>
      <c r="G43" s="30">
        <v>4</v>
      </c>
      <c r="H43" s="159"/>
      <c r="L43" s="21">
        <v>1</v>
      </c>
      <c r="N43" s="21">
        <v>49</v>
      </c>
    </row>
    <row r="44" spans="2:14" ht="18">
      <c r="B44" s="30">
        <v>18</v>
      </c>
      <c r="C44" s="30">
        <v>49</v>
      </c>
      <c r="D44" s="30">
        <v>4</v>
      </c>
      <c r="E44" s="30">
        <v>12</v>
      </c>
      <c r="F44" s="30">
        <v>4</v>
      </c>
      <c r="G44" s="30">
        <v>3</v>
      </c>
      <c r="H44" s="159"/>
      <c r="L44" s="21">
        <v>1</v>
      </c>
      <c r="N44" s="21">
        <v>50</v>
      </c>
    </row>
    <row r="45" spans="2:14" ht="18">
      <c r="B45" s="30">
        <v>18</v>
      </c>
      <c r="C45" s="30">
        <v>62</v>
      </c>
      <c r="D45" s="30">
        <v>4</v>
      </c>
      <c r="E45" s="30">
        <v>12</v>
      </c>
      <c r="F45" s="30">
        <v>12</v>
      </c>
      <c r="G45" s="30">
        <v>1</v>
      </c>
      <c r="H45" s="159"/>
      <c r="L45" s="21">
        <v>1</v>
      </c>
      <c r="N45" s="21">
        <v>51</v>
      </c>
    </row>
    <row r="46" spans="2:14" ht="18">
      <c r="B46" s="30">
        <v>18</v>
      </c>
      <c r="C46" s="30">
        <v>62</v>
      </c>
      <c r="D46" s="30">
        <v>3</v>
      </c>
      <c r="E46" s="30">
        <v>10</v>
      </c>
      <c r="F46" s="30">
        <v>12</v>
      </c>
      <c r="G46" s="30">
        <v>3</v>
      </c>
      <c r="H46" s="159"/>
      <c r="L46" s="21">
        <v>1</v>
      </c>
      <c r="N46" s="21">
        <v>52</v>
      </c>
    </row>
    <row r="47" spans="2:14" ht="18">
      <c r="B47" s="30">
        <v>18</v>
      </c>
      <c r="C47" s="30">
        <v>61</v>
      </c>
      <c r="D47" s="30">
        <v>1</v>
      </c>
      <c r="E47" s="30">
        <v>2</v>
      </c>
      <c r="F47" s="30">
        <v>2</v>
      </c>
      <c r="G47" s="30">
        <v>0</v>
      </c>
      <c r="H47" s="159"/>
      <c r="L47" s="21">
        <v>1</v>
      </c>
      <c r="N47" s="21">
        <v>53</v>
      </c>
    </row>
    <row r="48" spans="2:14" ht="18">
      <c r="B48" s="30">
        <v>18</v>
      </c>
      <c r="C48" s="30">
        <v>61</v>
      </c>
      <c r="D48" s="30">
        <v>3</v>
      </c>
      <c r="E48" s="30">
        <v>6</v>
      </c>
      <c r="F48" s="30">
        <v>9</v>
      </c>
      <c r="G48" s="30">
        <v>0</v>
      </c>
      <c r="H48" s="159"/>
      <c r="L48" s="21">
        <v>1</v>
      </c>
      <c r="N48" s="21">
        <v>54</v>
      </c>
    </row>
    <row r="49" spans="2:14" ht="18">
      <c r="B49" s="30">
        <v>18</v>
      </c>
      <c r="C49" s="30">
        <v>39</v>
      </c>
      <c r="D49" s="30">
        <v>5</v>
      </c>
      <c r="E49" s="30">
        <v>13</v>
      </c>
      <c r="F49" s="30">
        <v>7</v>
      </c>
      <c r="G49" s="30">
        <v>5</v>
      </c>
      <c r="H49" s="159"/>
      <c r="L49" s="21">
        <v>1</v>
      </c>
      <c r="N49" s="21">
        <v>55</v>
      </c>
    </row>
    <row r="50" spans="2:14" ht="18">
      <c r="B50" s="30">
        <v>18</v>
      </c>
      <c r="C50" s="30">
        <v>44</v>
      </c>
      <c r="D50" s="30">
        <v>5</v>
      </c>
      <c r="E50" s="30">
        <v>6</v>
      </c>
      <c r="F50" s="30">
        <v>3</v>
      </c>
      <c r="G50" s="30">
        <v>0</v>
      </c>
      <c r="H50" s="159"/>
      <c r="L50" s="21">
        <v>1</v>
      </c>
      <c r="N50" s="21">
        <v>56</v>
      </c>
    </row>
    <row r="51" spans="2:14" ht="18">
      <c r="B51" s="30">
        <v>18</v>
      </c>
      <c r="C51" s="30">
        <v>44</v>
      </c>
      <c r="D51" s="30">
        <v>3</v>
      </c>
      <c r="E51" s="30">
        <v>7</v>
      </c>
      <c r="F51" s="30">
        <v>6</v>
      </c>
      <c r="G51" s="30">
        <v>1</v>
      </c>
      <c r="H51" s="159"/>
      <c r="L51" s="21">
        <v>1</v>
      </c>
      <c r="N51" s="21">
        <v>57</v>
      </c>
    </row>
    <row r="52" spans="2:14" ht="18">
      <c r="B52" s="30">
        <v>18</v>
      </c>
      <c r="C52" s="30">
        <v>44</v>
      </c>
      <c r="D52" s="30">
        <v>4</v>
      </c>
      <c r="E52" s="30">
        <v>8</v>
      </c>
      <c r="F52" s="30">
        <v>4</v>
      </c>
      <c r="G52" s="30">
        <v>2</v>
      </c>
      <c r="H52" s="159"/>
      <c r="L52" s="21">
        <v>1</v>
      </c>
      <c r="N52" s="21">
        <v>58</v>
      </c>
    </row>
    <row r="53" spans="2:14" ht="18">
      <c r="B53" s="30">
        <v>18</v>
      </c>
      <c r="C53" s="30">
        <v>60</v>
      </c>
      <c r="D53" s="30">
        <v>4</v>
      </c>
      <c r="E53" s="30">
        <v>8</v>
      </c>
      <c r="F53" s="30">
        <v>16</v>
      </c>
      <c r="G53" s="30">
        <v>0</v>
      </c>
      <c r="H53" s="159"/>
      <c r="L53" s="21">
        <v>1</v>
      </c>
      <c r="N53" s="21">
        <v>59</v>
      </c>
    </row>
    <row r="54" spans="2:14" ht="18">
      <c r="B54" s="30">
        <v>18</v>
      </c>
      <c r="C54" s="30">
        <v>48</v>
      </c>
      <c r="D54" s="30">
        <v>1</v>
      </c>
      <c r="E54" s="30">
        <v>5</v>
      </c>
      <c r="F54" s="30">
        <v>10</v>
      </c>
      <c r="G54" s="30">
        <v>4</v>
      </c>
      <c r="H54" s="159"/>
      <c r="L54" s="21">
        <v>1</v>
      </c>
      <c r="N54" s="21">
        <v>60</v>
      </c>
    </row>
    <row r="55" spans="2:14" ht="18">
      <c r="B55" s="30">
        <v>18</v>
      </c>
      <c r="C55" s="30">
        <v>50</v>
      </c>
      <c r="D55" s="30">
        <v>5</v>
      </c>
      <c r="E55" s="30">
        <v>10</v>
      </c>
      <c r="F55" s="30">
        <v>14</v>
      </c>
      <c r="G55" s="30">
        <v>0</v>
      </c>
      <c r="H55" s="159"/>
      <c r="L55" s="21">
        <v>1</v>
      </c>
      <c r="N55" s="21">
        <v>61</v>
      </c>
    </row>
    <row r="56" spans="2:14" ht="18">
      <c r="B56" s="30">
        <v>18</v>
      </c>
      <c r="C56" s="30">
        <v>49</v>
      </c>
      <c r="D56" s="30">
        <v>5</v>
      </c>
      <c r="E56" s="30">
        <v>5</v>
      </c>
      <c r="F56" s="30">
        <v>3</v>
      </c>
      <c r="G56" s="30">
        <v>2</v>
      </c>
      <c r="H56" s="159"/>
      <c r="L56" s="21">
        <v>1</v>
      </c>
      <c r="N56" s="21">
        <v>62</v>
      </c>
    </row>
    <row r="57" spans="2:14" ht="18">
      <c r="B57" s="30">
        <v>18</v>
      </c>
      <c r="C57" s="30">
        <v>43</v>
      </c>
      <c r="D57" s="30">
        <v>5</v>
      </c>
      <c r="E57" s="30">
        <v>5</v>
      </c>
      <c r="F57" s="30">
        <v>4</v>
      </c>
      <c r="G57" s="30">
        <v>2</v>
      </c>
      <c r="H57" s="159"/>
      <c r="L57" s="21">
        <v>1</v>
      </c>
      <c r="N57" s="21">
        <v>63</v>
      </c>
    </row>
    <row r="58" spans="2:14" ht="18">
      <c r="B58" s="30">
        <v>18</v>
      </c>
      <c r="C58" s="30">
        <v>55</v>
      </c>
      <c r="D58" s="30">
        <v>4</v>
      </c>
      <c r="E58" s="30">
        <v>10</v>
      </c>
      <c r="F58" s="30">
        <v>7</v>
      </c>
      <c r="G58" s="30">
        <v>0</v>
      </c>
      <c r="H58" s="159"/>
      <c r="L58" s="21">
        <v>1</v>
      </c>
      <c r="N58" s="21">
        <v>64</v>
      </c>
    </row>
    <row r="59" spans="2:14" ht="18">
      <c r="B59" s="30">
        <v>18</v>
      </c>
      <c r="C59" s="30">
        <v>62</v>
      </c>
      <c r="D59" s="30">
        <v>5</v>
      </c>
      <c r="E59" s="30">
        <v>16</v>
      </c>
      <c r="F59" s="30">
        <v>12</v>
      </c>
      <c r="G59" s="30">
        <v>0</v>
      </c>
      <c r="H59" s="159"/>
      <c r="L59" s="21">
        <v>1</v>
      </c>
      <c r="N59" s="21"/>
    </row>
    <row r="60" spans="2:14" ht="18">
      <c r="B60" s="30">
        <v>18</v>
      </c>
      <c r="C60" s="30">
        <v>51</v>
      </c>
      <c r="D60" s="30">
        <v>5</v>
      </c>
      <c r="E60" s="30">
        <v>6</v>
      </c>
      <c r="F60" s="30">
        <v>16</v>
      </c>
      <c r="G60" s="30">
        <v>3</v>
      </c>
      <c r="H60" s="159"/>
      <c r="L60" s="21">
        <v>1</v>
      </c>
      <c r="N60" s="21"/>
    </row>
    <row r="61" spans="2:14" ht="18">
      <c r="B61" s="30">
        <v>18</v>
      </c>
      <c r="C61" s="30">
        <v>50</v>
      </c>
      <c r="D61" s="30">
        <v>2</v>
      </c>
      <c r="E61" s="30">
        <v>15</v>
      </c>
      <c r="F61" s="30">
        <v>8</v>
      </c>
      <c r="G61" s="30">
        <v>0</v>
      </c>
      <c r="H61" s="159"/>
      <c r="L61" s="21">
        <v>1</v>
      </c>
      <c r="N61" s="21"/>
    </row>
    <row r="62" spans="2:14" ht="18">
      <c r="B62" s="30">
        <v>18</v>
      </c>
      <c r="C62" s="30">
        <v>61</v>
      </c>
      <c r="D62" s="30">
        <v>2</v>
      </c>
      <c r="E62" s="30">
        <v>4</v>
      </c>
      <c r="F62" s="30">
        <v>3</v>
      </c>
      <c r="G62" s="30">
        <v>0</v>
      </c>
      <c r="H62" s="159"/>
      <c r="L62" s="21">
        <v>1</v>
      </c>
      <c r="N62" s="21"/>
    </row>
    <row r="63" spans="2:14" ht="18">
      <c r="B63" s="30">
        <v>18</v>
      </c>
      <c r="C63" s="30">
        <v>61</v>
      </c>
      <c r="D63" s="30">
        <v>3</v>
      </c>
      <c r="E63" s="30">
        <v>6</v>
      </c>
      <c r="F63" s="30">
        <v>9</v>
      </c>
      <c r="G63" s="30">
        <v>0</v>
      </c>
      <c r="H63" s="159"/>
      <c r="L63" s="21">
        <v>1</v>
      </c>
      <c r="N63" s="21"/>
    </row>
    <row r="64" spans="2:14" ht="18">
      <c r="B64" s="30">
        <v>18</v>
      </c>
      <c r="C64" s="30">
        <v>61</v>
      </c>
      <c r="D64" s="30">
        <v>4</v>
      </c>
      <c r="E64" s="30">
        <v>10</v>
      </c>
      <c r="F64" s="30">
        <v>6</v>
      </c>
      <c r="G64" s="30">
        <v>0</v>
      </c>
      <c r="H64" s="159"/>
      <c r="L64" s="21">
        <v>1</v>
      </c>
      <c r="N64" s="21"/>
    </row>
    <row r="65" spans="2:14" ht="18">
      <c r="B65" s="30">
        <v>18</v>
      </c>
      <c r="C65" s="30">
        <v>61</v>
      </c>
      <c r="D65" s="30">
        <v>5</v>
      </c>
      <c r="E65" s="30">
        <v>6</v>
      </c>
      <c r="F65" s="30">
        <v>10</v>
      </c>
      <c r="G65" s="30">
        <v>0</v>
      </c>
      <c r="H65" s="159"/>
      <c r="L65" s="21">
        <v>1</v>
      </c>
      <c r="N65" s="21"/>
    </row>
    <row r="66" spans="2:14" ht="18">
      <c r="B66" s="30">
        <v>18</v>
      </c>
      <c r="C66" s="30">
        <v>61</v>
      </c>
      <c r="D66" s="30">
        <v>6</v>
      </c>
      <c r="E66" s="30">
        <v>3</v>
      </c>
      <c r="F66" s="30">
        <v>14</v>
      </c>
      <c r="G66" s="30">
        <v>0</v>
      </c>
      <c r="H66" s="159"/>
      <c r="L66" s="21">
        <v>1</v>
      </c>
      <c r="N66" s="21"/>
    </row>
    <row r="67" spans="2:14" ht="18">
      <c r="B67" s="30">
        <v>18</v>
      </c>
      <c r="C67" s="30">
        <v>45</v>
      </c>
      <c r="D67" s="30">
        <v>3</v>
      </c>
      <c r="E67" s="30">
        <v>6</v>
      </c>
      <c r="F67" s="30">
        <v>10</v>
      </c>
      <c r="G67" s="30">
        <v>0</v>
      </c>
      <c r="H67" s="159"/>
      <c r="L67" s="21">
        <v>1</v>
      </c>
      <c r="N67" s="21"/>
    </row>
    <row r="68" spans="2:14" ht="18">
      <c r="B68" s="30">
        <v>18</v>
      </c>
      <c r="C68" s="30">
        <v>44</v>
      </c>
      <c r="D68" s="30">
        <v>3</v>
      </c>
      <c r="E68" s="30">
        <v>7</v>
      </c>
      <c r="F68" s="30">
        <v>6</v>
      </c>
      <c r="G68" s="30">
        <v>1</v>
      </c>
      <c r="H68" s="159"/>
      <c r="L68" s="21">
        <v>1</v>
      </c>
      <c r="N68" s="21"/>
    </row>
    <row r="69" spans="2:14" ht="18">
      <c r="B69" s="30">
        <v>18</v>
      </c>
      <c r="C69" s="30">
        <v>44</v>
      </c>
      <c r="D69" s="30">
        <v>4</v>
      </c>
      <c r="E69" s="30">
        <v>8</v>
      </c>
      <c r="F69" s="30">
        <v>4</v>
      </c>
      <c r="G69" s="30">
        <v>2</v>
      </c>
      <c r="H69" s="159"/>
      <c r="L69" s="21">
        <v>1</v>
      </c>
      <c r="N69" s="21"/>
    </row>
    <row r="70" spans="2:14" ht="18">
      <c r="B70" s="30">
        <v>18</v>
      </c>
      <c r="C70" s="30">
        <v>44</v>
      </c>
      <c r="D70" s="30">
        <v>5</v>
      </c>
      <c r="E70" s="30">
        <v>6</v>
      </c>
      <c r="F70" s="30">
        <v>3</v>
      </c>
      <c r="G70" s="30">
        <v>0</v>
      </c>
      <c r="H70" s="159"/>
      <c r="L70" s="21">
        <v>1</v>
      </c>
      <c r="N70" s="21"/>
    </row>
    <row r="71" spans="2:14" ht="18">
      <c r="B71" s="30">
        <v>18</v>
      </c>
      <c r="C71" s="30">
        <v>39</v>
      </c>
      <c r="D71" s="30">
        <v>7</v>
      </c>
      <c r="E71" s="30">
        <v>12</v>
      </c>
      <c r="F71" s="30">
        <v>5</v>
      </c>
      <c r="G71" s="30">
        <v>8</v>
      </c>
      <c r="H71" s="159"/>
      <c r="L71" s="21">
        <v>1</v>
      </c>
      <c r="N71" s="21"/>
    </row>
    <row r="72" spans="2:14" ht="18">
      <c r="B72" s="30">
        <v>18</v>
      </c>
      <c r="C72" s="30">
        <v>49</v>
      </c>
      <c r="D72" s="30">
        <v>6</v>
      </c>
      <c r="E72" s="30">
        <v>6</v>
      </c>
      <c r="F72" s="30">
        <v>3</v>
      </c>
      <c r="G72" s="30">
        <v>1</v>
      </c>
      <c r="H72" s="159"/>
      <c r="L72" s="21">
        <v>1</v>
      </c>
      <c r="N72" s="21"/>
    </row>
    <row r="73" spans="2:14" ht="18">
      <c r="B73" s="30">
        <v>18</v>
      </c>
      <c r="C73" s="30">
        <v>48</v>
      </c>
      <c r="D73" s="30">
        <v>5</v>
      </c>
      <c r="E73" s="30">
        <v>7</v>
      </c>
      <c r="F73" s="30">
        <v>10</v>
      </c>
      <c r="G73" s="30">
        <v>6</v>
      </c>
      <c r="H73" s="159"/>
      <c r="L73" s="21">
        <v>1</v>
      </c>
      <c r="N73" s="21"/>
    </row>
    <row r="74" spans="2:14" ht="18">
      <c r="B74" s="30">
        <v>18</v>
      </c>
      <c r="C74" s="30">
        <v>38</v>
      </c>
      <c r="D74" s="30">
        <v>5</v>
      </c>
      <c r="E74" s="30">
        <v>6</v>
      </c>
      <c r="F74" s="30">
        <v>10</v>
      </c>
      <c r="G74" s="30">
        <v>4</v>
      </c>
      <c r="H74" s="159"/>
      <c r="L74" s="21">
        <v>1</v>
      </c>
    </row>
    <row r="75" spans="2:14" ht="18">
      <c r="B75" s="30">
        <v>18</v>
      </c>
      <c r="C75" s="30">
        <v>38</v>
      </c>
      <c r="D75" s="30">
        <v>6</v>
      </c>
      <c r="E75" s="30">
        <v>7</v>
      </c>
      <c r="F75" s="30">
        <v>8</v>
      </c>
      <c r="G75" s="30">
        <v>10</v>
      </c>
      <c r="H75" s="159"/>
      <c r="L75" s="21">
        <v>1</v>
      </c>
    </row>
    <row r="76" spans="2:14" ht="18">
      <c r="B76" s="30">
        <v>18</v>
      </c>
      <c r="C76" s="30">
        <v>62</v>
      </c>
      <c r="D76" s="30">
        <v>5</v>
      </c>
      <c r="E76" s="30">
        <v>16</v>
      </c>
      <c r="F76" s="30">
        <v>12</v>
      </c>
      <c r="G76" s="30">
        <v>0</v>
      </c>
      <c r="H76" s="159"/>
      <c r="L76" s="21">
        <v>1</v>
      </c>
    </row>
    <row r="77" spans="2:14" ht="18">
      <c r="B77" s="30">
        <v>18</v>
      </c>
      <c r="C77" s="30">
        <v>50</v>
      </c>
      <c r="D77" s="30">
        <v>6</v>
      </c>
      <c r="E77" s="30">
        <v>13</v>
      </c>
      <c r="F77" s="30">
        <v>12</v>
      </c>
      <c r="G77" s="30">
        <v>0</v>
      </c>
      <c r="H77" s="159"/>
      <c r="L77" s="21">
        <v>1</v>
      </c>
    </row>
    <row r="78" spans="2:14" ht="18">
      <c r="B78" s="30">
        <v>18</v>
      </c>
      <c r="C78" s="30">
        <v>43</v>
      </c>
      <c r="D78" s="30">
        <v>6</v>
      </c>
      <c r="E78" s="30">
        <v>8</v>
      </c>
      <c r="F78" s="30">
        <v>4</v>
      </c>
      <c r="G78" s="30">
        <v>2</v>
      </c>
      <c r="H78" s="159"/>
      <c r="L78" s="21">
        <v>1</v>
      </c>
    </row>
    <row r="79" spans="2:14" ht="18">
      <c r="B79" s="30">
        <v>18</v>
      </c>
      <c r="C79" s="30">
        <v>48</v>
      </c>
      <c r="D79" s="30">
        <v>6</v>
      </c>
      <c r="E79" s="30">
        <v>6</v>
      </c>
      <c r="F79" s="30">
        <v>12</v>
      </c>
      <c r="G79" s="30">
        <v>4</v>
      </c>
      <c r="H79" s="159"/>
      <c r="L79" s="21">
        <v>1</v>
      </c>
    </row>
    <row r="80" spans="2:14" ht="18">
      <c r="B80" s="30">
        <v>18</v>
      </c>
      <c r="C80" s="30">
        <v>55</v>
      </c>
      <c r="D80" s="30">
        <v>6</v>
      </c>
      <c r="E80" s="30">
        <v>7</v>
      </c>
      <c r="F80" s="30">
        <v>11</v>
      </c>
      <c r="G80" s="30">
        <v>0</v>
      </c>
      <c r="H80" s="159"/>
      <c r="L80" s="21">
        <v>1</v>
      </c>
    </row>
    <row r="81" spans="2:12" ht="18">
      <c r="B81" s="30">
        <v>18</v>
      </c>
      <c r="C81" s="30">
        <v>39</v>
      </c>
      <c r="D81" s="30">
        <v>8</v>
      </c>
      <c r="E81" s="30">
        <v>10</v>
      </c>
      <c r="F81" s="30">
        <v>6</v>
      </c>
      <c r="G81" s="30">
        <v>9</v>
      </c>
      <c r="H81" s="159"/>
      <c r="L81" s="21">
        <v>1</v>
      </c>
    </row>
    <row r="82" spans="2:12" ht="18">
      <c r="B82" s="30">
        <v>18</v>
      </c>
      <c r="C82" s="30">
        <v>62</v>
      </c>
      <c r="D82" s="30">
        <v>6</v>
      </c>
      <c r="E82" s="30">
        <v>17</v>
      </c>
      <c r="F82" s="30">
        <v>9</v>
      </c>
      <c r="G82" s="30">
        <v>0</v>
      </c>
      <c r="H82" s="159"/>
      <c r="L82" s="21">
        <v>1</v>
      </c>
    </row>
    <row r="83" spans="2:12" ht="18">
      <c r="B83" s="30">
        <v>18</v>
      </c>
      <c r="C83" s="30">
        <v>61</v>
      </c>
      <c r="D83" s="30">
        <v>6</v>
      </c>
      <c r="E83" s="30">
        <v>8</v>
      </c>
      <c r="F83" s="30">
        <v>12</v>
      </c>
      <c r="G83" s="30">
        <v>0</v>
      </c>
      <c r="H83" s="159"/>
      <c r="L83" s="21">
        <v>1</v>
      </c>
    </row>
    <row r="84" spans="2:12" ht="18">
      <c r="B84" s="30">
        <v>18</v>
      </c>
      <c r="C84" s="30">
        <v>44</v>
      </c>
      <c r="D84" s="30">
        <v>7</v>
      </c>
      <c r="E84" s="30">
        <v>6</v>
      </c>
      <c r="F84" s="30">
        <v>3</v>
      </c>
      <c r="G84" s="30">
        <v>2</v>
      </c>
      <c r="H84" s="159"/>
      <c r="L84" s="21">
        <v>1</v>
      </c>
    </row>
    <row r="85" spans="2:12" ht="18">
      <c r="B85" s="30">
        <v>18</v>
      </c>
      <c r="C85" s="30">
        <v>44</v>
      </c>
      <c r="D85" s="30">
        <v>6</v>
      </c>
      <c r="E85" s="30">
        <v>5</v>
      </c>
      <c r="F85" s="30">
        <v>4</v>
      </c>
      <c r="G85" s="30">
        <v>1</v>
      </c>
      <c r="H85" s="159"/>
      <c r="L85" s="21">
        <v>1</v>
      </c>
    </row>
    <row r="86" spans="2:12" ht="18">
      <c r="B86" s="30">
        <v>18</v>
      </c>
      <c r="C86" s="30">
        <v>49</v>
      </c>
      <c r="D86" s="30">
        <v>7</v>
      </c>
      <c r="E86" s="30">
        <v>5</v>
      </c>
      <c r="F86" s="30">
        <v>2</v>
      </c>
      <c r="G86" s="30">
        <v>2</v>
      </c>
      <c r="H86" s="159"/>
      <c r="L86" s="21">
        <v>1</v>
      </c>
    </row>
    <row r="87" spans="2:12" ht="18">
      <c r="B87" s="30">
        <v>18</v>
      </c>
      <c r="C87" s="30">
        <v>51</v>
      </c>
      <c r="D87" s="30">
        <v>6</v>
      </c>
      <c r="E87" s="30">
        <v>3</v>
      </c>
      <c r="F87" s="30">
        <v>15</v>
      </c>
      <c r="G87" s="30">
        <v>4</v>
      </c>
      <c r="H87" s="159"/>
      <c r="L87" s="21">
        <v>1</v>
      </c>
    </row>
    <row r="88" spans="2:12" ht="18">
      <c r="B88" s="30">
        <v>18</v>
      </c>
      <c r="C88" s="30">
        <v>48</v>
      </c>
      <c r="D88" s="30">
        <v>1</v>
      </c>
      <c r="E88" s="30">
        <v>11</v>
      </c>
      <c r="F88" s="30">
        <v>6</v>
      </c>
      <c r="G88" s="30">
        <v>3</v>
      </c>
      <c r="H88" s="159"/>
      <c r="L88" s="21">
        <v>1</v>
      </c>
    </row>
    <row r="89" spans="2:12" ht="18">
      <c r="B89" s="30">
        <v>18</v>
      </c>
      <c r="C89" s="30">
        <v>49</v>
      </c>
      <c r="D89" s="30">
        <v>9</v>
      </c>
      <c r="E89" s="30">
        <v>5</v>
      </c>
      <c r="F89" s="30">
        <v>2</v>
      </c>
      <c r="G89" s="30">
        <v>2</v>
      </c>
      <c r="H89" s="159"/>
      <c r="L89" s="21">
        <v>1</v>
      </c>
    </row>
    <row r="90" spans="2:12" ht="18">
      <c r="B90" s="30">
        <v>18</v>
      </c>
      <c r="C90" s="30">
        <v>51</v>
      </c>
      <c r="D90" s="30">
        <v>7</v>
      </c>
      <c r="E90" s="30">
        <v>11</v>
      </c>
      <c r="F90" s="30">
        <v>12</v>
      </c>
      <c r="G90" s="30">
        <v>2</v>
      </c>
      <c r="H90" s="159"/>
      <c r="L90" s="21">
        <v>1</v>
      </c>
    </row>
    <row r="91" spans="2:12" ht="18">
      <c r="B91" s="30">
        <v>18</v>
      </c>
      <c r="C91" s="30">
        <v>55</v>
      </c>
      <c r="D91" s="30">
        <v>7</v>
      </c>
      <c r="E91" s="30">
        <v>7</v>
      </c>
      <c r="F91" s="30">
        <v>16</v>
      </c>
      <c r="G91" s="30">
        <v>2</v>
      </c>
      <c r="H91" s="159"/>
      <c r="L91" s="21">
        <v>1</v>
      </c>
    </row>
    <row r="92" spans="2:12" ht="18">
      <c r="B92" s="30">
        <v>18</v>
      </c>
      <c r="C92" s="30">
        <v>43</v>
      </c>
      <c r="D92" s="30">
        <v>7</v>
      </c>
      <c r="E92" s="30">
        <v>5</v>
      </c>
      <c r="F92" s="30">
        <v>10</v>
      </c>
      <c r="G92" s="30">
        <v>3</v>
      </c>
      <c r="H92" s="159"/>
      <c r="L92" s="21">
        <v>1</v>
      </c>
    </row>
    <row r="93" spans="2:12" ht="18">
      <c r="B93" s="30">
        <v>18</v>
      </c>
      <c r="C93" s="30">
        <v>50</v>
      </c>
      <c r="D93" s="30">
        <v>7</v>
      </c>
      <c r="E93" s="30">
        <v>6</v>
      </c>
      <c r="F93" s="30">
        <v>18</v>
      </c>
      <c r="G93" s="30">
        <v>0</v>
      </c>
      <c r="H93" s="159"/>
      <c r="L93" s="21">
        <v>1</v>
      </c>
    </row>
    <row r="94" spans="2:12" ht="18">
      <c r="B94" s="30">
        <v>18</v>
      </c>
      <c r="C94" s="30">
        <v>44</v>
      </c>
      <c r="D94" s="30">
        <v>7</v>
      </c>
      <c r="E94" s="30">
        <v>6</v>
      </c>
      <c r="F94" s="30">
        <v>3</v>
      </c>
      <c r="G94" s="30">
        <v>2</v>
      </c>
      <c r="H94" s="159"/>
      <c r="L94" s="21">
        <v>1</v>
      </c>
    </row>
    <row r="95" spans="2:12" ht="18">
      <c r="B95" s="30">
        <v>18</v>
      </c>
      <c r="C95" s="30">
        <v>62</v>
      </c>
      <c r="D95" s="30">
        <v>7</v>
      </c>
      <c r="E95" s="30">
        <v>10</v>
      </c>
      <c r="F95" s="30">
        <v>16</v>
      </c>
      <c r="G95" s="30">
        <v>4</v>
      </c>
      <c r="H95" s="159"/>
      <c r="L95" s="21">
        <v>1</v>
      </c>
    </row>
    <row r="96" spans="2:12" ht="18">
      <c r="B96" s="30">
        <v>18</v>
      </c>
      <c r="C96" s="30">
        <v>48</v>
      </c>
      <c r="D96" s="30">
        <v>7</v>
      </c>
      <c r="E96" s="30">
        <v>8</v>
      </c>
      <c r="F96" s="30">
        <v>7</v>
      </c>
      <c r="G96" s="30">
        <v>6</v>
      </c>
      <c r="H96" s="159"/>
      <c r="L96" s="21">
        <v>1</v>
      </c>
    </row>
    <row r="97" spans="2:12" ht="18">
      <c r="B97" s="30">
        <v>18</v>
      </c>
      <c r="C97" s="30">
        <v>60</v>
      </c>
      <c r="D97" s="30">
        <v>4</v>
      </c>
      <c r="E97" s="30">
        <v>39</v>
      </c>
      <c r="F97" s="30">
        <v>61</v>
      </c>
      <c r="G97" s="30">
        <v>0</v>
      </c>
      <c r="H97" s="159"/>
      <c r="L97" s="21">
        <v>1</v>
      </c>
    </row>
    <row r="98" spans="2:12" ht="18">
      <c r="B98" s="30">
        <v>18</v>
      </c>
      <c r="C98" s="30">
        <v>39</v>
      </c>
      <c r="D98" s="30">
        <v>9</v>
      </c>
      <c r="E98" s="30">
        <v>18</v>
      </c>
      <c r="F98" s="30">
        <v>4</v>
      </c>
      <c r="G98" s="30">
        <v>3</v>
      </c>
      <c r="H98" s="159"/>
      <c r="L98" s="21">
        <v>1</v>
      </c>
    </row>
    <row r="99" spans="2:12" ht="18">
      <c r="B99" s="30">
        <v>18</v>
      </c>
      <c r="C99" s="30">
        <v>50</v>
      </c>
      <c r="D99" s="30">
        <v>8</v>
      </c>
      <c r="E99" s="30">
        <v>6</v>
      </c>
      <c r="F99" s="30">
        <v>18</v>
      </c>
      <c r="G99" s="30">
        <v>0</v>
      </c>
      <c r="H99" s="159"/>
      <c r="L99" s="21">
        <v>1</v>
      </c>
    </row>
    <row r="100" spans="2:12" ht="18">
      <c r="B100" s="30">
        <v>18</v>
      </c>
      <c r="C100" s="30">
        <v>50</v>
      </c>
      <c r="D100" s="30">
        <v>9</v>
      </c>
      <c r="E100" s="30">
        <v>7</v>
      </c>
      <c r="F100" s="30">
        <v>8</v>
      </c>
      <c r="G100" s="30">
        <v>1</v>
      </c>
      <c r="H100" s="159"/>
      <c r="L100" s="21">
        <v>1</v>
      </c>
    </row>
    <row r="101" spans="2:12" ht="18">
      <c r="B101" s="30">
        <v>18</v>
      </c>
      <c r="C101" s="30">
        <v>53</v>
      </c>
      <c r="D101" s="30">
        <v>5</v>
      </c>
      <c r="E101" s="30">
        <v>11</v>
      </c>
      <c r="F101" s="30">
        <v>16</v>
      </c>
      <c r="G101" s="30">
        <v>0</v>
      </c>
      <c r="H101" s="159"/>
      <c r="L101" s="21">
        <v>1</v>
      </c>
    </row>
    <row r="102" spans="2:12" ht="18">
      <c r="B102" s="30">
        <v>18</v>
      </c>
      <c r="C102" s="30">
        <v>53</v>
      </c>
      <c r="D102" s="30">
        <v>4</v>
      </c>
      <c r="E102" s="30">
        <v>1</v>
      </c>
      <c r="F102" s="30">
        <v>25</v>
      </c>
      <c r="G102" s="30">
        <v>0</v>
      </c>
      <c r="H102" s="159"/>
      <c r="L102" s="21">
        <v>1</v>
      </c>
    </row>
    <row r="103" spans="2:12" ht="18">
      <c r="B103" s="30">
        <v>18</v>
      </c>
      <c r="C103" s="30">
        <v>53</v>
      </c>
      <c r="D103" s="30">
        <v>3</v>
      </c>
      <c r="E103" s="30">
        <v>4</v>
      </c>
      <c r="F103" s="30">
        <v>21</v>
      </c>
      <c r="G103" s="30">
        <v>1</v>
      </c>
      <c r="H103" s="159"/>
      <c r="L103" s="21">
        <v>1</v>
      </c>
    </row>
    <row r="104" spans="2:12" ht="18">
      <c r="B104" s="30">
        <v>18</v>
      </c>
      <c r="C104" s="30">
        <v>49</v>
      </c>
      <c r="D104" s="30">
        <v>9</v>
      </c>
      <c r="E104" s="30">
        <v>7</v>
      </c>
      <c r="F104" s="30">
        <v>4</v>
      </c>
      <c r="G104" s="30">
        <v>3</v>
      </c>
      <c r="H104" s="159"/>
      <c r="L104" s="21">
        <v>1</v>
      </c>
    </row>
    <row r="105" spans="2:12" ht="18">
      <c r="B105" s="30">
        <v>18</v>
      </c>
      <c r="C105" s="30">
        <v>43</v>
      </c>
      <c r="D105" s="30">
        <v>8</v>
      </c>
      <c r="E105" s="30">
        <v>6</v>
      </c>
      <c r="F105" s="30">
        <v>6</v>
      </c>
      <c r="G105" s="30">
        <v>3</v>
      </c>
      <c r="H105" s="159"/>
      <c r="L105" s="21">
        <v>1</v>
      </c>
    </row>
    <row r="106" spans="2:12" ht="18">
      <c r="B106" s="30">
        <v>18</v>
      </c>
      <c r="C106" s="30">
        <v>62</v>
      </c>
      <c r="D106" s="30">
        <v>8</v>
      </c>
      <c r="E106" s="30">
        <v>10</v>
      </c>
      <c r="F106" s="30">
        <v>11</v>
      </c>
      <c r="G106" s="30">
        <v>4</v>
      </c>
      <c r="H106" s="159"/>
      <c r="L106" s="21">
        <v>1</v>
      </c>
    </row>
    <row r="107" spans="2:12" ht="18">
      <c r="B107" s="30">
        <v>18</v>
      </c>
      <c r="C107" s="30">
        <v>51</v>
      </c>
      <c r="D107" s="30">
        <v>8</v>
      </c>
      <c r="E107" s="30">
        <v>7</v>
      </c>
      <c r="F107" s="30">
        <v>17</v>
      </c>
      <c r="G107" s="30">
        <v>1</v>
      </c>
      <c r="H107" s="159"/>
      <c r="L107" s="21">
        <v>1</v>
      </c>
    </row>
    <row r="108" spans="2:12" ht="18">
      <c r="B108" s="30">
        <v>18</v>
      </c>
      <c r="C108" s="30">
        <v>55</v>
      </c>
      <c r="D108" s="30">
        <v>8</v>
      </c>
      <c r="E108" s="30">
        <v>12</v>
      </c>
      <c r="F108" s="30">
        <v>7</v>
      </c>
      <c r="G108" s="30">
        <v>0</v>
      </c>
      <c r="H108" s="159"/>
      <c r="L108" s="21">
        <v>1</v>
      </c>
    </row>
    <row r="109" spans="2:12" ht="18">
      <c r="B109" s="30">
        <v>18</v>
      </c>
      <c r="C109" s="30">
        <v>45</v>
      </c>
      <c r="D109" s="30">
        <v>4</v>
      </c>
      <c r="E109" s="30">
        <v>7</v>
      </c>
      <c r="F109" s="30">
        <v>15</v>
      </c>
      <c r="G109" s="30">
        <v>1</v>
      </c>
      <c r="H109" s="159"/>
      <c r="L109" s="21">
        <v>1</v>
      </c>
    </row>
    <row r="110" spans="2:12" ht="18">
      <c r="B110" s="30">
        <v>18</v>
      </c>
      <c r="C110" s="30">
        <v>44</v>
      </c>
      <c r="D110" s="30">
        <v>8</v>
      </c>
      <c r="E110" s="30">
        <v>6</v>
      </c>
      <c r="F110" s="30">
        <v>5</v>
      </c>
      <c r="G110" s="30">
        <v>2</v>
      </c>
      <c r="H110" s="159"/>
      <c r="L110" s="21">
        <v>1</v>
      </c>
    </row>
    <row r="111" spans="2:12" ht="18">
      <c r="B111" s="30">
        <v>18</v>
      </c>
      <c r="C111" s="30">
        <v>50</v>
      </c>
      <c r="D111" s="30">
        <v>10</v>
      </c>
      <c r="E111" s="30">
        <v>12</v>
      </c>
      <c r="F111" s="30">
        <v>13</v>
      </c>
      <c r="G111" s="30">
        <v>0</v>
      </c>
      <c r="H111" s="159"/>
      <c r="L111" s="21">
        <v>1</v>
      </c>
    </row>
    <row r="112" spans="2:12" ht="18">
      <c r="B112" s="30">
        <v>18</v>
      </c>
      <c r="C112" s="30">
        <v>48</v>
      </c>
      <c r="D112" s="30">
        <v>8</v>
      </c>
      <c r="E112" s="30">
        <v>7</v>
      </c>
      <c r="F112" s="30">
        <v>12</v>
      </c>
      <c r="G112" s="30">
        <v>7</v>
      </c>
      <c r="H112" s="159"/>
      <c r="L112" s="21">
        <v>1</v>
      </c>
    </row>
    <row r="113" spans="2:12" ht="18">
      <c r="B113" s="30">
        <v>18</v>
      </c>
      <c r="C113" s="30">
        <v>49</v>
      </c>
      <c r="D113" s="30">
        <v>11</v>
      </c>
      <c r="E113" s="30">
        <v>13</v>
      </c>
      <c r="F113" s="30">
        <v>5</v>
      </c>
      <c r="G113" s="30">
        <v>1</v>
      </c>
      <c r="H113" s="159"/>
      <c r="L113" s="21">
        <v>1</v>
      </c>
    </row>
    <row r="114" spans="2:12" ht="18">
      <c r="B114" s="30">
        <v>18</v>
      </c>
      <c r="C114" s="30">
        <v>49</v>
      </c>
      <c r="D114" s="30">
        <v>10</v>
      </c>
      <c r="E114" s="30">
        <v>4</v>
      </c>
      <c r="F114" s="30">
        <v>2</v>
      </c>
      <c r="G114" s="30">
        <v>0</v>
      </c>
      <c r="H114" s="159"/>
      <c r="L114" s="21">
        <v>1</v>
      </c>
    </row>
    <row r="115" spans="2:12" ht="18">
      <c r="B115" s="30">
        <v>18</v>
      </c>
      <c r="C115" s="30">
        <v>55</v>
      </c>
      <c r="D115" s="30">
        <v>9</v>
      </c>
      <c r="E115" s="30">
        <v>8</v>
      </c>
      <c r="F115" s="30">
        <v>6</v>
      </c>
      <c r="G115" s="30">
        <v>0</v>
      </c>
      <c r="H115" s="159"/>
      <c r="L115" s="21">
        <v>1</v>
      </c>
    </row>
    <row r="116" spans="2:12" ht="18">
      <c r="B116" s="30">
        <v>18</v>
      </c>
      <c r="C116" s="30">
        <v>45</v>
      </c>
      <c r="D116" s="30">
        <v>9</v>
      </c>
      <c r="E116" s="30">
        <v>6</v>
      </c>
      <c r="F116" s="30">
        <v>12</v>
      </c>
      <c r="G116" s="30">
        <v>2</v>
      </c>
      <c r="H116" s="159"/>
      <c r="L116" s="21">
        <v>1</v>
      </c>
    </row>
    <row r="117" spans="2:12" ht="18">
      <c r="B117" s="30">
        <v>18</v>
      </c>
      <c r="C117" s="30">
        <v>43</v>
      </c>
      <c r="D117" s="30">
        <v>9</v>
      </c>
      <c r="E117" s="30">
        <v>5</v>
      </c>
      <c r="F117" s="30">
        <v>3</v>
      </c>
      <c r="G117" s="30">
        <v>0</v>
      </c>
      <c r="H117" s="159"/>
      <c r="L117" s="21">
        <v>1</v>
      </c>
    </row>
    <row r="118" spans="2:12" ht="18">
      <c r="B118" s="30">
        <v>18</v>
      </c>
      <c r="C118" s="30">
        <v>38</v>
      </c>
      <c r="D118" s="30">
        <v>7</v>
      </c>
      <c r="E118" s="30">
        <v>8</v>
      </c>
      <c r="F118" s="30">
        <v>10</v>
      </c>
      <c r="G118" s="30">
        <v>7</v>
      </c>
      <c r="H118" s="159"/>
      <c r="L118" s="21">
        <v>1</v>
      </c>
    </row>
    <row r="119" spans="2:12" ht="18">
      <c r="B119" s="30">
        <v>18</v>
      </c>
      <c r="C119" s="30">
        <v>51</v>
      </c>
      <c r="D119" s="30">
        <v>9</v>
      </c>
      <c r="E119" s="30">
        <v>6</v>
      </c>
      <c r="F119" s="30">
        <v>18</v>
      </c>
      <c r="G119" s="30">
        <v>1</v>
      </c>
      <c r="H119" s="159"/>
      <c r="L119" s="21">
        <v>1</v>
      </c>
    </row>
    <row r="120" spans="2:12" ht="18">
      <c r="B120" s="30">
        <v>18</v>
      </c>
      <c r="C120" s="30">
        <v>44</v>
      </c>
      <c r="D120" s="30">
        <v>9</v>
      </c>
      <c r="E120" s="30">
        <v>4</v>
      </c>
      <c r="F120" s="30">
        <v>2</v>
      </c>
      <c r="G120" s="30">
        <v>1</v>
      </c>
      <c r="H120" s="159"/>
      <c r="L120" s="21">
        <v>1</v>
      </c>
    </row>
    <row r="121" spans="2:12" ht="18">
      <c r="B121" s="30">
        <v>18</v>
      </c>
      <c r="C121" s="30">
        <v>45</v>
      </c>
      <c r="D121" s="30">
        <v>4</v>
      </c>
      <c r="E121" s="30">
        <v>7</v>
      </c>
      <c r="F121" s="30">
        <v>17</v>
      </c>
      <c r="G121" s="30">
        <v>3</v>
      </c>
      <c r="H121" s="159"/>
      <c r="L121" s="21">
        <v>1</v>
      </c>
    </row>
    <row r="122" spans="2:12" ht="18">
      <c r="B122" s="30">
        <v>18</v>
      </c>
      <c r="C122" s="30">
        <v>60</v>
      </c>
      <c r="D122" s="30">
        <v>5</v>
      </c>
      <c r="E122" s="30">
        <v>7</v>
      </c>
      <c r="F122" s="30">
        <v>18</v>
      </c>
      <c r="G122" s="30">
        <v>0</v>
      </c>
      <c r="H122" s="159"/>
      <c r="L122" s="21">
        <v>1</v>
      </c>
    </row>
    <row r="123" spans="2:12" ht="18">
      <c r="B123" s="30">
        <v>18</v>
      </c>
      <c r="C123" s="30">
        <v>60</v>
      </c>
      <c r="D123" s="30">
        <v>6</v>
      </c>
      <c r="E123" s="30">
        <v>11</v>
      </c>
      <c r="F123" s="30">
        <v>14</v>
      </c>
      <c r="G123" s="30">
        <v>0</v>
      </c>
      <c r="H123" s="159"/>
      <c r="L123" s="21">
        <v>1</v>
      </c>
    </row>
    <row r="124" spans="2:12" ht="18">
      <c r="B124" s="30">
        <v>18</v>
      </c>
      <c r="C124" s="30">
        <v>39</v>
      </c>
      <c r="D124" s="30">
        <v>10</v>
      </c>
      <c r="E124" s="30">
        <v>9</v>
      </c>
      <c r="F124" s="30">
        <v>4</v>
      </c>
      <c r="G124" s="30">
        <v>2</v>
      </c>
      <c r="H124" s="159"/>
      <c r="L124" s="21">
        <v>1</v>
      </c>
    </row>
    <row r="125" spans="2:12" ht="18">
      <c r="B125" s="30">
        <v>18</v>
      </c>
      <c r="C125" s="30">
        <v>48</v>
      </c>
      <c r="D125" s="30">
        <v>9</v>
      </c>
      <c r="E125" s="30">
        <v>7</v>
      </c>
      <c r="F125" s="30">
        <v>14</v>
      </c>
      <c r="G125" s="30">
        <v>3</v>
      </c>
      <c r="H125" s="159"/>
      <c r="L125" s="21">
        <v>1</v>
      </c>
    </row>
    <row r="126" spans="2:12" ht="18">
      <c r="B126" s="30">
        <v>18</v>
      </c>
      <c r="C126" s="30">
        <v>51</v>
      </c>
      <c r="D126" s="30">
        <v>10</v>
      </c>
      <c r="E126" s="30">
        <v>5</v>
      </c>
      <c r="F126" s="30">
        <v>19</v>
      </c>
      <c r="G126" s="30">
        <v>1</v>
      </c>
      <c r="H126" s="159"/>
      <c r="L126" s="21">
        <v>1</v>
      </c>
    </row>
    <row r="127" spans="2:12" ht="18">
      <c r="B127" s="30">
        <v>18</v>
      </c>
      <c r="C127" s="30">
        <v>62</v>
      </c>
      <c r="D127" s="30">
        <v>10</v>
      </c>
      <c r="E127" s="30">
        <v>15</v>
      </c>
      <c r="F127" s="30">
        <v>9</v>
      </c>
      <c r="G127" s="30">
        <v>3</v>
      </c>
      <c r="H127" s="159"/>
      <c r="L127" s="21">
        <v>1</v>
      </c>
    </row>
    <row r="128" spans="2:12" ht="18">
      <c r="B128" s="30">
        <v>18</v>
      </c>
      <c r="C128" s="30">
        <v>55</v>
      </c>
      <c r="D128" s="30">
        <v>10</v>
      </c>
      <c r="E128" s="30">
        <v>9</v>
      </c>
      <c r="F128" s="30">
        <v>8</v>
      </c>
      <c r="G128" s="30">
        <v>0</v>
      </c>
      <c r="H128" s="159"/>
      <c r="L128" s="21">
        <v>1</v>
      </c>
    </row>
    <row r="129" spans="2:12" ht="18">
      <c r="B129" s="30">
        <v>18</v>
      </c>
      <c r="C129" s="30">
        <v>43</v>
      </c>
      <c r="D129" s="30">
        <v>10</v>
      </c>
      <c r="E129" s="30">
        <v>3</v>
      </c>
      <c r="F129" s="30">
        <v>1</v>
      </c>
      <c r="G129" s="30">
        <v>1</v>
      </c>
      <c r="H129" s="159"/>
      <c r="L129" s="21">
        <v>1</v>
      </c>
    </row>
    <row r="130" spans="2:12" ht="18">
      <c r="B130" s="30">
        <v>18</v>
      </c>
      <c r="C130" s="30">
        <v>44</v>
      </c>
      <c r="D130" s="30">
        <v>10</v>
      </c>
      <c r="E130" s="30">
        <v>3</v>
      </c>
      <c r="F130" s="30">
        <v>4</v>
      </c>
      <c r="G130" s="30">
        <v>2</v>
      </c>
      <c r="H130" s="159"/>
      <c r="L130" s="21">
        <v>1</v>
      </c>
    </row>
    <row r="131" spans="2:12" ht="18">
      <c r="B131" s="30">
        <v>18</v>
      </c>
      <c r="C131" s="30">
        <v>48</v>
      </c>
      <c r="D131" s="30">
        <v>10</v>
      </c>
      <c r="E131" s="30">
        <v>8</v>
      </c>
      <c r="F131" s="30">
        <v>13</v>
      </c>
      <c r="G131" s="30">
        <v>6</v>
      </c>
      <c r="H131" s="159"/>
      <c r="L131" s="21">
        <v>1</v>
      </c>
    </row>
    <row r="132" spans="2:12" ht="18">
      <c r="B132" s="30">
        <v>18</v>
      </c>
      <c r="C132" s="30">
        <v>38</v>
      </c>
      <c r="D132" s="30">
        <v>8</v>
      </c>
      <c r="E132" s="30">
        <v>10</v>
      </c>
      <c r="F132" s="30">
        <v>12</v>
      </c>
      <c r="G132" s="30">
        <v>3</v>
      </c>
      <c r="H132" s="159"/>
      <c r="L132" s="21">
        <v>1</v>
      </c>
    </row>
    <row r="133" spans="2:12" ht="18">
      <c r="B133" s="30">
        <v>18</v>
      </c>
      <c r="C133" s="30">
        <v>38</v>
      </c>
      <c r="D133" s="30">
        <v>9</v>
      </c>
      <c r="E133" s="30">
        <v>8</v>
      </c>
      <c r="F133" s="30">
        <v>10</v>
      </c>
      <c r="G133" s="30">
        <v>7</v>
      </c>
      <c r="H133" s="159"/>
      <c r="L133" s="21">
        <v>1</v>
      </c>
    </row>
    <row r="134" spans="2:12" ht="18">
      <c r="B134" s="30">
        <v>18</v>
      </c>
      <c r="C134" s="30">
        <v>38</v>
      </c>
      <c r="D134" s="30">
        <v>10</v>
      </c>
      <c r="E134" s="30">
        <v>12</v>
      </c>
      <c r="F134" s="30">
        <v>3</v>
      </c>
      <c r="G134" s="30">
        <v>8</v>
      </c>
      <c r="H134" s="159"/>
      <c r="L134" s="21">
        <v>1</v>
      </c>
    </row>
    <row r="135" spans="2:12" ht="18">
      <c r="B135" s="30">
        <v>18</v>
      </c>
      <c r="C135" s="30">
        <v>45</v>
      </c>
      <c r="D135" s="30">
        <v>6</v>
      </c>
      <c r="E135" s="30">
        <v>8</v>
      </c>
      <c r="F135" s="30">
        <v>8</v>
      </c>
      <c r="G135" s="30">
        <v>5</v>
      </c>
      <c r="H135" s="159"/>
      <c r="L135" s="21">
        <v>1</v>
      </c>
    </row>
    <row r="136" spans="2:12" ht="18">
      <c r="B136" s="30">
        <v>18</v>
      </c>
      <c r="C136" s="30">
        <v>45</v>
      </c>
      <c r="D136" s="30">
        <v>7</v>
      </c>
      <c r="E136" s="30">
        <v>7</v>
      </c>
      <c r="F136" s="30">
        <v>11</v>
      </c>
      <c r="G136" s="30">
        <v>7</v>
      </c>
      <c r="H136" s="159"/>
      <c r="L136" s="21">
        <v>1</v>
      </c>
    </row>
    <row r="137" spans="2:12" ht="18">
      <c r="B137" s="30">
        <v>18</v>
      </c>
      <c r="C137" s="30">
        <v>45</v>
      </c>
      <c r="D137" s="30">
        <v>5</v>
      </c>
      <c r="E137" s="30">
        <v>14</v>
      </c>
      <c r="F137" s="30">
        <v>10</v>
      </c>
      <c r="G137" s="30">
        <v>1</v>
      </c>
      <c r="H137" s="159"/>
      <c r="L137" s="21">
        <v>1</v>
      </c>
    </row>
    <row r="138" spans="2:12" ht="18">
      <c r="B138" s="30">
        <v>18</v>
      </c>
      <c r="C138" s="30">
        <v>53</v>
      </c>
      <c r="D138" s="30">
        <v>6</v>
      </c>
      <c r="E138" s="30">
        <v>11</v>
      </c>
      <c r="F138" s="30">
        <v>15</v>
      </c>
      <c r="G138" s="30">
        <v>0</v>
      </c>
      <c r="H138" s="159"/>
      <c r="L138" s="21">
        <v>1</v>
      </c>
    </row>
    <row r="139" spans="2:12" ht="18">
      <c r="B139" s="30">
        <v>18</v>
      </c>
      <c r="C139" s="30">
        <v>53</v>
      </c>
      <c r="D139" s="30">
        <v>5</v>
      </c>
      <c r="E139" s="30">
        <v>1</v>
      </c>
      <c r="F139" s="30">
        <v>25</v>
      </c>
      <c r="G139" s="30">
        <v>0</v>
      </c>
      <c r="H139" s="159"/>
      <c r="L139" s="21">
        <v>1</v>
      </c>
    </row>
    <row r="140" spans="2:12" ht="18">
      <c r="B140" s="30">
        <v>18</v>
      </c>
      <c r="C140" s="30">
        <v>53</v>
      </c>
      <c r="D140" s="30">
        <v>9</v>
      </c>
      <c r="E140" s="30">
        <v>7</v>
      </c>
      <c r="F140" s="30">
        <v>20</v>
      </c>
      <c r="G140" s="30">
        <v>0</v>
      </c>
      <c r="H140" s="159"/>
      <c r="L140" s="21">
        <v>1</v>
      </c>
    </row>
    <row r="141" spans="2:12" ht="18">
      <c r="B141" s="30">
        <v>18</v>
      </c>
      <c r="C141" s="30">
        <v>53</v>
      </c>
      <c r="D141" s="30">
        <v>10</v>
      </c>
      <c r="E141" s="30">
        <v>8</v>
      </c>
      <c r="F141" s="30">
        <v>16</v>
      </c>
      <c r="G141" s="30">
        <v>0</v>
      </c>
      <c r="H141" s="159"/>
      <c r="L141" s="21">
        <v>1</v>
      </c>
    </row>
    <row r="142" spans="2:12" ht="18">
      <c r="B142" s="30">
        <v>18</v>
      </c>
      <c r="C142" s="30">
        <v>53</v>
      </c>
      <c r="D142" s="30">
        <v>8</v>
      </c>
      <c r="E142" s="30">
        <v>5</v>
      </c>
      <c r="F142" s="30">
        <v>20</v>
      </c>
      <c r="G142" s="30">
        <v>1</v>
      </c>
      <c r="H142" s="159"/>
      <c r="L142" s="21">
        <v>1</v>
      </c>
    </row>
    <row r="143" spans="2:12" ht="18">
      <c r="B143" s="30">
        <v>18</v>
      </c>
      <c r="C143" s="30">
        <v>53</v>
      </c>
      <c r="D143" s="30">
        <v>7</v>
      </c>
      <c r="E143" s="30">
        <v>7</v>
      </c>
      <c r="F143" s="30">
        <v>20</v>
      </c>
      <c r="G143" s="30">
        <v>1</v>
      </c>
      <c r="H143" s="159"/>
      <c r="L143" s="21">
        <v>1</v>
      </c>
    </row>
    <row r="144" spans="2:12" ht="18">
      <c r="B144" s="30">
        <v>18</v>
      </c>
      <c r="C144" s="30">
        <v>50</v>
      </c>
      <c r="D144" s="30">
        <v>11</v>
      </c>
      <c r="E144" s="30">
        <v>11</v>
      </c>
      <c r="F144" s="30">
        <v>14</v>
      </c>
      <c r="G144" s="30">
        <v>0</v>
      </c>
      <c r="H144" s="159"/>
      <c r="L144" s="21">
        <v>1</v>
      </c>
    </row>
    <row r="145" spans="2:12" ht="18">
      <c r="B145" s="30">
        <v>18</v>
      </c>
      <c r="C145" s="30">
        <v>39</v>
      </c>
      <c r="D145" s="30">
        <v>11</v>
      </c>
      <c r="E145" s="30">
        <v>7</v>
      </c>
      <c r="F145" s="30">
        <v>3</v>
      </c>
      <c r="G145" s="30">
        <v>4</v>
      </c>
      <c r="H145" s="159"/>
      <c r="L145" s="21">
        <v>1</v>
      </c>
    </row>
    <row r="146" spans="2:12" ht="18">
      <c r="B146" s="30">
        <v>18</v>
      </c>
      <c r="C146" s="30">
        <v>62</v>
      </c>
      <c r="D146" s="30">
        <v>11</v>
      </c>
      <c r="E146" s="30">
        <v>13</v>
      </c>
      <c r="F146" s="30">
        <v>12</v>
      </c>
      <c r="G146" s="30">
        <v>5</v>
      </c>
      <c r="H146" s="159"/>
      <c r="L146" s="21">
        <v>1</v>
      </c>
    </row>
    <row r="147" spans="2:12" ht="18">
      <c r="B147" s="30">
        <v>18</v>
      </c>
      <c r="C147" s="30">
        <v>48</v>
      </c>
      <c r="D147" s="30">
        <v>11</v>
      </c>
      <c r="E147" s="30">
        <v>8</v>
      </c>
      <c r="F147" s="30">
        <v>12</v>
      </c>
      <c r="G147" s="30">
        <v>0</v>
      </c>
      <c r="H147" s="159"/>
      <c r="L147" s="21">
        <v>1</v>
      </c>
    </row>
    <row r="148" spans="2:12" ht="18">
      <c r="B148" s="30">
        <v>18</v>
      </c>
      <c r="C148" s="30">
        <v>44</v>
      </c>
      <c r="D148" s="30">
        <v>11</v>
      </c>
      <c r="E148" s="30">
        <v>5</v>
      </c>
      <c r="F148" s="30">
        <v>5</v>
      </c>
      <c r="G148" s="30">
        <v>3</v>
      </c>
      <c r="H148" s="159"/>
      <c r="L148" s="21">
        <v>1</v>
      </c>
    </row>
    <row r="149" spans="2:12" ht="18">
      <c r="B149" s="30">
        <v>18</v>
      </c>
      <c r="C149" s="30">
        <v>50</v>
      </c>
      <c r="D149" s="30">
        <v>12</v>
      </c>
      <c r="E149" s="30">
        <v>7</v>
      </c>
      <c r="F149" s="30">
        <v>17</v>
      </c>
      <c r="G149" s="30">
        <v>0</v>
      </c>
      <c r="H149" s="159"/>
      <c r="L149" s="21">
        <v>1</v>
      </c>
    </row>
    <row r="150" spans="2:12" ht="18">
      <c r="B150" s="30">
        <v>18</v>
      </c>
      <c r="C150" s="30">
        <v>39</v>
      </c>
      <c r="D150" s="30">
        <v>12</v>
      </c>
      <c r="E150" s="30">
        <v>5</v>
      </c>
      <c r="F150" s="30">
        <v>2</v>
      </c>
      <c r="G150" s="30">
        <v>2</v>
      </c>
      <c r="H150" s="159"/>
      <c r="L150" s="21">
        <v>1</v>
      </c>
    </row>
    <row r="151" spans="2:12" ht="18">
      <c r="B151" s="30">
        <v>18</v>
      </c>
      <c r="C151" s="30">
        <v>55</v>
      </c>
      <c r="D151" s="30">
        <v>11</v>
      </c>
      <c r="E151" s="30">
        <v>10</v>
      </c>
      <c r="F151" s="30">
        <v>8</v>
      </c>
      <c r="G151" s="30">
        <v>0</v>
      </c>
      <c r="H151" s="159"/>
      <c r="L151" s="21">
        <v>1</v>
      </c>
    </row>
    <row r="152" spans="2:12" ht="18">
      <c r="B152" s="30">
        <v>18</v>
      </c>
      <c r="C152" s="30">
        <v>55</v>
      </c>
      <c r="D152" s="30">
        <v>11</v>
      </c>
      <c r="E152" s="30">
        <v>10</v>
      </c>
      <c r="F152" s="30">
        <v>8</v>
      </c>
      <c r="G152" s="30">
        <v>0</v>
      </c>
      <c r="H152" s="159"/>
      <c r="L152" s="21">
        <v>1</v>
      </c>
    </row>
    <row r="153" spans="2:12" ht="18">
      <c r="B153" s="30">
        <v>18</v>
      </c>
      <c r="C153" s="30">
        <v>51</v>
      </c>
      <c r="D153" s="30">
        <v>11</v>
      </c>
      <c r="E153" s="30">
        <v>7</v>
      </c>
      <c r="F153" s="30">
        <v>18</v>
      </c>
      <c r="G153" s="30">
        <v>0</v>
      </c>
      <c r="H153" s="159"/>
      <c r="L153" s="21">
        <v>1</v>
      </c>
    </row>
    <row r="154" spans="2:12" ht="18">
      <c r="B154" s="30">
        <v>18</v>
      </c>
      <c r="C154" s="30">
        <v>49</v>
      </c>
      <c r="D154" s="30">
        <v>12</v>
      </c>
      <c r="E154" s="30">
        <v>1</v>
      </c>
      <c r="F154" s="30">
        <v>11</v>
      </c>
      <c r="G154" s="30">
        <v>2</v>
      </c>
      <c r="H154" s="159"/>
      <c r="L154" s="21">
        <v>1</v>
      </c>
    </row>
    <row r="155" spans="2:12" ht="18">
      <c r="B155" s="30">
        <v>18</v>
      </c>
      <c r="C155" s="30">
        <v>43</v>
      </c>
      <c r="D155" s="30">
        <v>13</v>
      </c>
      <c r="E155" s="30">
        <v>6</v>
      </c>
      <c r="F155" s="30">
        <v>7</v>
      </c>
      <c r="G155" s="30">
        <v>4</v>
      </c>
      <c r="H155" s="159"/>
      <c r="L155" s="21">
        <v>1</v>
      </c>
    </row>
    <row r="156" spans="2:12" ht="18">
      <c r="B156" s="30">
        <v>18</v>
      </c>
      <c r="C156" s="30">
        <v>43</v>
      </c>
      <c r="D156" s="30">
        <v>12</v>
      </c>
      <c r="E156" s="30">
        <v>6</v>
      </c>
      <c r="F156" s="30">
        <v>6</v>
      </c>
      <c r="G156" s="30">
        <v>2</v>
      </c>
      <c r="H156" s="159"/>
      <c r="L156" s="21">
        <v>1</v>
      </c>
    </row>
    <row r="157" spans="2:12" ht="18">
      <c r="B157" s="30">
        <v>18</v>
      </c>
      <c r="C157" s="30">
        <v>50</v>
      </c>
      <c r="D157" s="30">
        <v>12</v>
      </c>
      <c r="E157" s="30">
        <v>11</v>
      </c>
      <c r="F157" s="30">
        <v>14</v>
      </c>
      <c r="G157" s="30">
        <v>0</v>
      </c>
      <c r="H157" s="159"/>
      <c r="L157" s="21">
        <v>1</v>
      </c>
    </row>
    <row r="158" spans="2:12" ht="18">
      <c r="B158" s="30">
        <v>18</v>
      </c>
      <c r="C158" s="30">
        <v>62</v>
      </c>
      <c r="D158" s="30">
        <v>12</v>
      </c>
      <c r="E158" s="30">
        <v>15</v>
      </c>
      <c r="F158" s="30">
        <v>10</v>
      </c>
      <c r="G158" s="30">
        <v>1</v>
      </c>
      <c r="H158" s="159"/>
      <c r="L158" s="21">
        <v>1</v>
      </c>
    </row>
    <row r="159" spans="2:12" ht="18">
      <c r="B159" s="30">
        <v>18</v>
      </c>
      <c r="C159" s="30">
        <v>62</v>
      </c>
      <c r="D159" s="30">
        <v>13</v>
      </c>
      <c r="E159" s="30">
        <v>14</v>
      </c>
      <c r="F159" s="30">
        <v>9</v>
      </c>
      <c r="G159" s="30">
        <v>0</v>
      </c>
      <c r="H159" s="159"/>
      <c r="L159" s="21">
        <v>1</v>
      </c>
    </row>
    <row r="160" spans="2:12" ht="18">
      <c r="B160" s="30">
        <v>18</v>
      </c>
      <c r="C160" s="30">
        <v>55</v>
      </c>
      <c r="D160" s="30">
        <v>12</v>
      </c>
      <c r="E160" s="30">
        <v>9</v>
      </c>
      <c r="F160" s="30">
        <v>11</v>
      </c>
      <c r="G160" s="30">
        <v>0</v>
      </c>
      <c r="H160" s="159"/>
      <c r="L160" s="21">
        <v>1</v>
      </c>
    </row>
    <row r="161" spans="2:12" ht="18">
      <c r="B161" s="30">
        <v>18</v>
      </c>
      <c r="C161" s="30">
        <v>51</v>
      </c>
      <c r="D161" s="30">
        <v>12</v>
      </c>
      <c r="E161" s="30">
        <v>9</v>
      </c>
      <c r="F161" s="30">
        <v>14</v>
      </c>
      <c r="G161" s="30">
        <v>1</v>
      </c>
      <c r="H161" s="159"/>
      <c r="L161" s="21">
        <v>1</v>
      </c>
    </row>
    <row r="162" spans="2:12" ht="18">
      <c r="B162" s="30">
        <v>18</v>
      </c>
      <c r="C162" s="30">
        <v>48</v>
      </c>
      <c r="D162" s="30">
        <v>12</v>
      </c>
      <c r="E162" s="30">
        <v>10</v>
      </c>
      <c r="F162" s="30">
        <v>12</v>
      </c>
      <c r="G162" s="30">
        <v>0</v>
      </c>
      <c r="H162" s="159"/>
      <c r="L162" s="21">
        <v>1</v>
      </c>
    </row>
    <row r="163" spans="2:12" ht="18">
      <c r="B163" s="30">
        <v>18</v>
      </c>
      <c r="C163" s="30">
        <v>38</v>
      </c>
      <c r="D163" s="30">
        <v>13</v>
      </c>
      <c r="E163" s="30">
        <v>6</v>
      </c>
      <c r="F163" s="30">
        <v>4</v>
      </c>
      <c r="G163" s="30">
        <v>9</v>
      </c>
      <c r="H163" s="159"/>
      <c r="L163" s="21">
        <v>1</v>
      </c>
    </row>
    <row r="164" spans="2:12" ht="18">
      <c r="B164" s="30">
        <v>18</v>
      </c>
      <c r="C164" s="30">
        <v>38</v>
      </c>
      <c r="D164" s="30">
        <v>12</v>
      </c>
      <c r="E164" s="30">
        <v>12</v>
      </c>
      <c r="F164" s="30">
        <v>3</v>
      </c>
      <c r="G164" s="30">
        <v>8</v>
      </c>
      <c r="H164" s="159"/>
      <c r="L164" s="21">
        <v>1</v>
      </c>
    </row>
    <row r="165" spans="2:12" ht="18">
      <c r="B165" s="30">
        <v>18</v>
      </c>
      <c r="C165" s="30">
        <v>38</v>
      </c>
      <c r="D165" s="30">
        <v>11</v>
      </c>
      <c r="E165" s="30">
        <v>5</v>
      </c>
      <c r="F165" s="30">
        <v>9</v>
      </c>
      <c r="G165" s="30">
        <v>10</v>
      </c>
      <c r="H165" s="159"/>
      <c r="L165" s="21">
        <v>1</v>
      </c>
    </row>
    <row r="166" spans="2:12" ht="18">
      <c r="B166" s="30">
        <v>18</v>
      </c>
      <c r="C166" s="30">
        <v>44</v>
      </c>
      <c r="D166" s="30">
        <v>13</v>
      </c>
      <c r="E166" s="30">
        <v>6</v>
      </c>
      <c r="F166" s="30">
        <v>5</v>
      </c>
      <c r="G166" s="30">
        <v>1</v>
      </c>
      <c r="H166" s="159"/>
      <c r="L166" s="21">
        <v>1</v>
      </c>
    </row>
    <row r="167" spans="2:12" ht="18">
      <c r="B167" s="30">
        <v>18</v>
      </c>
      <c r="C167" s="30">
        <v>44</v>
      </c>
      <c r="D167" s="30">
        <v>12</v>
      </c>
      <c r="E167" s="30">
        <v>7</v>
      </c>
      <c r="F167" s="30">
        <v>9</v>
      </c>
      <c r="G167" s="30">
        <v>3</v>
      </c>
      <c r="H167" s="159"/>
      <c r="L167" s="21">
        <v>1</v>
      </c>
    </row>
    <row r="168" spans="2:12" ht="18">
      <c r="B168" s="30">
        <v>18</v>
      </c>
      <c r="C168" s="30">
        <v>55</v>
      </c>
      <c r="D168" s="30">
        <v>13</v>
      </c>
      <c r="E168" s="30">
        <v>12</v>
      </c>
      <c r="F168" s="30">
        <v>7</v>
      </c>
      <c r="G168" s="30">
        <v>1</v>
      </c>
      <c r="H168" s="159"/>
      <c r="L168" s="21">
        <v>1</v>
      </c>
    </row>
    <row r="169" spans="2:12" ht="18">
      <c r="B169" s="30">
        <v>18</v>
      </c>
      <c r="C169" s="30">
        <v>51</v>
      </c>
      <c r="D169" s="30">
        <v>13</v>
      </c>
      <c r="E169" s="30">
        <v>8</v>
      </c>
      <c r="F169" s="30">
        <v>10</v>
      </c>
      <c r="G169" s="30">
        <v>2</v>
      </c>
      <c r="H169" s="159"/>
      <c r="L169" s="21">
        <v>1</v>
      </c>
    </row>
    <row r="170" spans="2:12" ht="18">
      <c r="B170" s="30">
        <v>18</v>
      </c>
      <c r="C170" s="30">
        <v>60</v>
      </c>
      <c r="D170" s="30">
        <v>8</v>
      </c>
      <c r="E170" s="30">
        <v>3</v>
      </c>
      <c r="F170" s="30">
        <v>22</v>
      </c>
      <c r="G170" s="30">
        <v>0</v>
      </c>
      <c r="H170" s="159"/>
      <c r="L170" s="21">
        <v>1</v>
      </c>
    </row>
    <row r="171" spans="2:12" ht="18">
      <c r="B171" s="30">
        <v>18</v>
      </c>
      <c r="C171" s="30">
        <v>60</v>
      </c>
      <c r="D171" s="30">
        <v>7</v>
      </c>
      <c r="E171" s="30">
        <v>18</v>
      </c>
      <c r="F171" s="30">
        <v>32</v>
      </c>
      <c r="G171" s="30">
        <v>0</v>
      </c>
      <c r="H171" s="159"/>
      <c r="L171" s="21">
        <v>1</v>
      </c>
    </row>
    <row r="172" spans="2:12" ht="18">
      <c r="B172" s="30">
        <v>18</v>
      </c>
      <c r="C172" s="30">
        <v>43</v>
      </c>
      <c r="D172" s="30">
        <v>14</v>
      </c>
      <c r="E172" s="30">
        <v>5</v>
      </c>
      <c r="F172" s="30">
        <v>4</v>
      </c>
      <c r="G172" s="30">
        <v>3</v>
      </c>
      <c r="H172" s="159"/>
      <c r="L172" s="21">
        <v>1</v>
      </c>
    </row>
    <row r="173" spans="2:12" ht="18">
      <c r="B173" s="30">
        <v>18</v>
      </c>
      <c r="C173" s="30">
        <v>48</v>
      </c>
      <c r="D173" s="30">
        <v>13</v>
      </c>
      <c r="E173" s="30">
        <v>12</v>
      </c>
      <c r="F173" s="30">
        <v>10</v>
      </c>
      <c r="G173" s="30">
        <v>3</v>
      </c>
      <c r="H173" s="159"/>
      <c r="L173" s="21">
        <v>1</v>
      </c>
    </row>
    <row r="174" spans="2:12" ht="18">
      <c r="B174" s="30">
        <v>18</v>
      </c>
      <c r="C174" s="30">
        <v>50</v>
      </c>
      <c r="D174" s="30">
        <v>13</v>
      </c>
      <c r="E174" s="30">
        <v>12</v>
      </c>
      <c r="F174" s="30">
        <v>12</v>
      </c>
      <c r="G174" s="30">
        <v>1</v>
      </c>
      <c r="H174" s="159"/>
      <c r="L174" s="21">
        <v>1</v>
      </c>
    </row>
    <row r="175" spans="2:12" ht="18">
      <c r="B175" s="30">
        <v>18</v>
      </c>
      <c r="C175" s="30">
        <v>49</v>
      </c>
      <c r="D175" s="30">
        <v>13</v>
      </c>
      <c r="E175" s="30">
        <v>5</v>
      </c>
      <c r="F175" s="30">
        <v>6</v>
      </c>
      <c r="G175" s="30">
        <v>3</v>
      </c>
      <c r="H175" s="159"/>
      <c r="L175" s="21">
        <v>1</v>
      </c>
    </row>
    <row r="176" spans="2:12" ht="18">
      <c r="B176" s="30">
        <v>18</v>
      </c>
      <c r="C176" s="30">
        <v>45</v>
      </c>
      <c r="D176" s="30">
        <v>8</v>
      </c>
      <c r="E176" s="30">
        <v>10</v>
      </c>
      <c r="F176" s="30">
        <v>12</v>
      </c>
      <c r="G176" s="30">
        <v>4</v>
      </c>
      <c r="H176" s="159"/>
      <c r="L176" s="21">
        <v>1</v>
      </c>
    </row>
    <row r="177" spans="2:12" ht="18">
      <c r="B177" s="30">
        <v>18</v>
      </c>
      <c r="C177" s="30">
        <v>45</v>
      </c>
      <c r="D177" s="30">
        <v>9</v>
      </c>
      <c r="E177" s="30">
        <v>13</v>
      </c>
      <c r="F177" s="30">
        <v>10</v>
      </c>
      <c r="G177" s="30">
        <v>0</v>
      </c>
      <c r="H177" s="159"/>
      <c r="L177" s="21">
        <v>1</v>
      </c>
    </row>
    <row r="178" spans="2:12" ht="18">
      <c r="B178" s="30">
        <v>18</v>
      </c>
      <c r="C178" s="30">
        <v>55</v>
      </c>
      <c r="D178" s="30">
        <v>14</v>
      </c>
      <c r="E178" s="30">
        <v>10</v>
      </c>
      <c r="F178" s="30">
        <v>8</v>
      </c>
      <c r="G178" s="30">
        <v>0</v>
      </c>
      <c r="H178" s="159"/>
      <c r="L178" s="21">
        <v>1</v>
      </c>
    </row>
    <row r="179" spans="2:12" ht="18">
      <c r="B179" s="30">
        <v>18</v>
      </c>
      <c r="C179" s="30">
        <v>51</v>
      </c>
      <c r="D179" s="30">
        <v>14</v>
      </c>
      <c r="E179" s="30">
        <v>5</v>
      </c>
      <c r="F179" s="30">
        <v>15</v>
      </c>
      <c r="G179" s="30">
        <v>0</v>
      </c>
      <c r="H179" s="159"/>
      <c r="L179" s="21">
        <v>1</v>
      </c>
    </row>
    <row r="180" spans="2:12" ht="18">
      <c r="B180" s="30">
        <v>18</v>
      </c>
      <c r="C180" s="30">
        <v>44</v>
      </c>
      <c r="D180" s="30">
        <v>14</v>
      </c>
      <c r="E180" s="30">
        <v>4</v>
      </c>
      <c r="F180" s="30">
        <v>5</v>
      </c>
      <c r="G180" s="30">
        <v>2</v>
      </c>
      <c r="H180" s="159"/>
      <c r="L180" s="21">
        <v>1</v>
      </c>
    </row>
    <row r="181" spans="2:12" ht="18">
      <c r="B181" s="30">
        <v>18</v>
      </c>
      <c r="C181" s="30">
        <v>50</v>
      </c>
      <c r="D181" s="30">
        <v>14</v>
      </c>
      <c r="E181" s="30">
        <v>9</v>
      </c>
      <c r="F181" s="30">
        <v>13</v>
      </c>
      <c r="G181" s="30">
        <v>1</v>
      </c>
      <c r="H181" s="159"/>
      <c r="L181" s="21">
        <v>1</v>
      </c>
    </row>
    <row r="182" spans="2:12" ht="18">
      <c r="B182" s="30">
        <v>18</v>
      </c>
      <c r="C182" s="30">
        <v>39</v>
      </c>
      <c r="D182" s="30">
        <v>13</v>
      </c>
      <c r="E182" s="30">
        <v>7</v>
      </c>
      <c r="F182" s="30">
        <v>11</v>
      </c>
      <c r="G182" s="30">
        <v>7</v>
      </c>
      <c r="H182" s="159"/>
      <c r="L182" s="21">
        <v>1</v>
      </c>
    </row>
    <row r="183" spans="2:12" ht="18">
      <c r="B183" s="30">
        <v>18</v>
      </c>
      <c r="C183" s="30">
        <v>53</v>
      </c>
      <c r="D183" s="30">
        <v>13</v>
      </c>
      <c r="E183" s="30">
        <v>3</v>
      </c>
      <c r="F183" s="30">
        <v>15</v>
      </c>
      <c r="G183" s="30">
        <v>0</v>
      </c>
      <c r="H183" s="159"/>
      <c r="L183" s="21">
        <v>1</v>
      </c>
    </row>
    <row r="184" spans="2:12" ht="18">
      <c r="B184" s="30">
        <v>18</v>
      </c>
      <c r="C184" s="30">
        <v>53</v>
      </c>
      <c r="D184" s="30">
        <v>12</v>
      </c>
      <c r="E184" s="30">
        <v>4</v>
      </c>
      <c r="F184" s="30">
        <v>16</v>
      </c>
      <c r="G184" s="30">
        <v>1</v>
      </c>
      <c r="H184" s="159"/>
      <c r="L184" s="21">
        <v>1</v>
      </c>
    </row>
    <row r="185" spans="2:12" ht="18">
      <c r="B185" s="30">
        <v>18</v>
      </c>
      <c r="C185" s="30">
        <v>53</v>
      </c>
      <c r="D185" s="30">
        <v>11</v>
      </c>
      <c r="E185" s="30">
        <v>12</v>
      </c>
      <c r="F185" s="30">
        <v>14</v>
      </c>
      <c r="G185" s="30">
        <v>0</v>
      </c>
      <c r="H185" s="159"/>
      <c r="L185" s="21">
        <v>1</v>
      </c>
    </row>
    <row r="186" spans="2:12" ht="18">
      <c r="B186" s="30">
        <v>18</v>
      </c>
      <c r="C186" s="30">
        <v>55</v>
      </c>
      <c r="D186" s="30">
        <v>15</v>
      </c>
      <c r="E186" s="30">
        <v>7</v>
      </c>
      <c r="F186" s="30">
        <v>5</v>
      </c>
      <c r="G186" s="30">
        <v>0</v>
      </c>
      <c r="H186" s="159"/>
      <c r="L186" s="21">
        <v>1</v>
      </c>
    </row>
    <row r="187" spans="2:12" ht="18">
      <c r="B187" s="30">
        <v>18</v>
      </c>
      <c r="C187" s="30">
        <v>49</v>
      </c>
      <c r="D187" s="30">
        <v>14</v>
      </c>
      <c r="E187" s="30">
        <v>4</v>
      </c>
      <c r="F187" s="30">
        <v>4</v>
      </c>
      <c r="G187" s="30">
        <v>1</v>
      </c>
      <c r="H187" s="159"/>
      <c r="L187" s="21">
        <v>1</v>
      </c>
    </row>
    <row r="188" spans="2:12" ht="18">
      <c r="B188" s="30">
        <v>18</v>
      </c>
      <c r="C188" s="30">
        <v>39</v>
      </c>
      <c r="D188" s="30">
        <v>13</v>
      </c>
      <c r="E188" s="30">
        <v>8</v>
      </c>
      <c r="F188" s="30">
        <v>6</v>
      </c>
      <c r="G188" s="30">
        <v>4</v>
      </c>
      <c r="H188" s="159"/>
      <c r="L188" s="21">
        <v>1</v>
      </c>
    </row>
    <row r="189" spans="2:12" ht="18">
      <c r="B189" s="30">
        <v>18</v>
      </c>
      <c r="C189" s="30">
        <v>39</v>
      </c>
      <c r="D189" s="30">
        <v>15</v>
      </c>
      <c r="E189" s="30">
        <v>9</v>
      </c>
      <c r="F189" s="30">
        <v>4</v>
      </c>
      <c r="G189" s="30">
        <v>4</v>
      </c>
      <c r="H189" s="159"/>
      <c r="L189" s="21">
        <v>1</v>
      </c>
    </row>
    <row r="190" spans="2:12" ht="18">
      <c r="B190" s="30">
        <v>18</v>
      </c>
      <c r="C190" s="30">
        <v>55</v>
      </c>
      <c r="D190" s="30">
        <v>16</v>
      </c>
      <c r="E190" s="30">
        <v>8</v>
      </c>
      <c r="F190" s="30">
        <v>10</v>
      </c>
      <c r="G190" s="30">
        <v>0</v>
      </c>
      <c r="H190" s="159"/>
      <c r="L190" s="21">
        <v>1</v>
      </c>
    </row>
    <row r="191" spans="2:12" ht="18">
      <c r="B191" s="30">
        <v>18</v>
      </c>
      <c r="C191" s="30">
        <v>55</v>
      </c>
      <c r="D191" s="30">
        <v>17</v>
      </c>
      <c r="E191" s="30">
        <v>7</v>
      </c>
      <c r="F191" s="30">
        <v>10</v>
      </c>
      <c r="G191" s="30">
        <v>0</v>
      </c>
      <c r="H191" s="159"/>
      <c r="L191" s="21">
        <v>1</v>
      </c>
    </row>
    <row r="192" spans="2:12" ht="18">
      <c r="B192" s="30">
        <v>18</v>
      </c>
      <c r="C192" s="30">
        <v>49</v>
      </c>
      <c r="D192" s="30">
        <v>15</v>
      </c>
      <c r="E192" s="30">
        <v>6</v>
      </c>
      <c r="F192" s="30">
        <v>3</v>
      </c>
      <c r="G192" s="30">
        <v>3</v>
      </c>
      <c r="H192" s="159"/>
      <c r="L192" s="21">
        <v>1</v>
      </c>
    </row>
    <row r="193" spans="2:12" ht="18">
      <c r="B193" s="30">
        <v>18</v>
      </c>
      <c r="C193" s="30">
        <v>51</v>
      </c>
      <c r="D193" s="30">
        <v>15</v>
      </c>
      <c r="E193" s="30">
        <v>8</v>
      </c>
      <c r="F193" s="30">
        <v>10</v>
      </c>
      <c r="G193" s="30">
        <v>2</v>
      </c>
      <c r="H193" s="159"/>
      <c r="L193" s="21">
        <v>1</v>
      </c>
    </row>
    <row r="194" spans="2:12" ht="18">
      <c r="B194" s="30">
        <v>18</v>
      </c>
      <c r="C194" s="30">
        <v>44</v>
      </c>
      <c r="D194" s="30">
        <v>15</v>
      </c>
      <c r="E194" s="30">
        <v>5</v>
      </c>
      <c r="F194" s="30">
        <v>7</v>
      </c>
      <c r="G194" s="30">
        <v>2</v>
      </c>
      <c r="H194" s="159"/>
      <c r="L194" s="21">
        <v>1</v>
      </c>
    </row>
    <row r="195" spans="2:12" ht="18">
      <c r="B195" s="30">
        <v>18</v>
      </c>
      <c r="C195" s="30">
        <v>45</v>
      </c>
      <c r="D195" s="30">
        <v>11</v>
      </c>
      <c r="E195" s="30">
        <v>7</v>
      </c>
      <c r="F195" s="30">
        <v>5</v>
      </c>
      <c r="G195" s="30">
        <v>2</v>
      </c>
      <c r="H195" s="159"/>
      <c r="L195" s="21">
        <v>1</v>
      </c>
    </row>
    <row r="196" spans="2:12" ht="18">
      <c r="B196" s="30">
        <v>18</v>
      </c>
      <c r="C196" s="30">
        <v>45</v>
      </c>
      <c r="D196" s="30">
        <v>10</v>
      </c>
      <c r="E196" s="30">
        <v>12</v>
      </c>
      <c r="F196" s="30">
        <v>13</v>
      </c>
      <c r="G196" s="30">
        <v>1</v>
      </c>
      <c r="H196" s="159"/>
      <c r="L196" s="21">
        <v>1</v>
      </c>
    </row>
    <row r="197" spans="2:12" ht="18">
      <c r="B197" s="30">
        <v>18</v>
      </c>
      <c r="C197" s="30">
        <v>50</v>
      </c>
      <c r="D197" s="30">
        <v>15</v>
      </c>
      <c r="E197" s="30">
        <v>14</v>
      </c>
      <c r="F197" s="30">
        <v>11</v>
      </c>
      <c r="G197" s="30">
        <v>0</v>
      </c>
      <c r="H197" s="159"/>
      <c r="L197" s="21">
        <v>1</v>
      </c>
    </row>
    <row r="198" spans="2:12" ht="18">
      <c r="B198" s="30">
        <v>18</v>
      </c>
      <c r="C198" s="30">
        <v>55</v>
      </c>
      <c r="D198" s="30">
        <v>18</v>
      </c>
      <c r="E198" s="30">
        <v>12</v>
      </c>
      <c r="F198" s="30">
        <v>11</v>
      </c>
      <c r="G198" s="30">
        <v>0</v>
      </c>
      <c r="H198" s="159"/>
      <c r="L198" s="21">
        <v>1</v>
      </c>
    </row>
    <row r="199" spans="2:12" ht="18">
      <c r="B199" s="30">
        <v>18</v>
      </c>
      <c r="C199" s="30">
        <v>38</v>
      </c>
      <c r="D199" s="30">
        <v>14</v>
      </c>
      <c r="E199" s="30">
        <v>7</v>
      </c>
      <c r="F199" s="30">
        <v>9</v>
      </c>
      <c r="G199" s="30">
        <v>10</v>
      </c>
      <c r="H199" s="159"/>
      <c r="L199" s="21">
        <v>1</v>
      </c>
    </row>
    <row r="200" spans="2:12" ht="18">
      <c r="B200" s="30">
        <v>18</v>
      </c>
      <c r="C200" s="30">
        <v>60</v>
      </c>
      <c r="D200" s="30">
        <v>10</v>
      </c>
      <c r="E200" s="30">
        <v>9</v>
      </c>
      <c r="F200" s="30">
        <v>16</v>
      </c>
      <c r="G200" s="30">
        <v>0</v>
      </c>
      <c r="H200" s="159"/>
      <c r="L200" s="21">
        <v>1</v>
      </c>
    </row>
    <row r="201" spans="2:12" ht="18">
      <c r="B201" s="30">
        <v>18</v>
      </c>
      <c r="C201" s="30">
        <v>60</v>
      </c>
      <c r="D201" s="30">
        <v>9</v>
      </c>
      <c r="E201" s="30">
        <v>7</v>
      </c>
      <c r="F201" s="30">
        <v>18</v>
      </c>
      <c r="G201" s="30">
        <v>0</v>
      </c>
      <c r="H201" s="159"/>
      <c r="L201" s="21">
        <v>1</v>
      </c>
    </row>
    <row r="202" spans="2:12" ht="18">
      <c r="B202" s="30">
        <v>18</v>
      </c>
      <c r="C202" s="30">
        <v>55</v>
      </c>
      <c r="D202" s="30">
        <v>19</v>
      </c>
      <c r="E202" s="30">
        <v>7</v>
      </c>
      <c r="F202" s="30">
        <v>8</v>
      </c>
      <c r="G202" s="30">
        <v>0</v>
      </c>
      <c r="H202" s="159"/>
      <c r="L202" s="21">
        <v>1</v>
      </c>
    </row>
    <row r="203" spans="2:12" ht="18">
      <c r="B203" s="30">
        <v>18</v>
      </c>
      <c r="C203" s="30">
        <v>51</v>
      </c>
      <c r="D203" s="30">
        <v>16</v>
      </c>
      <c r="E203" s="30">
        <v>6</v>
      </c>
      <c r="F203" s="30">
        <v>17</v>
      </c>
      <c r="G203" s="30">
        <v>1</v>
      </c>
      <c r="H203" s="159"/>
      <c r="L203" s="21">
        <v>1</v>
      </c>
    </row>
    <row r="204" spans="2:12" ht="18">
      <c r="B204" s="30">
        <v>18</v>
      </c>
      <c r="C204" s="30">
        <v>48</v>
      </c>
      <c r="D204" s="30">
        <v>14</v>
      </c>
      <c r="E204" s="30">
        <v>8</v>
      </c>
      <c r="F204" s="30">
        <v>12</v>
      </c>
      <c r="G204" s="30">
        <v>0</v>
      </c>
      <c r="H204" s="159"/>
      <c r="L204" s="21">
        <v>1</v>
      </c>
    </row>
    <row r="205" spans="2:12" ht="18">
      <c r="B205" s="30">
        <v>18</v>
      </c>
      <c r="C205" s="30">
        <v>44</v>
      </c>
      <c r="D205" s="30">
        <v>16</v>
      </c>
      <c r="E205" s="30">
        <v>7</v>
      </c>
      <c r="F205" s="30">
        <v>5</v>
      </c>
      <c r="G205" s="30">
        <v>2</v>
      </c>
      <c r="H205" s="159"/>
      <c r="L205" s="21">
        <v>1</v>
      </c>
    </row>
    <row r="206" spans="2:12" ht="18">
      <c r="B206" s="30">
        <v>18</v>
      </c>
      <c r="C206" s="30">
        <v>39</v>
      </c>
      <c r="D206" s="30">
        <v>16</v>
      </c>
      <c r="E206" s="30">
        <v>10</v>
      </c>
      <c r="F206" s="30">
        <v>8</v>
      </c>
      <c r="G206" s="30">
        <v>6</v>
      </c>
      <c r="H206" s="159"/>
      <c r="L206" s="21">
        <v>1</v>
      </c>
    </row>
    <row r="207" spans="2:12" ht="18">
      <c r="B207" s="30">
        <v>18</v>
      </c>
      <c r="C207" s="30">
        <v>49</v>
      </c>
      <c r="D207" s="30">
        <v>16</v>
      </c>
      <c r="E207" s="30">
        <v>5</v>
      </c>
      <c r="F207" s="30">
        <v>4</v>
      </c>
      <c r="G207" s="30">
        <v>2</v>
      </c>
      <c r="H207" s="159"/>
      <c r="L207" s="21">
        <v>1</v>
      </c>
    </row>
    <row r="208" spans="2:12" ht="18">
      <c r="B208" s="30">
        <v>18</v>
      </c>
      <c r="C208" s="30">
        <v>55</v>
      </c>
      <c r="D208" s="30">
        <v>19</v>
      </c>
      <c r="E208" s="30">
        <v>7</v>
      </c>
      <c r="F208" s="30">
        <v>8</v>
      </c>
      <c r="G208" s="30">
        <v>0</v>
      </c>
      <c r="H208" s="159"/>
      <c r="L208" s="21">
        <v>1</v>
      </c>
    </row>
    <row r="209" spans="2:12" ht="18">
      <c r="B209" s="30">
        <v>18</v>
      </c>
      <c r="C209" s="30">
        <v>55</v>
      </c>
      <c r="D209" s="30">
        <v>20</v>
      </c>
      <c r="E209" s="30">
        <v>8</v>
      </c>
      <c r="F209" s="30">
        <v>8</v>
      </c>
      <c r="G209" s="30">
        <v>0</v>
      </c>
      <c r="H209" s="159"/>
      <c r="L209" s="21">
        <v>1</v>
      </c>
    </row>
    <row r="210" spans="2:12" ht="18">
      <c r="B210" s="30">
        <v>18</v>
      </c>
      <c r="C210" s="30">
        <v>44</v>
      </c>
      <c r="D210" s="30">
        <v>17</v>
      </c>
      <c r="E210" s="30">
        <v>6</v>
      </c>
      <c r="F210" s="30">
        <v>8</v>
      </c>
      <c r="G210" s="30">
        <v>1</v>
      </c>
      <c r="H210" s="159"/>
      <c r="L210" s="21">
        <v>1</v>
      </c>
    </row>
    <row r="211" spans="2:12" ht="18">
      <c r="B211" s="30">
        <v>18</v>
      </c>
      <c r="C211" s="30"/>
      <c r="D211" s="30"/>
      <c r="E211" s="30"/>
      <c r="F211" s="30"/>
      <c r="G211" s="30"/>
      <c r="H211" s="159"/>
      <c r="L211" s="21">
        <v>1</v>
      </c>
    </row>
    <row r="212" spans="2:12" ht="18">
      <c r="B212" s="30">
        <v>18</v>
      </c>
      <c r="C212" s="30"/>
      <c r="D212" s="30"/>
      <c r="E212" s="30"/>
      <c r="F212" s="30"/>
      <c r="G212" s="30"/>
      <c r="H212" s="159"/>
      <c r="L212" s="21">
        <v>1</v>
      </c>
    </row>
    <row r="213" spans="2:12" ht="18">
      <c r="B213" s="30">
        <v>18</v>
      </c>
      <c r="C213" s="30"/>
      <c r="D213" s="30"/>
      <c r="E213" s="30"/>
      <c r="F213" s="30"/>
      <c r="G213" s="30"/>
      <c r="H213" s="159"/>
      <c r="L213" s="21">
        <v>1</v>
      </c>
    </row>
    <row r="214" spans="2:12" ht="18">
      <c r="B214" s="30">
        <v>18</v>
      </c>
      <c r="C214" s="30"/>
      <c r="D214" s="30"/>
      <c r="E214" s="30"/>
      <c r="F214" s="30"/>
      <c r="G214" s="30"/>
      <c r="H214" s="159"/>
      <c r="L214" s="21">
        <v>1</v>
      </c>
    </row>
    <row r="215" spans="2:12" ht="18">
      <c r="B215" s="30">
        <v>18</v>
      </c>
      <c r="C215" s="30"/>
      <c r="D215" s="30"/>
      <c r="E215" s="30"/>
      <c r="F215" s="30"/>
      <c r="G215" s="30"/>
      <c r="H215" s="159"/>
      <c r="L215" s="21">
        <v>1</v>
      </c>
    </row>
    <row r="216" spans="2:12" ht="18">
      <c r="B216" s="30">
        <v>18</v>
      </c>
      <c r="C216" s="30"/>
      <c r="D216" s="30"/>
      <c r="E216" s="30"/>
      <c r="F216" s="30"/>
      <c r="G216" s="30"/>
      <c r="H216" s="159"/>
      <c r="L216" s="21">
        <v>1</v>
      </c>
    </row>
    <row r="217" spans="2:12" ht="18">
      <c r="B217" s="30"/>
      <c r="C217" s="30"/>
      <c r="D217" s="30"/>
      <c r="E217" s="30"/>
      <c r="F217" s="30"/>
      <c r="G217" s="30"/>
      <c r="H217" s="159"/>
      <c r="L217" s="21">
        <v>1</v>
      </c>
    </row>
    <row r="218" spans="2:12" ht="18">
      <c r="B218" s="30"/>
      <c r="C218" s="30"/>
      <c r="D218" s="30"/>
      <c r="E218" s="30"/>
      <c r="F218" s="30"/>
      <c r="G218" s="30"/>
      <c r="H218" s="159"/>
      <c r="L218" s="21">
        <v>1</v>
      </c>
    </row>
    <row r="219" spans="2:12" ht="18">
      <c r="B219" s="30"/>
      <c r="C219" s="30"/>
      <c r="D219" s="30"/>
      <c r="E219" s="30"/>
      <c r="F219" s="30"/>
      <c r="G219" s="30"/>
      <c r="H219" s="159"/>
      <c r="L219" s="21">
        <v>1</v>
      </c>
    </row>
    <row r="220" spans="2:12" ht="18">
      <c r="B220" s="30"/>
      <c r="C220" s="30"/>
      <c r="D220" s="30"/>
      <c r="E220" s="30"/>
      <c r="F220" s="30"/>
      <c r="G220" s="30"/>
      <c r="H220" s="159"/>
      <c r="L220" s="21">
        <v>1</v>
      </c>
    </row>
    <row r="221" spans="2:12" ht="18">
      <c r="B221" s="30"/>
      <c r="C221" s="30"/>
      <c r="D221" s="30"/>
      <c r="E221" s="30"/>
      <c r="F221" s="30"/>
      <c r="G221" s="30"/>
      <c r="H221" s="159"/>
      <c r="L221" s="21">
        <v>1</v>
      </c>
    </row>
    <row r="222" spans="2:12" ht="18">
      <c r="B222" s="30"/>
      <c r="C222" s="30"/>
      <c r="D222" s="30"/>
      <c r="E222" s="30"/>
      <c r="F222" s="30"/>
      <c r="G222" s="30"/>
      <c r="H222" s="159"/>
      <c r="L222" s="21">
        <v>1</v>
      </c>
    </row>
    <row r="223" spans="2:12" ht="18">
      <c r="B223" s="30"/>
      <c r="C223" s="30"/>
      <c r="D223" s="30"/>
      <c r="E223" s="30"/>
      <c r="F223" s="30"/>
      <c r="G223" s="30"/>
      <c r="H223" s="159"/>
      <c r="L223" s="21">
        <v>1</v>
      </c>
    </row>
    <row r="224" spans="2:12" ht="18">
      <c r="B224" s="30"/>
      <c r="C224" s="30"/>
      <c r="D224" s="30"/>
      <c r="E224" s="30"/>
      <c r="F224" s="30"/>
      <c r="G224" s="30"/>
      <c r="H224" s="159"/>
      <c r="L224" s="21">
        <v>1</v>
      </c>
    </row>
    <row r="225" spans="2:12" ht="18">
      <c r="B225" s="30"/>
      <c r="C225" s="30"/>
      <c r="D225" s="30"/>
      <c r="E225" s="30"/>
      <c r="F225" s="30"/>
      <c r="G225" s="30"/>
      <c r="H225" s="159"/>
      <c r="L225" s="21">
        <v>1</v>
      </c>
    </row>
    <row r="226" spans="2:12" ht="18">
      <c r="B226" s="30"/>
      <c r="C226" s="30"/>
      <c r="D226" s="30"/>
      <c r="E226" s="30"/>
      <c r="F226" s="30"/>
      <c r="G226" s="30"/>
      <c r="H226" s="159"/>
      <c r="L226" s="21">
        <v>1</v>
      </c>
    </row>
    <row r="227" spans="2:12" ht="18">
      <c r="B227" s="30"/>
      <c r="C227" s="30"/>
      <c r="D227" s="30"/>
      <c r="E227" s="30"/>
      <c r="F227" s="30"/>
      <c r="G227" s="30"/>
      <c r="H227" s="159"/>
      <c r="L227" s="21">
        <v>1</v>
      </c>
    </row>
    <row r="228" spans="2:12" ht="18">
      <c r="B228" s="30"/>
      <c r="C228" s="30"/>
      <c r="D228" s="30"/>
      <c r="E228" s="30"/>
      <c r="F228" s="30"/>
      <c r="G228" s="30"/>
      <c r="H228" s="159"/>
      <c r="L228" s="21">
        <v>1</v>
      </c>
    </row>
    <row r="229" spans="2:12" ht="18">
      <c r="B229" s="30"/>
      <c r="C229" s="30"/>
      <c r="D229" s="30"/>
      <c r="E229" s="30"/>
      <c r="F229" s="30"/>
      <c r="G229" s="30"/>
      <c r="H229" s="159"/>
      <c r="L229" s="21">
        <v>1</v>
      </c>
    </row>
    <row r="230" spans="2:12" ht="18">
      <c r="B230" s="30"/>
      <c r="C230" s="30"/>
      <c r="D230" s="30"/>
      <c r="E230" s="30"/>
      <c r="F230" s="30"/>
      <c r="G230" s="30"/>
      <c r="H230" s="159"/>
      <c r="L230" s="21">
        <v>1</v>
      </c>
    </row>
    <row r="231" spans="2:12" ht="18">
      <c r="B231" s="30"/>
      <c r="C231" s="30"/>
      <c r="D231" s="30"/>
      <c r="E231" s="30"/>
      <c r="F231" s="30"/>
      <c r="G231" s="30"/>
      <c r="H231" s="159"/>
      <c r="L231" s="21">
        <v>1</v>
      </c>
    </row>
    <row r="232" spans="2:12" ht="18">
      <c r="B232" s="30"/>
      <c r="C232" s="30"/>
      <c r="D232" s="30"/>
      <c r="E232" s="30"/>
      <c r="F232" s="30"/>
      <c r="G232" s="30"/>
      <c r="H232" s="159"/>
      <c r="L232" s="21">
        <v>1</v>
      </c>
    </row>
    <row r="233" spans="2:12" ht="18">
      <c r="B233" s="30"/>
      <c r="C233" s="30"/>
      <c r="D233" s="30"/>
      <c r="E233" s="30"/>
      <c r="F233" s="30"/>
      <c r="G233" s="30"/>
      <c r="H233" s="159"/>
      <c r="L233" s="21">
        <v>1</v>
      </c>
    </row>
    <row r="234" spans="2:12" ht="18">
      <c r="B234" s="30"/>
      <c r="C234" s="30"/>
      <c r="D234" s="30"/>
      <c r="E234" s="30"/>
      <c r="F234" s="30"/>
      <c r="G234" s="30"/>
      <c r="H234" s="159"/>
      <c r="L234" s="21">
        <v>1</v>
      </c>
    </row>
    <row r="235" spans="2:12" ht="18">
      <c r="B235" s="30"/>
      <c r="C235" s="30"/>
      <c r="D235" s="30"/>
      <c r="E235" s="30"/>
      <c r="F235" s="30"/>
      <c r="G235" s="30"/>
      <c r="H235" s="159"/>
      <c r="L235" s="21">
        <v>1</v>
      </c>
    </row>
    <row r="236" spans="2:12" ht="18">
      <c r="B236" s="30"/>
      <c r="C236" s="30"/>
      <c r="D236" s="30"/>
      <c r="E236" s="30"/>
      <c r="F236" s="30"/>
      <c r="G236" s="30"/>
      <c r="H236" s="159"/>
      <c r="L236" s="21">
        <v>1</v>
      </c>
    </row>
    <row r="237" spans="2:12" ht="18">
      <c r="B237" s="30"/>
      <c r="C237" s="30"/>
      <c r="D237" s="30"/>
      <c r="E237" s="30"/>
      <c r="F237" s="30"/>
      <c r="G237" s="30"/>
      <c r="H237" s="159"/>
      <c r="L237" s="21">
        <v>1</v>
      </c>
    </row>
    <row r="238" spans="2:12" ht="18">
      <c r="B238" s="30"/>
      <c r="C238" s="30"/>
      <c r="D238" s="30"/>
      <c r="E238" s="30"/>
      <c r="F238" s="30"/>
      <c r="G238" s="30"/>
      <c r="H238" s="159"/>
      <c r="L238" s="21">
        <v>1</v>
      </c>
    </row>
    <row r="239" spans="2:12" ht="18">
      <c r="B239" s="30"/>
      <c r="C239" s="30"/>
      <c r="D239" s="30"/>
      <c r="E239" s="30"/>
      <c r="F239" s="30"/>
      <c r="G239" s="30"/>
      <c r="H239" s="159"/>
      <c r="L239" s="21">
        <v>1</v>
      </c>
    </row>
    <row r="240" spans="2:12" ht="18">
      <c r="B240" s="30"/>
      <c r="C240" s="30"/>
      <c r="D240" s="30"/>
      <c r="E240" s="30"/>
      <c r="F240" s="30"/>
      <c r="G240" s="30"/>
      <c r="H240" s="159"/>
      <c r="L240" s="21">
        <v>1</v>
      </c>
    </row>
    <row r="241" spans="2:12" ht="18">
      <c r="B241" s="30"/>
      <c r="C241" s="30"/>
      <c r="D241" s="30"/>
      <c r="E241" s="30"/>
      <c r="F241" s="30"/>
      <c r="G241" s="30"/>
      <c r="H241" s="159"/>
      <c r="L241" s="21">
        <v>1</v>
      </c>
    </row>
    <row r="242" spans="2:12" ht="18">
      <c r="B242" s="30"/>
      <c r="C242" s="30"/>
      <c r="D242" s="30"/>
      <c r="E242" s="30"/>
      <c r="F242" s="30"/>
      <c r="G242" s="30"/>
      <c r="H242" s="159"/>
      <c r="L242" s="21">
        <v>1</v>
      </c>
    </row>
    <row r="243" spans="2:12" ht="18">
      <c r="B243" s="30"/>
      <c r="C243" s="30"/>
      <c r="D243" s="30"/>
      <c r="E243" s="30"/>
      <c r="F243" s="30"/>
      <c r="G243" s="30"/>
      <c r="H243" s="159"/>
      <c r="L243" s="21">
        <v>1</v>
      </c>
    </row>
    <row r="244" spans="2:12" ht="18">
      <c r="B244" s="30"/>
      <c r="C244" s="30"/>
      <c r="D244" s="30"/>
      <c r="E244" s="30"/>
      <c r="F244" s="30"/>
      <c r="G244" s="30"/>
      <c r="H244" s="159"/>
      <c r="L244" s="21">
        <v>1</v>
      </c>
    </row>
    <row r="245" spans="2:12" ht="18">
      <c r="B245" s="30"/>
      <c r="C245" s="30"/>
      <c r="D245" s="30"/>
      <c r="E245" s="30"/>
      <c r="F245" s="30"/>
      <c r="G245" s="30"/>
      <c r="H245" s="159"/>
      <c r="L245" s="21">
        <v>1</v>
      </c>
    </row>
    <row r="246" spans="2:12" ht="18">
      <c r="B246" s="30"/>
      <c r="C246" s="30"/>
      <c r="D246" s="30"/>
      <c r="E246" s="30"/>
      <c r="F246" s="30"/>
      <c r="G246" s="30"/>
      <c r="H246" s="159"/>
      <c r="L246" s="21">
        <v>1</v>
      </c>
    </row>
    <row r="247" spans="2:12" ht="18">
      <c r="B247" s="30"/>
      <c r="C247" s="30"/>
      <c r="D247" s="30"/>
      <c r="E247" s="30"/>
      <c r="F247" s="30"/>
      <c r="G247" s="30"/>
      <c r="H247" s="159"/>
      <c r="L247" s="21">
        <v>1</v>
      </c>
    </row>
    <row r="248" spans="2:12" ht="18">
      <c r="B248" s="30"/>
      <c r="C248" s="30"/>
      <c r="D248" s="30"/>
      <c r="E248" s="30"/>
      <c r="F248" s="30"/>
      <c r="G248" s="30"/>
      <c r="H248" s="159"/>
      <c r="L248" s="21">
        <v>1</v>
      </c>
    </row>
    <row r="249" spans="2:12" ht="18">
      <c r="B249" s="30"/>
      <c r="C249" s="30"/>
      <c r="D249" s="30"/>
      <c r="E249" s="30"/>
      <c r="F249" s="30"/>
      <c r="G249" s="30"/>
      <c r="H249" s="159"/>
      <c r="L249" s="21">
        <v>1</v>
      </c>
    </row>
    <row r="250" spans="2:12" ht="18">
      <c r="B250" s="30"/>
      <c r="C250" s="30"/>
      <c r="D250" s="30"/>
      <c r="E250" s="30"/>
      <c r="F250" s="30"/>
      <c r="G250" s="30"/>
      <c r="H250" s="159"/>
      <c r="L250" s="21">
        <v>1</v>
      </c>
    </row>
    <row r="251" spans="2:12" ht="18">
      <c r="B251" s="30"/>
      <c r="C251" s="30"/>
      <c r="D251" s="30"/>
      <c r="E251" s="30"/>
      <c r="F251" s="30"/>
      <c r="G251" s="30"/>
      <c r="H251" s="159"/>
      <c r="L251" s="21">
        <v>1</v>
      </c>
    </row>
    <row r="252" spans="2:12" ht="18">
      <c r="B252" s="30"/>
      <c r="C252" s="30"/>
      <c r="D252" s="30"/>
      <c r="E252" s="30"/>
      <c r="F252" s="30"/>
      <c r="G252" s="30"/>
      <c r="H252" s="159"/>
      <c r="L252" s="21">
        <v>1</v>
      </c>
    </row>
    <row r="253" spans="2:12" ht="18">
      <c r="B253" s="30"/>
      <c r="C253" s="30"/>
      <c r="D253" s="30"/>
      <c r="E253" s="30"/>
      <c r="F253" s="30"/>
      <c r="G253" s="30"/>
      <c r="H253" s="159"/>
      <c r="L253" s="21">
        <v>1</v>
      </c>
    </row>
    <row r="254" spans="2:12" ht="18">
      <c r="B254" s="30"/>
      <c r="C254" s="30"/>
      <c r="D254" s="30"/>
      <c r="E254" s="30"/>
      <c r="F254" s="30"/>
      <c r="G254" s="30"/>
      <c r="H254" s="159"/>
      <c r="L254" s="21">
        <v>1</v>
      </c>
    </row>
    <row r="255" spans="2:12" ht="18">
      <c r="B255" s="30"/>
      <c r="C255" s="30"/>
      <c r="D255" s="30"/>
      <c r="E255" s="30"/>
      <c r="F255" s="30"/>
      <c r="G255" s="30"/>
      <c r="H255" s="159"/>
      <c r="L255" s="21">
        <v>1</v>
      </c>
    </row>
    <row r="256" spans="2:12" ht="18">
      <c r="B256" s="30"/>
      <c r="C256" s="30"/>
      <c r="D256" s="30"/>
      <c r="E256" s="30"/>
      <c r="F256" s="30"/>
      <c r="G256" s="30"/>
      <c r="H256" s="159"/>
      <c r="L256" s="21">
        <v>1</v>
      </c>
    </row>
    <row r="257" spans="2:12" ht="18">
      <c r="B257" s="30"/>
      <c r="C257" s="30"/>
      <c r="D257" s="30"/>
      <c r="E257" s="30"/>
      <c r="F257" s="30"/>
      <c r="G257" s="30"/>
      <c r="H257" s="159"/>
      <c r="L257" s="21">
        <v>1</v>
      </c>
    </row>
    <row r="258" spans="2:12" ht="18">
      <c r="B258" s="30"/>
      <c r="C258" s="30"/>
      <c r="D258" s="30"/>
      <c r="E258" s="30"/>
      <c r="F258" s="30"/>
      <c r="G258" s="30"/>
      <c r="H258" s="159"/>
      <c r="L258" s="21">
        <v>1</v>
      </c>
    </row>
    <row r="259" spans="2:12" ht="18">
      <c r="B259" s="30"/>
      <c r="C259" s="30"/>
      <c r="D259" s="30"/>
      <c r="E259" s="30"/>
      <c r="F259" s="30"/>
      <c r="G259" s="30"/>
      <c r="H259" s="159"/>
      <c r="L259" s="21">
        <v>1</v>
      </c>
    </row>
    <row r="260" spans="2:12" ht="18">
      <c r="B260" s="30"/>
      <c r="C260" s="30"/>
      <c r="D260" s="30"/>
      <c r="E260" s="30"/>
      <c r="F260" s="30"/>
      <c r="G260" s="30"/>
      <c r="H260" s="159"/>
      <c r="L260" s="21">
        <v>1</v>
      </c>
    </row>
    <row r="261" spans="2:12" ht="18">
      <c r="B261" s="30"/>
      <c r="C261" s="30"/>
      <c r="D261" s="30"/>
      <c r="E261" s="30"/>
      <c r="F261" s="30"/>
      <c r="G261" s="30"/>
      <c r="H261" s="159"/>
      <c r="L261" s="21">
        <v>1</v>
      </c>
    </row>
    <row r="262" spans="2:12" ht="18">
      <c r="B262" s="30"/>
      <c r="C262" s="30"/>
      <c r="D262" s="30"/>
      <c r="E262" s="30"/>
      <c r="F262" s="30"/>
      <c r="G262" s="30"/>
      <c r="H262" s="159"/>
      <c r="L262" s="21">
        <v>1</v>
      </c>
    </row>
    <row r="263" spans="2:12" ht="18">
      <c r="B263" s="30"/>
      <c r="C263" s="30"/>
      <c r="D263" s="30"/>
      <c r="E263" s="30"/>
      <c r="F263" s="30"/>
      <c r="G263" s="30"/>
      <c r="H263" s="159"/>
      <c r="L263" s="21">
        <v>1</v>
      </c>
    </row>
    <row r="264" spans="2:12" ht="18">
      <c r="B264" s="30"/>
      <c r="C264" s="30"/>
      <c r="D264" s="30"/>
      <c r="E264" s="30"/>
      <c r="F264" s="30"/>
      <c r="G264" s="30"/>
      <c r="H264" s="159"/>
      <c r="L264" s="21">
        <v>1</v>
      </c>
    </row>
    <row r="265" spans="2:12" ht="18">
      <c r="B265" s="30"/>
      <c r="C265" s="30"/>
      <c r="D265" s="30"/>
      <c r="E265" s="30"/>
      <c r="F265" s="30"/>
      <c r="G265" s="30"/>
      <c r="H265" s="159"/>
      <c r="L265" s="21">
        <v>1</v>
      </c>
    </row>
    <row r="266" spans="2:12" ht="18">
      <c r="B266" s="30"/>
      <c r="C266" s="30"/>
      <c r="D266" s="30"/>
      <c r="E266" s="30"/>
      <c r="F266" s="30"/>
      <c r="G266" s="30"/>
      <c r="H266" s="159"/>
      <c r="L266" s="21">
        <v>1</v>
      </c>
    </row>
    <row r="267" spans="2:12" ht="18">
      <c r="B267" s="30"/>
      <c r="C267" s="30"/>
      <c r="D267" s="30"/>
      <c r="E267" s="30"/>
      <c r="F267" s="30"/>
      <c r="G267" s="30"/>
      <c r="H267" s="159"/>
      <c r="L267" s="21">
        <v>1</v>
      </c>
    </row>
    <row r="268" spans="2:12" ht="18">
      <c r="B268" s="30"/>
      <c r="C268" s="30"/>
      <c r="D268" s="30"/>
      <c r="E268" s="30"/>
      <c r="F268" s="30"/>
      <c r="G268" s="30"/>
      <c r="H268" s="159"/>
      <c r="L268" s="21">
        <v>1</v>
      </c>
    </row>
    <row r="269" spans="2:12" ht="18">
      <c r="B269" s="30"/>
      <c r="C269" s="30"/>
      <c r="D269" s="30"/>
      <c r="E269" s="30"/>
      <c r="F269" s="30"/>
      <c r="G269" s="30"/>
      <c r="H269" s="159"/>
      <c r="L269" s="21">
        <v>1</v>
      </c>
    </row>
    <row r="270" spans="2:12" ht="18">
      <c r="B270" s="30"/>
      <c r="C270" s="30"/>
      <c r="D270" s="30"/>
      <c r="E270" s="30"/>
      <c r="F270" s="30"/>
      <c r="G270" s="30"/>
      <c r="H270" s="159"/>
      <c r="L270" s="21">
        <v>1</v>
      </c>
    </row>
    <row r="271" spans="2:12" ht="18">
      <c r="B271" s="30"/>
      <c r="C271" s="30"/>
      <c r="D271" s="30"/>
      <c r="E271" s="30"/>
      <c r="F271" s="30"/>
      <c r="G271" s="30"/>
      <c r="H271" s="159"/>
      <c r="L271" s="21">
        <v>1</v>
      </c>
    </row>
    <row r="272" spans="2:12" ht="18">
      <c r="B272" s="30"/>
      <c r="C272" s="30"/>
      <c r="D272" s="30"/>
      <c r="E272" s="30"/>
      <c r="F272" s="30"/>
      <c r="G272" s="30"/>
      <c r="H272" s="159"/>
      <c r="L272" s="21">
        <v>1</v>
      </c>
    </row>
    <row r="273" spans="2:12" ht="18">
      <c r="B273" s="30"/>
      <c r="C273" s="30"/>
      <c r="D273" s="30"/>
      <c r="E273" s="30"/>
      <c r="F273" s="30"/>
      <c r="G273" s="30"/>
      <c r="H273" s="159"/>
      <c r="L273" s="21">
        <v>1</v>
      </c>
    </row>
    <row r="274" spans="2:12" ht="18">
      <c r="B274" s="30"/>
      <c r="C274" s="30"/>
      <c r="D274" s="30"/>
      <c r="E274" s="30"/>
      <c r="F274" s="30"/>
      <c r="G274" s="30"/>
      <c r="H274" s="159"/>
      <c r="L274" s="21">
        <v>1</v>
      </c>
    </row>
    <row r="275" spans="2:12" ht="18">
      <c r="B275" s="30"/>
      <c r="C275" s="30"/>
      <c r="D275" s="30"/>
      <c r="E275" s="30"/>
      <c r="F275" s="30"/>
      <c r="G275" s="30"/>
      <c r="H275" s="159"/>
      <c r="L275" s="21">
        <v>1</v>
      </c>
    </row>
    <row r="276" spans="2:12" ht="18">
      <c r="B276" s="30"/>
      <c r="C276" s="30"/>
      <c r="D276" s="30"/>
      <c r="E276" s="30"/>
      <c r="F276" s="30"/>
      <c r="G276" s="30"/>
      <c r="H276" s="159"/>
      <c r="L276" s="21">
        <v>1</v>
      </c>
    </row>
    <row r="277" spans="2:12" ht="18">
      <c r="B277" s="30"/>
      <c r="C277" s="30"/>
      <c r="D277" s="30"/>
      <c r="E277" s="30"/>
      <c r="F277" s="30"/>
      <c r="G277" s="30"/>
      <c r="H277" s="159"/>
      <c r="L277" s="21">
        <v>1</v>
      </c>
    </row>
    <row r="278" spans="2:12" ht="18">
      <c r="B278" s="30"/>
      <c r="C278" s="30"/>
      <c r="D278" s="30"/>
      <c r="E278" s="30"/>
      <c r="F278" s="30"/>
      <c r="G278" s="30"/>
      <c r="H278" s="159"/>
      <c r="L278" s="21">
        <v>1</v>
      </c>
    </row>
    <row r="279" spans="2:12" ht="18">
      <c r="B279" s="30"/>
      <c r="C279" s="30"/>
      <c r="D279" s="30"/>
      <c r="E279" s="30"/>
      <c r="F279" s="30"/>
      <c r="G279" s="30"/>
      <c r="H279" s="159"/>
      <c r="L279" s="21">
        <v>1</v>
      </c>
    </row>
    <row r="280" spans="2:12" ht="18">
      <c r="B280" s="30"/>
      <c r="C280" s="30"/>
      <c r="D280" s="30"/>
      <c r="E280" s="30"/>
      <c r="F280" s="30"/>
      <c r="G280" s="30"/>
      <c r="H280" s="159"/>
      <c r="L280" s="21">
        <v>1</v>
      </c>
    </row>
    <row r="281" spans="2:12" ht="18">
      <c r="B281" s="30"/>
      <c r="C281" s="30"/>
      <c r="D281" s="30"/>
      <c r="E281" s="30"/>
      <c r="F281" s="30"/>
      <c r="G281" s="30"/>
      <c r="H281" s="159"/>
      <c r="L281" s="21">
        <v>1</v>
      </c>
    </row>
    <row r="282" spans="2:12" ht="18">
      <c r="B282" s="30"/>
      <c r="C282" s="30"/>
      <c r="D282" s="30"/>
      <c r="E282" s="30"/>
      <c r="F282" s="30"/>
      <c r="G282" s="30"/>
      <c r="H282" s="159"/>
      <c r="L282" s="21">
        <v>1</v>
      </c>
    </row>
    <row r="283" spans="2:12" ht="18">
      <c r="B283" s="30"/>
      <c r="C283" s="30"/>
      <c r="D283" s="30"/>
      <c r="E283" s="30"/>
      <c r="F283" s="30"/>
      <c r="G283" s="30"/>
      <c r="H283" s="159"/>
      <c r="L283" s="21">
        <v>1</v>
      </c>
    </row>
    <row r="284" spans="2:12" ht="18">
      <c r="B284" s="30"/>
      <c r="C284" s="30"/>
      <c r="D284" s="30"/>
      <c r="E284" s="30"/>
      <c r="F284" s="30"/>
      <c r="G284" s="30"/>
      <c r="H284" s="159"/>
      <c r="L284" s="21">
        <v>1</v>
      </c>
    </row>
    <row r="285" spans="2:12" ht="18">
      <c r="B285" s="30"/>
      <c r="C285" s="30"/>
      <c r="D285" s="30"/>
      <c r="E285" s="30"/>
      <c r="F285" s="30"/>
      <c r="G285" s="30"/>
      <c r="H285" s="159"/>
      <c r="L285" s="21">
        <v>1</v>
      </c>
    </row>
    <row r="286" spans="2:12" ht="18">
      <c r="B286" s="30"/>
      <c r="C286" s="30"/>
      <c r="D286" s="30"/>
      <c r="E286" s="30"/>
      <c r="F286" s="30"/>
      <c r="G286" s="30"/>
      <c r="H286" s="159"/>
      <c r="L286" s="21">
        <v>1</v>
      </c>
    </row>
    <row r="287" spans="2:12" ht="18">
      <c r="B287" s="30"/>
      <c r="C287" s="30"/>
      <c r="D287" s="30"/>
      <c r="E287" s="30"/>
      <c r="F287" s="30"/>
      <c r="G287" s="30"/>
      <c r="H287" s="159"/>
      <c r="L287" s="21">
        <v>1</v>
      </c>
    </row>
    <row r="288" spans="2:12" ht="18">
      <c r="B288" s="30"/>
      <c r="C288" s="30"/>
      <c r="D288" s="30"/>
      <c r="E288" s="30"/>
      <c r="F288" s="30"/>
      <c r="G288" s="30"/>
      <c r="H288" s="159"/>
      <c r="L288" s="21">
        <v>1</v>
      </c>
    </row>
    <row r="289" spans="2:12" ht="18">
      <c r="B289" s="30"/>
      <c r="C289" s="30"/>
      <c r="D289" s="30"/>
      <c r="E289" s="30"/>
      <c r="F289" s="30"/>
      <c r="G289" s="30"/>
      <c r="H289" s="159"/>
      <c r="L289" s="21">
        <v>1</v>
      </c>
    </row>
    <row r="290" spans="2:12" ht="18">
      <c r="B290" s="30"/>
      <c r="C290" s="30"/>
      <c r="D290" s="30"/>
      <c r="E290" s="30"/>
      <c r="F290" s="30"/>
      <c r="G290" s="30"/>
      <c r="H290" s="159"/>
      <c r="L290" s="21">
        <v>1</v>
      </c>
    </row>
    <row r="291" spans="2:12" ht="18">
      <c r="B291" s="30"/>
      <c r="C291" s="30"/>
      <c r="D291" s="30"/>
      <c r="E291" s="30"/>
      <c r="F291" s="30"/>
      <c r="G291" s="30"/>
      <c r="H291" s="159"/>
      <c r="L291" s="21">
        <v>1</v>
      </c>
    </row>
    <row r="292" spans="2:12" ht="18">
      <c r="B292" s="30"/>
      <c r="C292" s="30"/>
      <c r="D292" s="30"/>
      <c r="E292" s="30"/>
      <c r="F292" s="30"/>
      <c r="G292" s="30"/>
      <c r="H292" s="159"/>
      <c r="L292" s="21">
        <v>1</v>
      </c>
    </row>
    <row r="293" spans="2:12" ht="18">
      <c r="B293" s="30"/>
      <c r="C293" s="30"/>
      <c r="D293" s="30"/>
      <c r="E293" s="30"/>
      <c r="F293" s="30"/>
      <c r="G293" s="30"/>
      <c r="H293" s="159"/>
      <c r="L293" s="21">
        <v>1</v>
      </c>
    </row>
    <row r="294" spans="2:12" ht="18">
      <c r="B294" s="30"/>
      <c r="C294" s="30"/>
      <c r="D294" s="30"/>
      <c r="E294" s="30"/>
      <c r="F294" s="30"/>
      <c r="G294" s="30"/>
      <c r="H294" s="159"/>
      <c r="L294" s="21">
        <v>1</v>
      </c>
    </row>
    <row r="295" spans="2:12" ht="18">
      <c r="B295" s="30"/>
      <c r="C295" s="30"/>
      <c r="D295" s="30"/>
      <c r="E295" s="30"/>
      <c r="F295" s="30"/>
      <c r="G295" s="30"/>
      <c r="H295" s="159"/>
      <c r="L295" s="21">
        <v>1</v>
      </c>
    </row>
    <row r="296" spans="2:12" ht="18">
      <c r="B296" s="30"/>
      <c r="C296" s="30"/>
      <c r="D296" s="30"/>
      <c r="E296" s="30"/>
      <c r="F296" s="30"/>
      <c r="G296" s="30"/>
      <c r="H296" s="159"/>
      <c r="L296" s="21">
        <v>1</v>
      </c>
    </row>
    <row r="297" spans="2:12" ht="18">
      <c r="B297" s="30"/>
      <c r="C297" s="30"/>
      <c r="D297" s="30"/>
      <c r="E297" s="30"/>
      <c r="F297" s="30"/>
      <c r="G297" s="30"/>
      <c r="H297" s="159"/>
      <c r="L297" s="21">
        <v>1</v>
      </c>
    </row>
    <row r="298" spans="2:12" ht="18">
      <c r="B298" s="30"/>
      <c r="C298" s="30"/>
      <c r="D298" s="30"/>
      <c r="E298" s="30"/>
      <c r="F298" s="30"/>
      <c r="G298" s="30"/>
      <c r="H298" s="159"/>
      <c r="L298" s="21">
        <v>1</v>
      </c>
    </row>
    <row r="299" spans="2:12" ht="18">
      <c r="B299" s="30"/>
      <c r="C299" s="30"/>
      <c r="D299" s="30"/>
      <c r="E299" s="30"/>
      <c r="F299" s="30"/>
      <c r="G299" s="30"/>
      <c r="H299" s="159"/>
      <c r="L299" s="21">
        <v>1</v>
      </c>
    </row>
    <row r="300" spans="2:12" ht="18">
      <c r="B300" s="30"/>
      <c r="C300" s="30"/>
      <c r="D300" s="30"/>
      <c r="E300" s="30"/>
      <c r="F300" s="30"/>
      <c r="G300" s="30"/>
      <c r="H300" s="159"/>
      <c r="L300" s="21">
        <v>1</v>
      </c>
    </row>
    <row r="301" spans="2:12" ht="18">
      <c r="B301" s="30"/>
      <c r="C301" s="30"/>
      <c r="D301" s="30"/>
      <c r="E301" s="30"/>
      <c r="F301" s="30"/>
      <c r="G301" s="30"/>
      <c r="H301" s="159"/>
      <c r="L301" s="21">
        <v>1</v>
      </c>
    </row>
    <row r="302" spans="2:12" ht="18">
      <c r="B302" s="30"/>
      <c r="C302" s="30"/>
      <c r="D302" s="30"/>
      <c r="E302" s="30"/>
      <c r="F302" s="30"/>
      <c r="G302" s="30"/>
      <c r="H302" s="159"/>
      <c r="L302" s="21">
        <v>1</v>
      </c>
    </row>
    <row r="303" spans="2:12" ht="18">
      <c r="B303" s="30"/>
      <c r="C303" s="30"/>
      <c r="D303" s="30"/>
      <c r="E303" s="30"/>
      <c r="F303" s="30"/>
      <c r="G303" s="30"/>
      <c r="H303" s="159"/>
      <c r="L303" s="21">
        <v>1</v>
      </c>
    </row>
    <row r="304" spans="2:12" ht="18">
      <c r="B304" s="30"/>
      <c r="C304" s="30"/>
      <c r="D304" s="30"/>
      <c r="E304" s="30"/>
      <c r="F304" s="30"/>
      <c r="G304" s="30"/>
      <c r="H304" s="159"/>
      <c r="L304" s="21">
        <v>1</v>
      </c>
    </row>
    <row r="305" spans="2:12" ht="18">
      <c r="B305" s="30"/>
      <c r="C305" s="30"/>
      <c r="D305" s="30"/>
      <c r="E305" s="30"/>
      <c r="F305" s="30"/>
      <c r="G305" s="30"/>
      <c r="H305" s="159"/>
      <c r="L305" s="21">
        <v>1</v>
      </c>
    </row>
    <row r="306" spans="2:12" ht="18">
      <c r="B306" s="30"/>
      <c r="C306" s="30"/>
      <c r="D306" s="30"/>
      <c r="E306" s="30"/>
      <c r="F306" s="30"/>
      <c r="G306" s="30"/>
      <c r="H306" s="159"/>
      <c r="L306" s="21">
        <v>1</v>
      </c>
    </row>
    <row r="307" spans="2:12" ht="18">
      <c r="B307" s="30"/>
      <c r="C307" s="30"/>
      <c r="D307" s="30"/>
      <c r="E307" s="30"/>
      <c r="F307" s="30"/>
      <c r="G307" s="30"/>
      <c r="H307" s="159"/>
      <c r="L307" s="21">
        <v>1</v>
      </c>
    </row>
    <row r="308" spans="2:12" ht="18">
      <c r="B308" s="30"/>
      <c r="C308" s="30"/>
      <c r="D308" s="30"/>
      <c r="E308" s="30"/>
      <c r="F308" s="30"/>
      <c r="G308" s="30"/>
      <c r="H308" s="159"/>
      <c r="L308" s="21">
        <v>1</v>
      </c>
    </row>
    <row r="309" spans="2:12" ht="18">
      <c r="B309" s="30"/>
      <c r="C309" s="30"/>
      <c r="D309" s="30"/>
      <c r="E309" s="30"/>
      <c r="F309" s="30"/>
      <c r="G309" s="30"/>
      <c r="H309" s="159"/>
      <c r="L309" s="21">
        <v>1</v>
      </c>
    </row>
    <row r="310" spans="2:12" ht="18">
      <c r="B310" s="30"/>
      <c r="C310" s="30"/>
      <c r="D310" s="30"/>
      <c r="E310" s="30"/>
      <c r="F310" s="30"/>
      <c r="G310" s="30"/>
      <c r="H310" s="159"/>
      <c r="L310" s="21">
        <v>1</v>
      </c>
    </row>
    <row r="311" spans="2:12" ht="18">
      <c r="B311" s="30"/>
      <c r="C311" s="30"/>
      <c r="D311" s="30"/>
      <c r="E311" s="30"/>
      <c r="F311" s="30"/>
      <c r="G311" s="30"/>
      <c r="H311" s="159"/>
      <c r="L311" s="21">
        <v>1</v>
      </c>
    </row>
    <row r="312" spans="2:12" ht="18">
      <c r="B312" s="30"/>
      <c r="C312" s="30"/>
      <c r="D312" s="30"/>
      <c r="E312" s="30"/>
      <c r="F312" s="30"/>
      <c r="G312" s="30"/>
      <c r="H312" s="159"/>
      <c r="L312" s="21">
        <v>1</v>
      </c>
    </row>
    <row r="313" spans="2:12" ht="18">
      <c r="B313" s="30"/>
      <c r="C313" s="30"/>
      <c r="D313" s="30"/>
      <c r="E313" s="30"/>
      <c r="F313" s="30"/>
      <c r="G313" s="30"/>
      <c r="H313" s="159"/>
      <c r="L313" s="21">
        <v>1</v>
      </c>
    </row>
    <row r="314" spans="2:12" ht="18">
      <c r="B314" s="30"/>
      <c r="C314" s="30"/>
      <c r="D314" s="30"/>
      <c r="E314" s="30"/>
      <c r="F314" s="30"/>
      <c r="G314" s="30"/>
      <c r="H314" s="159"/>
      <c r="L314" s="21">
        <v>1</v>
      </c>
    </row>
    <row r="315" spans="2:12" ht="18">
      <c r="B315" s="30"/>
      <c r="C315" s="30"/>
      <c r="D315" s="30"/>
      <c r="E315" s="30"/>
      <c r="F315" s="30"/>
      <c r="G315" s="30"/>
      <c r="H315" s="159"/>
      <c r="L315" s="21">
        <v>1</v>
      </c>
    </row>
    <row r="316" spans="2:12" ht="18">
      <c r="B316" s="30"/>
      <c r="C316" s="30"/>
      <c r="D316" s="30"/>
      <c r="E316" s="30"/>
      <c r="F316" s="30"/>
      <c r="G316" s="30"/>
      <c r="H316" s="159"/>
      <c r="L316" s="21">
        <v>1</v>
      </c>
    </row>
    <row r="317" spans="2:12" ht="18">
      <c r="B317" s="30"/>
      <c r="C317" s="30"/>
      <c r="D317" s="30"/>
      <c r="E317" s="30"/>
      <c r="F317" s="30"/>
      <c r="G317" s="30"/>
      <c r="H317" s="159"/>
      <c r="L317" s="21">
        <v>1</v>
      </c>
    </row>
    <row r="318" spans="2:12" ht="18">
      <c r="B318" s="30"/>
      <c r="C318" s="30"/>
      <c r="D318" s="30"/>
      <c r="E318" s="30"/>
      <c r="F318" s="30"/>
      <c r="G318" s="30"/>
      <c r="H318" s="159"/>
      <c r="L318" s="21">
        <v>1</v>
      </c>
    </row>
    <row r="319" spans="2:12" ht="18">
      <c r="B319" s="30"/>
      <c r="C319" s="30"/>
      <c r="D319" s="30"/>
      <c r="E319" s="30"/>
      <c r="F319" s="30"/>
      <c r="G319" s="30"/>
      <c r="H319" s="159"/>
      <c r="L319" s="21">
        <v>1</v>
      </c>
    </row>
    <row r="320" spans="2:12" ht="18">
      <c r="B320" s="30"/>
      <c r="C320" s="30"/>
      <c r="D320" s="30"/>
      <c r="E320" s="30"/>
      <c r="F320" s="30"/>
      <c r="G320" s="30"/>
      <c r="H320" s="159"/>
      <c r="L320" s="21">
        <v>1</v>
      </c>
    </row>
    <row r="321" spans="2:12" ht="18">
      <c r="B321" s="30"/>
      <c r="C321" s="30"/>
      <c r="D321" s="30"/>
      <c r="E321" s="30"/>
      <c r="F321" s="30"/>
      <c r="G321" s="30"/>
      <c r="H321" s="159"/>
      <c r="L321" s="21">
        <v>1</v>
      </c>
    </row>
    <row r="322" spans="2:12" ht="18">
      <c r="B322" s="30"/>
      <c r="C322" s="30"/>
      <c r="D322" s="30"/>
      <c r="E322" s="30"/>
      <c r="F322" s="30"/>
      <c r="G322" s="30"/>
      <c r="H322" s="159"/>
      <c r="L322" s="21">
        <v>1</v>
      </c>
    </row>
    <row r="323" spans="2:12" ht="18">
      <c r="B323" s="30"/>
      <c r="C323" s="30"/>
      <c r="D323" s="30"/>
      <c r="E323" s="30"/>
      <c r="F323" s="30"/>
      <c r="G323" s="30"/>
      <c r="H323" s="159"/>
      <c r="L323" s="21">
        <v>1</v>
      </c>
    </row>
    <row r="324" spans="2:12" ht="18">
      <c r="B324" s="30"/>
      <c r="C324" s="30"/>
      <c r="D324" s="30"/>
      <c r="E324" s="30"/>
      <c r="F324" s="30"/>
      <c r="G324" s="30"/>
      <c r="H324" s="159"/>
      <c r="L324" s="21">
        <v>1</v>
      </c>
    </row>
    <row r="325" spans="2:12" ht="18">
      <c r="B325" s="30"/>
      <c r="C325" s="30"/>
      <c r="D325" s="30"/>
      <c r="E325" s="30"/>
      <c r="F325" s="30"/>
      <c r="G325" s="30"/>
      <c r="H325" s="159"/>
      <c r="L325" s="21">
        <v>1</v>
      </c>
    </row>
    <row r="326" spans="2:12" ht="18">
      <c r="B326" s="30"/>
      <c r="C326" s="30"/>
      <c r="D326" s="30"/>
      <c r="E326" s="30"/>
      <c r="F326" s="30"/>
      <c r="G326" s="30"/>
      <c r="H326" s="159"/>
      <c r="L326" s="21">
        <v>1</v>
      </c>
    </row>
    <row r="327" spans="2:12" ht="18">
      <c r="B327" s="30"/>
      <c r="C327" s="30"/>
      <c r="D327" s="30"/>
      <c r="E327" s="30"/>
      <c r="F327" s="30"/>
      <c r="G327" s="30"/>
      <c r="H327" s="159"/>
      <c r="L327" s="21">
        <v>1</v>
      </c>
    </row>
    <row r="328" spans="2:12" ht="18">
      <c r="B328" s="30"/>
      <c r="C328" s="30"/>
      <c r="D328" s="30"/>
      <c r="E328" s="30"/>
      <c r="F328" s="30"/>
      <c r="G328" s="30"/>
      <c r="H328" s="159"/>
      <c r="L328" s="21">
        <v>1</v>
      </c>
    </row>
    <row r="329" spans="2:12" ht="18">
      <c r="B329" s="30"/>
      <c r="C329" s="30"/>
      <c r="D329" s="30"/>
      <c r="E329" s="30"/>
      <c r="F329" s="30"/>
      <c r="G329" s="30"/>
      <c r="H329" s="159"/>
      <c r="L329" s="21">
        <v>1</v>
      </c>
    </row>
    <row r="330" spans="2:12" ht="18">
      <c r="B330" s="30"/>
      <c r="C330" s="30"/>
      <c r="D330" s="30"/>
      <c r="E330" s="30"/>
      <c r="F330" s="30"/>
      <c r="G330" s="30"/>
      <c r="H330" s="159"/>
      <c r="L330" s="21">
        <v>1</v>
      </c>
    </row>
    <row r="331" spans="2:12" ht="18">
      <c r="B331" s="30"/>
      <c r="C331" s="30"/>
      <c r="D331" s="30"/>
      <c r="E331" s="30"/>
      <c r="F331" s="30"/>
      <c r="G331" s="30"/>
      <c r="H331" s="159"/>
      <c r="L331" s="21">
        <v>1</v>
      </c>
    </row>
    <row r="332" spans="2:12" ht="18">
      <c r="B332" s="30"/>
      <c r="C332" s="30"/>
      <c r="D332" s="30"/>
      <c r="E332" s="30"/>
      <c r="F332" s="30"/>
      <c r="G332" s="30"/>
      <c r="H332" s="159"/>
      <c r="L332" s="21">
        <v>1</v>
      </c>
    </row>
    <row r="333" spans="2:12" ht="18">
      <c r="B333" s="30"/>
      <c r="C333" s="30"/>
      <c r="D333" s="30"/>
      <c r="E333" s="30"/>
      <c r="F333" s="30"/>
      <c r="G333" s="30"/>
      <c r="H333" s="159"/>
      <c r="L333" s="21">
        <v>1</v>
      </c>
    </row>
    <row r="334" spans="2:12" ht="18">
      <c r="B334" s="30"/>
      <c r="C334" s="30"/>
      <c r="D334" s="30"/>
      <c r="E334" s="30"/>
      <c r="F334" s="30"/>
      <c r="G334" s="30"/>
      <c r="H334" s="159"/>
      <c r="L334" s="21">
        <v>1</v>
      </c>
    </row>
    <row r="335" spans="2:12" ht="18">
      <c r="B335" s="30"/>
      <c r="C335" s="30"/>
      <c r="D335" s="30"/>
      <c r="E335" s="30"/>
      <c r="F335" s="30"/>
      <c r="G335" s="30"/>
      <c r="H335" s="159"/>
      <c r="L335" s="21">
        <v>1</v>
      </c>
    </row>
    <row r="336" spans="2:12" ht="18">
      <c r="B336" s="30"/>
      <c r="C336" s="30"/>
      <c r="D336" s="30"/>
      <c r="E336" s="30"/>
      <c r="F336" s="30"/>
      <c r="G336" s="30"/>
      <c r="H336" s="159"/>
      <c r="L336" s="21">
        <v>1</v>
      </c>
    </row>
    <row r="337" spans="2:12" ht="18">
      <c r="B337" s="30"/>
      <c r="C337" s="30"/>
      <c r="D337" s="30"/>
      <c r="E337" s="30"/>
      <c r="F337" s="30"/>
      <c r="G337" s="30"/>
      <c r="H337" s="159"/>
      <c r="L337" s="21">
        <v>1</v>
      </c>
    </row>
    <row r="338" spans="2:12" ht="18">
      <c r="B338" s="30"/>
      <c r="C338" s="30"/>
      <c r="D338" s="30"/>
      <c r="E338" s="30"/>
      <c r="F338" s="30"/>
      <c r="G338" s="30"/>
      <c r="H338" s="159"/>
      <c r="L338" s="21">
        <v>1</v>
      </c>
    </row>
    <row r="339" spans="2:12" ht="18">
      <c r="B339" s="30"/>
      <c r="C339" s="30"/>
      <c r="D339" s="30"/>
      <c r="E339" s="30"/>
      <c r="F339" s="30"/>
      <c r="G339" s="30"/>
      <c r="H339" s="159"/>
      <c r="L339" s="21">
        <v>1</v>
      </c>
    </row>
    <row r="340" spans="2:12" ht="18">
      <c r="B340" s="30"/>
      <c r="C340" s="30"/>
      <c r="D340" s="30"/>
      <c r="E340" s="30"/>
      <c r="F340" s="30"/>
      <c r="G340" s="30"/>
      <c r="H340" s="159"/>
      <c r="L340" s="21">
        <v>1</v>
      </c>
    </row>
    <row r="341" spans="2:12" ht="18">
      <c r="B341" s="30"/>
      <c r="C341" s="30"/>
      <c r="D341" s="30"/>
      <c r="E341" s="30"/>
      <c r="F341" s="30"/>
      <c r="G341" s="30"/>
      <c r="H341" s="159"/>
      <c r="L341" s="21">
        <v>1</v>
      </c>
    </row>
    <row r="342" spans="2:12" ht="18">
      <c r="B342" s="30"/>
      <c r="C342" s="30"/>
      <c r="D342" s="30"/>
      <c r="E342" s="30"/>
      <c r="F342" s="30"/>
      <c r="G342" s="30"/>
      <c r="H342" s="159"/>
      <c r="L342" s="21">
        <v>1</v>
      </c>
    </row>
    <row r="343" spans="2:12" ht="18">
      <c r="B343" s="30"/>
      <c r="C343" s="30"/>
      <c r="D343" s="30"/>
      <c r="E343" s="30"/>
      <c r="F343" s="30"/>
      <c r="G343" s="30"/>
      <c r="H343" s="159"/>
      <c r="L343" s="21">
        <v>1</v>
      </c>
    </row>
    <row r="344" spans="2:12" ht="18">
      <c r="B344" s="30"/>
      <c r="C344" s="30"/>
      <c r="D344" s="30"/>
      <c r="E344" s="30"/>
      <c r="F344" s="30"/>
      <c r="G344" s="30"/>
      <c r="H344" s="159"/>
      <c r="L344" s="21">
        <v>1</v>
      </c>
    </row>
    <row r="345" spans="2:12" ht="18">
      <c r="B345" s="30"/>
      <c r="C345" s="30"/>
      <c r="D345" s="30"/>
      <c r="E345" s="30"/>
      <c r="F345" s="30"/>
      <c r="G345" s="30"/>
      <c r="H345" s="159"/>
      <c r="L345" s="21">
        <v>1</v>
      </c>
    </row>
    <row r="346" spans="2:12" ht="18">
      <c r="B346" s="30"/>
      <c r="C346" s="30"/>
      <c r="D346" s="30"/>
      <c r="E346" s="30"/>
      <c r="F346" s="30"/>
      <c r="G346" s="30"/>
      <c r="H346" s="159"/>
      <c r="L346" s="21">
        <v>1</v>
      </c>
    </row>
    <row r="347" spans="2:12" ht="18">
      <c r="B347" s="30"/>
      <c r="C347" s="30"/>
      <c r="D347" s="30"/>
      <c r="E347" s="30"/>
      <c r="F347" s="30"/>
      <c r="G347" s="30"/>
      <c r="H347" s="159"/>
      <c r="L347" s="21">
        <v>1</v>
      </c>
    </row>
    <row r="348" spans="2:12" ht="18">
      <c r="B348" s="30"/>
      <c r="C348" s="30"/>
      <c r="D348" s="30"/>
      <c r="E348" s="30"/>
      <c r="F348" s="30"/>
      <c r="G348" s="30"/>
      <c r="H348" s="159"/>
      <c r="L348" s="21">
        <v>1</v>
      </c>
    </row>
    <row r="349" spans="2:12" ht="18">
      <c r="B349" s="30"/>
      <c r="C349" s="30"/>
      <c r="D349" s="30"/>
      <c r="E349" s="30"/>
      <c r="F349" s="30"/>
      <c r="G349" s="30"/>
      <c r="H349" s="159"/>
      <c r="L349" s="21">
        <v>1</v>
      </c>
    </row>
    <row r="350" spans="2:12" ht="18">
      <c r="B350" s="30"/>
      <c r="C350" s="30"/>
      <c r="D350" s="30"/>
      <c r="E350" s="30"/>
      <c r="F350" s="30"/>
      <c r="G350" s="30"/>
      <c r="H350" s="159"/>
      <c r="L350" s="21">
        <v>1</v>
      </c>
    </row>
    <row r="351" spans="2:12" ht="18">
      <c r="B351" s="30"/>
      <c r="C351" s="30"/>
      <c r="D351" s="30"/>
      <c r="E351" s="30"/>
      <c r="F351" s="30"/>
      <c r="G351" s="30"/>
      <c r="H351" s="159"/>
      <c r="L351" s="21">
        <v>1</v>
      </c>
    </row>
    <row r="352" spans="2:12" ht="18">
      <c r="B352" s="30"/>
      <c r="C352" s="30"/>
      <c r="D352" s="30"/>
      <c r="E352" s="30"/>
      <c r="F352" s="30"/>
      <c r="G352" s="30"/>
      <c r="H352" s="159"/>
      <c r="L352" s="21">
        <v>1</v>
      </c>
    </row>
    <row r="353" spans="2:12" ht="18">
      <c r="B353" s="30"/>
      <c r="C353" s="30"/>
      <c r="D353" s="30"/>
      <c r="E353" s="30"/>
      <c r="F353" s="30"/>
      <c r="G353" s="30"/>
      <c r="H353" s="159"/>
      <c r="L353" s="21">
        <v>1</v>
      </c>
    </row>
    <row r="354" spans="2:12" ht="18">
      <c r="B354" s="30"/>
      <c r="C354" s="30"/>
      <c r="D354" s="30"/>
      <c r="E354" s="30"/>
      <c r="F354" s="30"/>
      <c r="G354" s="30"/>
      <c r="H354" s="159"/>
      <c r="L354" s="21">
        <v>1</v>
      </c>
    </row>
    <row r="355" spans="2:12" ht="18">
      <c r="B355" s="30"/>
      <c r="C355" s="30"/>
      <c r="D355" s="30"/>
      <c r="E355" s="30"/>
      <c r="F355" s="30"/>
      <c r="G355" s="30"/>
      <c r="H355" s="159"/>
      <c r="L355" s="21">
        <v>1</v>
      </c>
    </row>
    <row r="356" spans="2:12" ht="18">
      <c r="B356" s="30"/>
      <c r="C356" s="30"/>
      <c r="D356" s="30"/>
      <c r="E356" s="30"/>
      <c r="F356" s="30"/>
      <c r="G356" s="30"/>
      <c r="H356" s="159"/>
      <c r="L356" s="21">
        <v>1</v>
      </c>
    </row>
    <row r="357" spans="2:12" ht="18">
      <c r="B357" s="30"/>
      <c r="C357" s="30"/>
      <c r="D357" s="30"/>
      <c r="E357" s="30"/>
      <c r="F357" s="30"/>
      <c r="G357" s="30"/>
      <c r="H357" s="159"/>
      <c r="L357" s="21">
        <v>1</v>
      </c>
    </row>
    <row r="358" spans="2:12" ht="18">
      <c r="B358" s="30"/>
      <c r="C358" s="30"/>
      <c r="D358" s="30"/>
      <c r="E358" s="30"/>
      <c r="F358" s="30"/>
      <c r="G358" s="30"/>
      <c r="H358" s="159"/>
      <c r="L358" s="21">
        <v>1</v>
      </c>
    </row>
    <row r="359" spans="2:12" ht="18">
      <c r="B359" s="30"/>
      <c r="C359" s="30"/>
      <c r="D359" s="30"/>
      <c r="E359" s="30"/>
      <c r="F359" s="30"/>
      <c r="G359" s="30"/>
      <c r="H359" s="159"/>
      <c r="L359" s="21">
        <v>1</v>
      </c>
    </row>
    <row r="360" spans="2:12" ht="18">
      <c r="B360" s="30"/>
      <c r="C360" s="30"/>
      <c r="D360" s="30"/>
      <c r="E360" s="30"/>
      <c r="F360" s="30"/>
      <c r="G360" s="30"/>
      <c r="H360" s="159"/>
      <c r="L360" s="21">
        <v>1</v>
      </c>
    </row>
    <row r="361" spans="2:12" ht="18">
      <c r="B361" s="30"/>
      <c r="C361" s="30"/>
      <c r="D361" s="30"/>
      <c r="E361" s="30"/>
      <c r="F361" s="30"/>
      <c r="G361" s="30"/>
      <c r="H361" s="159"/>
      <c r="L361" s="21">
        <v>1</v>
      </c>
    </row>
    <row r="362" spans="2:12" ht="18">
      <c r="B362" s="30"/>
      <c r="C362" s="30"/>
      <c r="D362" s="30"/>
      <c r="E362" s="30"/>
      <c r="F362" s="30"/>
      <c r="G362" s="30"/>
      <c r="H362" s="159"/>
      <c r="L362" s="21">
        <v>1</v>
      </c>
    </row>
    <row r="363" spans="2:12" ht="18">
      <c r="B363" s="30"/>
      <c r="C363" s="30"/>
      <c r="D363" s="30"/>
      <c r="E363" s="30"/>
      <c r="F363" s="30"/>
      <c r="G363" s="30"/>
      <c r="H363" s="159"/>
      <c r="L363" s="21">
        <v>1</v>
      </c>
    </row>
    <row r="364" spans="2:12" ht="18">
      <c r="B364" s="30"/>
      <c r="C364" s="30"/>
      <c r="D364" s="30"/>
      <c r="E364" s="30"/>
      <c r="F364" s="30"/>
      <c r="G364" s="30"/>
      <c r="H364" s="159"/>
      <c r="L364" s="21">
        <v>1</v>
      </c>
    </row>
    <row r="365" spans="2:12" ht="18">
      <c r="B365" s="30"/>
      <c r="C365" s="30"/>
      <c r="D365" s="30"/>
      <c r="E365" s="30"/>
      <c r="F365" s="30"/>
      <c r="G365" s="30"/>
      <c r="H365" s="159"/>
      <c r="L365" s="21">
        <v>1</v>
      </c>
    </row>
    <row r="366" spans="2:12" ht="18">
      <c r="B366" s="30"/>
      <c r="C366" s="30"/>
      <c r="D366" s="30"/>
      <c r="E366" s="30"/>
      <c r="F366" s="30"/>
      <c r="G366" s="30"/>
      <c r="H366" s="159"/>
      <c r="L366" s="21">
        <v>1</v>
      </c>
    </row>
    <row r="367" spans="2:12" ht="18">
      <c r="B367" s="30"/>
      <c r="C367" s="30"/>
      <c r="D367" s="30"/>
      <c r="E367" s="30"/>
      <c r="F367" s="30"/>
      <c r="G367" s="30"/>
      <c r="H367" s="159"/>
      <c r="L367" s="21">
        <v>1</v>
      </c>
    </row>
    <row r="368" spans="2:12" ht="18">
      <c r="B368" s="30"/>
      <c r="C368" s="30"/>
      <c r="D368" s="30"/>
      <c r="E368" s="30"/>
      <c r="F368" s="30"/>
      <c r="G368" s="30"/>
      <c r="H368" s="159"/>
      <c r="L368" s="21">
        <v>1</v>
      </c>
    </row>
    <row r="369" spans="2:12" ht="18">
      <c r="B369" s="30"/>
      <c r="C369" s="30"/>
      <c r="D369" s="30"/>
      <c r="E369" s="30"/>
      <c r="F369" s="30"/>
      <c r="G369" s="30"/>
      <c r="H369" s="159"/>
      <c r="L369" s="21">
        <v>1</v>
      </c>
    </row>
    <row r="370" spans="2:12" ht="18">
      <c r="B370" s="30"/>
      <c r="C370" s="30"/>
      <c r="D370" s="30"/>
      <c r="E370" s="30"/>
      <c r="F370" s="30"/>
      <c r="G370" s="30"/>
      <c r="H370" s="159"/>
      <c r="L370" s="21">
        <v>1</v>
      </c>
    </row>
    <row r="371" spans="2:12" ht="18">
      <c r="B371" s="30"/>
      <c r="C371" s="30"/>
      <c r="D371" s="30"/>
      <c r="E371" s="30"/>
      <c r="F371" s="30"/>
      <c r="G371" s="30"/>
      <c r="H371" s="159"/>
      <c r="L371" s="21">
        <v>1</v>
      </c>
    </row>
    <row r="372" spans="2:12" ht="18">
      <c r="B372" s="30"/>
      <c r="C372" s="30"/>
      <c r="D372" s="30"/>
      <c r="E372" s="30"/>
      <c r="F372" s="30"/>
      <c r="G372" s="30"/>
      <c r="H372" s="159"/>
      <c r="L372" s="21">
        <v>1</v>
      </c>
    </row>
    <row r="373" spans="2:12" ht="18">
      <c r="B373" s="30"/>
      <c r="C373" s="30"/>
      <c r="D373" s="30"/>
      <c r="E373" s="30"/>
      <c r="F373" s="30"/>
      <c r="G373" s="30"/>
      <c r="H373" s="159"/>
      <c r="L373" s="21">
        <v>1</v>
      </c>
    </row>
    <row r="374" spans="2:12" ht="18">
      <c r="B374" s="30"/>
      <c r="C374" s="30"/>
      <c r="D374" s="30"/>
      <c r="E374" s="30"/>
      <c r="F374" s="30"/>
      <c r="G374" s="30"/>
      <c r="H374" s="159"/>
      <c r="L374" s="21">
        <v>1</v>
      </c>
    </row>
    <row r="375" spans="2:12" ht="18">
      <c r="B375" s="30"/>
      <c r="C375" s="30"/>
      <c r="D375" s="30"/>
      <c r="E375" s="30"/>
      <c r="F375" s="30"/>
      <c r="G375" s="30"/>
      <c r="H375" s="159"/>
      <c r="L375" s="21">
        <v>1</v>
      </c>
    </row>
    <row r="376" spans="2:12" ht="18">
      <c r="B376" s="30"/>
      <c r="C376" s="30"/>
      <c r="D376" s="30"/>
      <c r="E376" s="30"/>
      <c r="F376" s="30"/>
      <c r="G376" s="30"/>
      <c r="H376" s="159"/>
      <c r="L376" s="21">
        <v>1</v>
      </c>
    </row>
    <row r="377" spans="2:12" ht="18">
      <c r="B377" s="30"/>
      <c r="C377" s="30"/>
      <c r="D377" s="30"/>
      <c r="E377" s="30"/>
      <c r="F377" s="30"/>
      <c r="G377" s="30"/>
      <c r="H377" s="159"/>
      <c r="L377" s="21">
        <v>1</v>
      </c>
    </row>
    <row r="378" spans="2:12" ht="18">
      <c r="B378" s="30"/>
      <c r="C378" s="30"/>
      <c r="D378" s="30"/>
      <c r="E378" s="30"/>
      <c r="F378" s="30"/>
      <c r="G378" s="30"/>
      <c r="H378" s="159"/>
      <c r="L378" s="21">
        <v>1</v>
      </c>
    </row>
    <row r="379" spans="2:12" ht="18">
      <c r="B379" s="30"/>
      <c r="C379" s="30"/>
      <c r="D379" s="30"/>
      <c r="E379" s="30"/>
      <c r="F379" s="30"/>
      <c r="G379" s="30"/>
      <c r="H379" s="159"/>
      <c r="L379" s="21">
        <v>1</v>
      </c>
    </row>
    <row r="380" spans="2:12" ht="18">
      <c r="B380" s="30"/>
      <c r="C380" s="30"/>
      <c r="D380" s="30"/>
      <c r="E380" s="30"/>
      <c r="F380" s="30"/>
      <c r="G380" s="30"/>
      <c r="H380" s="159"/>
      <c r="L380" s="21">
        <v>1</v>
      </c>
    </row>
    <row r="381" spans="2:12" ht="18">
      <c r="B381" s="30"/>
      <c r="C381" s="30"/>
      <c r="D381" s="30"/>
      <c r="E381" s="30"/>
      <c r="F381" s="30"/>
      <c r="G381" s="30"/>
      <c r="H381" s="159"/>
      <c r="L381" s="21">
        <v>1</v>
      </c>
    </row>
    <row r="382" spans="2:12" ht="18">
      <c r="B382" s="30"/>
      <c r="C382" s="30"/>
      <c r="D382" s="30"/>
      <c r="E382" s="30"/>
      <c r="F382" s="30"/>
      <c r="G382" s="30"/>
      <c r="H382" s="159"/>
      <c r="L382" s="21">
        <v>1</v>
      </c>
    </row>
    <row r="383" spans="2:12" ht="18">
      <c r="B383" s="30"/>
      <c r="C383" s="30"/>
      <c r="D383" s="30"/>
      <c r="E383" s="30"/>
      <c r="F383" s="30"/>
      <c r="G383" s="30"/>
      <c r="H383" s="159"/>
      <c r="L383" s="21">
        <v>1</v>
      </c>
    </row>
    <row r="384" spans="2:12" ht="18">
      <c r="B384" s="30"/>
      <c r="C384" s="30"/>
      <c r="D384" s="30"/>
      <c r="E384" s="30"/>
      <c r="F384" s="30"/>
      <c r="G384" s="30"/>
      <c r="H384" s="159"/>
      <c r="L384" s="21">
        <v>1</v>
      </c>
    </row>
    <row r="385" spans="2:12" ht="18">
      <c r="B385" s="30"/>
      <c r="C385" s="30"/>
      <c r="D385" s="30"/>
      <c r="E385" s="30"/>
      <c r="F385" s="30"/>
      <c r="G385" s="30"/>
      <c r="H385" s="159"/>
      <c r="L385" s="21">
        <v>1</v>
      </c>
    </row>
    <row r="386" spans="2:12" ht="18">
      <c r="B386" s="30"/>
      <c r="C386" s="30"/>
      <c r="D386" s="30"/>
      <c r="E386" s="30"/>
      <c r="F386" s="30"/>
      <c r="G386" s="30"/>
      <c r="H386" s="159"/>
      <c r="L386" s="21">
        <v>1</v>
      </c>
    </row>
    <row r="387" spans="2:12" ht="18">
      <c r="B387" s="30"/>
      <c r="C387" s="30"/>
      <c r="D387" s="30"/>
      <c r="E387" s="30"/>
      <c r="F387" s="30"/>
      <c r="G387" s="30"/>
      <c r="H387" s="159"/>
      <c r="L387" s="21">
        <v>1</v>
      </c>
    </row>
    <row r="388" spans="2:12" ht="18">
      <c r="B388" s="30"/>
      <c r="C388" s="30"/>
      <c r="D388" s="30"/>
      <c r="E388" s="30"/>
      <c r="F388" s="30"/>
      <c r="G388" s="30"/>
      <c r="H388" s="159"/>
      <c r="L388" s="21">
        <v>1</v>
      </c>
    </row>
    <row r="389" spans="2:12" ht="18">
      <c r="B389" s="30"/>
      <c r="C389" s="30"/>
      <c r="D389" s="30"/>
      <c r="E389" s="30"/>
      <c r="F389" s="30"/>
      <c r="G389" s="30"/>
      <c r="H389" s="159"/>
      <c r="L389" s="21">
        <v>1</v>
      </c>
    </row>
    <row r="390" spans="2:12" ht="18">
      <c r="B390" s="30"/>
      <c r="C390" s="30"/>
      <c r="D390" s="30"/>
      <c r="E390" s="30"/>
      <c r="F390" s="30"/>
      <c r="G390" s="30"/>
      <c r="H390" s="159"/>
      <c r="L390" s="21">
        <v>1</v>
      </c>
    </row>
    <row r="391" spans="2:12" ht="18">
      <c r="B391" s="30"/>
      <c r="C391" s="30"/>
      <c r="D391" s="30"/>
      <c r="E391" s="30"/>
      <c r="F391" s="30"/>
      <c r="G391" s="30"/>
      <c r="H391" s="159"/>
      <c r="L391" s="21">
        <v>1</v>
      </c>
    </row>
    <row r="392" spans="2:12" ht="18">
      <c r="B392" s="30"/>
      <c r="C392" s="30"/>
      <c r="D392" s="30"/>
      <c r="E392" s="30"/>
      <c r="F392" s="30"/>
      <c r="G392" s="30"/>
      <c r="H392" s="159"/>
      <c r="L392" s="21">
        <v>1</v>
      </c>
    </row>
    <row r="393" spans="2:12" ht="18">
      <c r="B393" s="30"/>
      <c r="C393" s="30"/>
      <c r="D393" s="30"/>
      <c r="E393" s="30"/>
      <c r="F393" s="30"/>
      <c r="G393" s="30"/>
      <c r="H393" s="159"/>
      <c r="L393" s="21">
        <v>1</v>
      </c>
    </row>
    <row r="394" spans="2:12" ht="18">
      <c r="B394" s="30"/>
      <c r="C394" s="30"/>
      <c r="D394" s="30"/>
      <c r="E394" s="30"/>
      <c r="F394" s="30"/>
      <c r="G394" s="30"/>
      <c r="H394" s="159"/>
      <c r="L394" s="21">
        <v>1</v>
      </c>
    </row>
    <row r="395" spans="2:12" ht="18">
      <c r="B395" s="30"/>
      <c r="C395" s="30"/>
      <c r="D395" s="30"/>
      <c r="E395" s="30"/>
      <c r="F395" s="30"/>
      <c r="G395" s="30"/>
      <c r="H395" s="159"/>
      <c r="L395" s="21">
        <v>1</v>
      </c>
    </row>
    <row r="396" spans="2:12" ht="18">
      <c r="B396" s="30"/>
      <c r="C396" s="30"/>
      <c r="D396" s="30"/>
      <c r="E396" s="30"/>
      <c r="F396" s="30"/>
      <c r="G396" s="30"/>
      <c r="H396" s="159"/>
      <c r="L396" s="21">
        <v>1</v>
      </c>
    </row>
    <row r="397" spans="2:12" ht="18">
      <c r="B397" s="30"/>
      <c r="C397" s="30"/>
      <c r="D397" s="30"/>
      <c r="E397" s="30"/>
      <c r="F397" s="30"/>
      <c r="G397" s="30"/>
      <c r="H397" s="159"/>
      <c r="L397" s="21">
        <v>1</v>
      </c>
    </row>
    <row r="398" spans="2:12" ht="18">
      <c r="B398" s="30"/>
      <c r="C398" s="30"/>
      <c r="D398" s="30"/>
      <c r="E398" s="30"/>
      <c r="F398" s="30"/>
      <c r="G398" s="30"/>
      <c r="H398" s="159"/>
      <c r="L398" s="21">
        <v>1</v>
      </c>
    </row>
    <row r="399" spans="2:12" ht="18">
      <c r="B399" s="30"/>
      <c r="C399" s="30"/>
      <c r="D399" s="30"/>
      <c r="E399" s="30"/>
      <c r="F399" s="30"/>
      <c r="G399" s="30"/>
      <c r="H399" s="159"/>
      <c r="L399" s="21">
        <v>1</v>
      </c>
    </row>
    <row r="400" spans="2:12" ht="18">
      <c r="B400" s="30"/>
      <c r="C400" s="30"/>
      <c r="D400" s="30"/>
      <c r="E400" s="30"/>
      <c r="F400" s="30"/>
      <c r="G400" s="30"/>
      <c r="H400" s="159"/>
      <c r="L400" s="21">
        <v>1</v>
      </c>
    </row>
    <row r="401" spans="2:12" ht="18">
      <c r="B401" s="30"/>
      <c r="C401" s="30"/>
      <c r="D401" s="30"/>
      <c r="E401" s="30"/>
      <c r="F401" s="30"/>
      <c r="G401" s="30"/>
      <c r="H401" s="159"/>
      <c r="L401" s="21">
        <v>1</v>
      </c>
    </row>
    <row r="402" spans="2:12" ht="18">
      <c r="B402" s="30"/>
      <c r="C402" s="30"/>
      <c r="D402" s="30"/>
      <c r="E402" s="30"/>
      <c r="F402" s="30"/>
      <c r="G402" s="30"/>
      <c r="H402" s="159"/>
      <c r="L402" s="21">
        <v>1</v>
      </c>
    </row>
    <row r="403" spans="2:12" ht="18">
      <c r="B403" s="30"/>
      <c r="C403" s="30"/>
      <c r="D403" s="30"/>
      <c r="E403" s="30"/>
      <c r="F403" s="30"/>
      <c r="G403" s="30"/>
      <c r="H403" s="159"/>
      <c r="L403" s="21">
        <v>1</v>
      </c>
    </row>
    <row r="404" spans="2:12" ht="18">
      <c r="B404" s="30"/>
      <c r="C404" s="30"/>
      <c r="D404" s="30"/>
      <c r="E404" s="30"/>
      <c r="F404" s="30"/>
      <c r="G404" s="30"/>
      <c r="H404" s="159"/>
      <c r="L404" s="21">
        <v>1</v>
      </c>
    </row>
    <row r="405" spans="2:12" ht="18">
      <c r="B405" s="30"/>
      <c r="C405" s="30"/>
      <c r="D405" s="30"/>
      <c r="E405" s="30"/>
      <c r="F405" s="30"/>
      <c r="G405" s="30"/>
      <c r="H405" s="159"/>
      <c r="L405" s="21">
        <v>1</v>
      </c>
    </row>
    <row r="406" spans="2:12" ht="18">
      <c r="B406" s="30"/>
      <c r="C406" s="30"/>
      <c r="D406" s="30"/>
      <c r="E406" s="30"/>
      <c r="F406" s="30"/>
      <c r="G406" s="30"/>
      <c r="H406" s="159"/>
      <c r="L406" s="21">
        <v>1</v>
      </c>
    </row>
    <row r="407" spans="2:12" ht="18">
      <c r="B407" s="30"/>
      <c r="C407" s="30"/>
      <c r="D407" s="30"/>
      <c r="E407" s="30"/>
      <c r="F407" s="30"/>
      <c r="G407" s="30"/>
      <c r="H407" s="159"/>
      <c r="L407" s="21">
        <v>1</v>
      </c>
    </row>
    <row r="408" spans="2:12" ht="18">
      <c r="B408" s="30"/>
      <c r="C408" s="30"/>
      <c r="D408" s="30"/>
      <c r="E408" s="30"/>
      <c r="F408" s="30"/>
      <c r="G408" s="30"/>
      <c r="H408" s="159"/>
      <c r="L408" s="21">
        <v>1</v>
      </c>
    </row>
    <row r="409" spans="2:12" ht="18">
      <c r="B409" s="30"/>
      <c r="C409" s="30"/>
      <c r="D409" s="30"/>
      <c r="E409" s="30"/>
      <c r="F409" s="30"/>
      <c r="G409" s="30"/>
      <c r="H409" s="159"/>
      <c r="L409" s="21">
        <v>1</v>
      </c>
    </row>
    <row r="410" spans="2:12" ht="18">
      <c r="B410" s="30"/>
      <c r="C410" s="30"/>
      <c r="D410" s="30"/>
      <c r="E410" s="30"/>
      <c r="F410" s="30"/>
      <c r="G410" s="30"/>
      <c r="H410" s="159"/>
      <c r="L410" s="21">
        <v>1</v>
      </c>
    </row>
    <row r="411" spans="2:12" ht="18">
      <c r="B411" s="30"/>
      <c r="C411" s="30"/>
      <c r="D411" s="30"/>
      <c r="E411" s="30"/>
      <c r="F411" s="30"/>
      <c r="G411" s="30"/>
      <c r="H411" s="159"/>
      <c r="L411" s="21">
        <v>1</v>
      </c>
    </row>
    <row r="412" spans="2:12" ht="18">
      <c r="B412" s="30"/>
      <c r="C412" s="30"/>
      <c r="D412" s="30"/>
      <c r="E412" s="30"/>
      <c r="F412" s="30"/>
      <c r="G412" s="30"/>
      <c r="H412" s="159"/>
      <c r="L412" s="21">
        <v>1</v>
      </c>
    </row>
    <row r="413" spans="2:12" ht="18">
      <c r="B413" s="30"/>
      <c r="C413" s="30"/>
      <c r="D413" s="30"/>
      <c r="E413" s="30"/>
      <c r="F413" s="30"/>
      <c r="G413" s="30"/>
      <c r="H413" s="159"/>
      <c r="L413" s="21">
        <v>1</v>
      </c>
    </row>
    <row r="414" spans="2:12" ht="18">
      <c r="B414" s="30"/>
      <c r="C414" s="30"/>
      <c r="D414" s="30"/>
      <c r="E414" s="30"/>
      <c r="F414" s="30"/>
      <c r="G414" s="30"/>
      <c r="H414" s="159"/>
      <c r="L414" s="21">
        <v>1</v>
      </c>
    </row>
    <row r="415" spans="2:12" ht="18">
      <c r="B415" s="30"/>
      <c r="C415" s="30"/>
      <c r="D415" s="30"/>
      <c r="E415" s="30"/>
      <c r="F415" s="30"/>
      <c r="G415" s="30"/>
      <c r="H415" s="159"/>
      <c r="L415" s="21">
        <v>1</v>
      </c>
    </row>
    <row r="416" spans="2:12" ht="18">
      <c r="B416" s="30"/>
      <c r="C416" s="30"/>
      <c r="D416" s="30"/>
      <c r="E416" s="30"/>
      <c r="F416" s="30"/>
      <c r="G416" s="30"/>
      <c r="H416" s="159"/>
      <c r="L416" s="21">
        <v>1</v>
      </c>
    </row>
    <row r="417" spans="2:12" ht="18">
      <c r="B417" s="30"/>
      <c r="C417" s="30"/>
      <c r="D417" s="30"/>
      <c r="E417" s="30"/>
      <c r="F417" s="30"/>
      <c r="G417" s="30"/>
      <c r="H417" s="159"/>
      <c r="L417" s="21">
        <v>1</v>
      </c>
    </row>
    <row r="418" spans="2:12" ht="18">
      <c r="B418" s="30"/>
      <c r="C418" s="30"/>
      <c r="D418" s="30"/>
      <c r="E418" s="30"/>
      <c r="F418" s="30"/>
      <c r="G418" s="30"/>
      <c r="H418" s="159"/>
      <c r="L418" s="21">
        <v>1</v>
      </c>
    </row>
    <row r="419" spans="2:12" ht="18">
      <c r="B419" s="30"/>
      <c r="C419" s="30"/>
      <c r="D419" s="30"/>
      <c r="E419" s="30"/>
      <c r="F419" s="30"/>
      <c r="G419" s="30"/>
      <c r="H419" s="159"/>
      <c r="L419" s="21">
        <v>1</v>
      </c>
    </row>
    <row r="420" spans="2:12" ht="18">
      <c r="B420" s="30"/>
      <c r="C420" s="30"/>
      <c r="D420" s="30"/>
      <c r="E420" s="30"/>
      <c r="F420" s="30"/>
      <c r="G420" s="30"/>
      <c r="H420" s="159"/>
      <c r="L420" s="21">
        <v>1</v>
      </c>
    </row>
    <row r="421" spans="2:12" ht="18">
      <c r="B421" s="30"/>
      <c r="C421" s="30"/>
      <c r="D421" s="30"/>
      <c r="E421" s="30"/>
      <c r="F421" s="30"/>
      <c r="G421" s="30"/>
      <c r="H421" s="159"/>
      <c r="L421" s="21">
        <v>1</v>
      </c>
    </row>
    <row r="422" spans="2:12" ht="18">
      <c r="B422" s="30"/>
      <c r="C422" s="30"/>
      <c r="D422" s="30"/>
      <c r="E422" s="30"/>
      <c r="F422" s="30"/>
      <c r="G422" s="30"/>
      <c r="H422" s="159"/>
      <c r="L422" s="21">
        <v>1</v>
      </c>
    </row>
    <row r="423" spans="2:12" ht="18">
      <c r="B423" s="30"/>
      <c r="C423" s="30"/>
      <c r="D423" s="30"/>
      <c r="E423" s="30"/>
      <c r="F423" s="30"/>
      <c r="G423" s="30"/>
      <c r="H423" s="159"/>
      <c r="L423" s="21">
        <v>1</v>
      </c>
    </row>
    <row r="424" spans="2:12" ht="18">
      <c r="B424" s="30"/>
      <c r="C424" s="30"/>
      <c r="D424" s="30"/>
      <c r="E424" s="30"/>
      <c r="F424" s="30"/>
      <c r="G424" s="30"/>
      <c r="H424" s="159"/>
      <c r="L424" s="21">
        <v>1</v>
      </c>
    </row>
    <row r="425" spans="2:12" ht="18">
      <c r="B425" s="30"/>
      <c r="C425" s="30"/>
      <c r="D425" s="30"/>
      <c r="E425" s="30"/>
      <c r="F425" s="30"/>
      <c r="G425" s="30"/>
      <c r="H425" s="159"/>
      <c r="L425" s="21">
        <v>1</v>
      </c>
    </row>
    <row r="426" spans="2:12" ht="18">
      <c r="B426" s="30"/>
      <c r="C426" s="30"/>
      <c r="D426" s="30"/>
      <c r="E426" s="30"/>
      <c r="F426" s="30"/>
      <c r="G426" s="30"/>
      <c r="H426" s="159"/>
      <c r="L426" s="21">
        <v>1</v>
      </c>
    </row>
    <row r="427" spans="2:12" ht="18">
      <c r="B427" s="30"/>
      <c r="C427" s="30"/>
      <c r="D427" s="30"/>
      <c r="E427" s="30"/>
      <c r="F427" s="30"/>
      <c r="G427" s="30"/>
      <c r="H427" s="159"/>
      <c r="L427" s="21">
        <v>1</v>
      </c>
    </row>
    <row r="428" spans="2:12" ht="18">
      <c r="B428" s="30"/>
      <c r="C428" s="30"/>
      <c r="D428" s="30"/>
      <c r="E428" s="30"/>
      <c r="F428" s="30"/>
      <c r="G428" s="30"/>
      <c r="H428" s="159"/>
      <c r="L428" s="21">
        <v>1</v>
      </c>
    </row>
    <row r="429" spans="2:12" ht="18">
      <c r="B429" s="30"/>
      <c r="C429" s="30"/>
      <c r="D429" s="30"/>
      <c r="E429" s="30"/>
      <c r="F429" s="30"/>
      <c r="G429" s="30"/>
      <c r="H429" s="159"/>
      <c r="L429" s="21">
        <v>1</v>
      </c>
    </row>
    <row r="430" spans="2:12" ht="18">
      <c r="B430" s="30"/>
      <c r="C430" s="30"/>
      <c r="D430" s="30"/>
      <c r="E430" s="30"/>
      <c r="F430" s="30"/>
      <c r="G430" s="30"/>
      <c r="H430" s="159"/>
      <c r="L430" s="21">
        <v>1</v>
      </c>
    </row>
    <row r="431" spans="2:12" ht="18">
      <c r="B431" s="30"/>
      <c r="C431" s="30"/>
      <c r="D431" s="30"/>
      <c r="E431" s="30"/>
      <c r="F431" s="30"/>
      <c r="G431" s="30"/>
      <c r="H431" s="159"/>
      <c r="L431" s="21">
        <v>1</v>
      </c>
    </row>
    <row r="432" spans="2:12" ht="18">
      <c r="B432" s="30"/>
      <c r="C432" s="30"/>
      <c r="D432" s="30"/>
      <c r="E432" s="30"/>
      <c r="F432" s="30"/>
      <c r="G432" s="30"/>
      <c r="H432" s="159"/>
      <c r="L432" s="21">
        <v>1</v>
      </c>
    </row>
    <row r="433" spans="2:12" ht="18">
      <c r="B433" s="30"/>
      <c r="C433" s="30"/>
      <c r="D433" s="30"/>
      <c r="E433" s="30"/>
      <c r="F433" s="30"/>
      <c r="G433" s="30"/>
      <c r="H433" s="159"/>
      <c r="L433" s="21">
        <v>1</v>
      </c>
    </row>
    <row r="434" spans="2:12" ht="18">
      <c r="B434" s="30"/>
      <c r="C434" s="30"/>
      <c r="D434" s="30"/>
      <c r="E434" s="30"/>
      <c r="F434" s="30"/>
      <c r="G434" s="30"/>
      <c r="H434" s="159"/>
      <c r="L434" s="21">
        <v>1</v>
      </c>
    </row>
    <row r="435" spans="2:12" ht="18">
      <c r="B435" s="30"/>
      <c r="C435" s="30"/>
      <c r="D435" s="30"/>
      <c r="E435" s="30"/>
      <c r="F435" s="30"/>
      <c r="G435" s="30"/>
      <c r="H435" s="159"/>
      <c r="L435" s="21">
        <v>1</v>
      </c>
    </row>
    <row r="436" spans="2:12" ht="18">
      <c r="B436" s="30"/>
      <c r="C436" s="30"/>
      <c r="D436" s="30"/>
      <c r="E436" s="30"/>
      <c r="F436" s="30"/>
      <c r="G436" s="30"/>
      <c r="H436" s="159"/>
      <c r="L436" s="21">
        <v>1</v>
      </c>
    </row>
    <row r="437" spans="2:12" ht="18">
      <c r="B437" s="30"/>
      <c r="C437" s="30"/>
      <c r="D437" s="30"/>
      <c r="E437" s="30"/>
      <c r="F437" s="30"/>
      <c r="G437" s="30"/>
      <c r="H437" s="159"/>
      <c r="L437" s="21">
        <v>1</v>
      </c>
    </row>
    <row r="438" spans="2:12" ht="18">
      <c r="B438" s="30"/>
      <c r="C438" s="30"/>
      <c r="D438" s="30"/>
      <c r="E438" s="30"/>
      <c r="F438" s="30"/>
      <c r="G438" s="30"/>
      <c r="H438" s="159"/>
      <c r="L438" s="21">
        <v>1</v>
      </c>
    </row>
    <row r="439" spans="2:12" ht="18">
      <c r="B439" s="30"/>
      <c r="C439" s="30"/>
      <c r="D439" s="30"/>
      <c r="E439" s="30"/>
      <c r="F439" s="30"/>
      <c r="G439" s="30"/>
      <c r="H439" s="159"/>
      <c r="L439" s="21">
        <v>1</v>
      </c>
    </row>
    <row r="440" spans="2:12" ht="18">
      <c r="B440" s="30"/>
      <c r="C440" s="30"/>
      <c r="D440" s="30"/>
      <c r="E440" s="30"/>
      <c r="F440" s="30"/>
      <c r="G440" s="30"/>
      <c r="H440" s="159"/>
      <c r="L440" s="21">
        <v>1</v>
      </c>
    </row>
    <row r="441" spans="2:12" ht="18">
      <c r="B441" s="30"/>
      <c r="C441" s="30"/>
      <c r="D441" s="30"/>
      <c r="E441" s="30"/>
      <c r="F441" s="30"/>
      <c r="G441" s="30"/>
      <c r="H441" s="159"/>
      <c r="L441" s="21">
        <v>1</v>
      </c>
    </row>
    <row r="442" spans="2:12" ht="18">
      <c r="B442" s="30"/>
      <c r="C442" s="30"/>
      <c r="D442" s="30"/>
      <c r="E442" s="30"/>
      <c r="F442" s="30"/>
      <c r="G442" s="30"/>
      <c r="H442" s="159"/>
      <c r="L442" s="21">
        <v>1</v>
      </c>
    </row>
    <row r="443" spans="2:12" ht="18">
      <c r="B443" s="30"/>
      <c r="C443" s="30"/>
      <c r="D443" s="30"/>
      <c r="E443" s="30"/>
      <c r="F443" s="30"/>
      <c r="G443" s="30"/>
      <c r="H443" s="159"/>
      <c r="L443" s="21">
        <v>1</v>
      </c>
    </row>
    <row r="444" spans="2:12" ht="18">
      <c r="B444" s="30"/>
      <c r="C444" s="30"/>
      <c r="D444" s="30"/>
      <c r="E444" s="30"/>
      <c r="F444" s="30"/>
      <c r="G444" s="30"/>
      <c r="H444" s="159"/>
      <c r="L444" s="21">
        <v>1</v>
      </c>
    </row>
    <row r="445" spans="2:12" ht="18">
      <c r="B445" s="30"/>
      <c r="C445" s="30"/>
      <c r="D445" s="30"/>
      <c r="E445" s="30"/>
      <c r="F445" s="30"/>
      <c r="G445" s="30"/>
      <c r="H445" s="159"/>
      <c r="L445" s="21">
        <v>1</v>
      </c>
    </row>
    <row r="446" spans="2:12" ht="18">
      <c r="B446" s="30"/>
      <c r="C446" s="30"/>
      <c r="D446" s="30"/>
      <c r="E446" s="30"/>
      <c r="F446" s="30"/>
      <c r="G446" s="30"/>
      <c r="H446" s="159"/>
      <c r="L446" s="21">
        <v>1</v>
      </c>
    </row>
    <row r="447" spans="2:12" ht="18">
      <c r="B447" s="30"/>
      <c r="C447" s="30"/>
      <c r="D447" s="30"/>
      <c r="E447" s="30"/>
      <c r="F447" s="30"/>
      <c r="G447" s="30"/>
      <c r="H447" s="159"/>
      <c r="L447" s="21">
        <v>1</v>
      </c>
    </row>
    <row r="448" spans="2:12" ht="18">
      <c r="B448" s="30"/>
      <c r="C448" s="30"/>
      <c r="D448" s="30"/>
      <c r="E448" s="30"/>
      <c r="F448" s="30"/>
      <c r="G448" s="30"/>
      <c r="H448" s="159"/>
      <c r="L448" s="21">
        <v>1</v>
      </c>
    </row>
    <row r="449" spans="2:12" ht="18">
      <c r="B449" s="30"/>
      <c r="C449" s="30"/>
      <c r="D449" s="30"/>
      <c r="E449" s="30"/>
      <c r="F449" s="30"/>
      <c r="G449" s="30"/>
      <c r="H449" s="159"/>
      <c r="L449" s="21">
        <v>1</v>
      </c>
    </row>
    <row r="450" spans="2:12" ht="18">
      <c r="B450" s="30"/>
      <c r="C450" s="30"/>
      <c r="D450" s="30"/>
      <c r="E450" s="30"/>
      <c r="F450" s="30"/>
      <c r="G450" s="30"/>
      <c r="H450" s="159"/>
      <c r="L450" s="21">
        <v>1</v>
      </c>
    </row>
    <row r="451" spans="2:12" ht="18">
      <c r="B451" s="30"/>
      <c r="C451" s="30"/>
      <c r="D451" s="30"/>
      <c r="E451" s="30"/>
      <c r="F451" s="30"/>
      <c r="G451" s="30"/>
      <c r="H451" s="159"/>
      <c r="L451" s="21">
        <v>1</v>
      </c>
    </row>
    <row r="452" spans="2:12" ht="18">
      <c r="B452" s="30"/>
      <c r="C452" s="30"/>
      <c r="D452" s="30"/>
      <c r="E452" s="30"/>
      <c r="F452" s="30"/>
      <c r="G452" s="30"/>
      <c r="H452" s="159"/>
      <c r="L452" s="21">
        <v>1</v>
      </c>
    </row>
    <row r="453" spans="2:12" ht="18">
      <c r="B453" s="30"/>
      <c r="C453" s="30"/>
      <c r="D453" s="30"/>
      <c r="E453" s="30"/>
      <c r="F453" s="30"/>
      <c r="G453" s="30"/>
      <c r="H453" s="159"/>
      <c r="L453" s="21">
        <v>1</v>
      </c>
    </row>
    <row r="454" spans="2:12" ht="18">
      <c r="B454" s="30"/>
      <c r="C454" s="30"/>
      <c r="D454" s="30"/>
      <c r="E454" s="30"/>
      <c r="F454" s="30"/>
      <c r="G454" s="30"/>
      <c r="H454" s="159"/>
      <c r="L454" s="21">
        <v>1</v>
      </c>
    </row>
    <row r="455" spans="2:12" ht="18">
      <c r="B455" s="30"/>
      <c r="C455" s="30"/>
      <c r="D455" s="30"/>
      <c r="E455" s="30"/>
      <c r="F455" s="30"/>
      <c r="G455" s="30"/>
      <c r="H455" s="159"/>
      <c r="L455" s="21">
        <v>1</v>
      </c>
    </row>
    <row r="456" spans="2:12" ht="18">
      <c r="B456" s="30"/>
      <c r="C456" s="30"/>
      <c r="D456" s="30"/>
      <c r="E456" s="30"/>
      <c r="F456" s="30"/>
      <c r="G456" s="30"/>
      <c r="H456" s="159"/>
      <c r="L456" s="21">
        <v>1</v>
      </c>
    </row>
    <row r="457" spans="2:12" ht="18">
      <c r="B457" s="30"/>
      <c r="C457" s="30"/>
      <c r="D457" s="30"/>
      <c r="E457" s="30"/>
      <c r="F457" s="30"/>
      <c r="G457" s="30"/>
      <c r="H457" s="159"/>
      <c r="L457" s="21">
        <v>1</v>
      </c>
    </row>
    <row r="458" spans="2:12" ht="18">
      <c r="B458" s="30"/>
      <c r="C458" s="30"/>
      <c r="D458" s="30"/>
      <c r="E458" s="30"/>
      <c r="F458" s="30"/>
      <c r="G458" s="30"/>
      <c r="H458" s="159"/>
      <c r="L458" s="21">
        <v>1</v>
      </c>
    </row>
    <row r="459" spans="2:12" ht="18">
      <c r="B459" s="30"/>
      <c r="C459" s="30"/>
      <c r="D459" s="30"/>
      <c r="E459" s="30"/>
      <c r="F459" s="30"/>
      <c r="G459" s="30"/>
      <c r="H459" s="159"/>
      <c r="L459" s="21">
        <v>1</v>
      </c>
    </row>
    <row r="460" spans="2:12" ht="18">
      <c r="B460" s="30"/>
      <c r="C460" s="30"/>
      <c r="D460" s="30"/>
      <c r="E460" s="30"/>
      <c r="F460" s="30"/>
      <c r="G460" s="30"/>
      <c r="H460" s="159"/>
      <c r="L460" s="21">
        <v>1</v>
      </c>
    </row>
    <row r="461" spans="2:12" ht="18">
      <c r="B461" s="30"/>
      <c r="C461" s="30"/>
      <c r="D461" s="30"/>
      <c r="E461" s="30"/>
      <c r="F461" s="30"/>
      <c r="G461" s="30"/>
      <c r="H461" s="159"/>
      <c r="L461" s="21">
        <v>1</v>
      </c>
    </row>
    <row r="462" spans="2:12" ht="18">
      <c r="B462" s="30"/>
      <c r="C462" s="30"/>
      <c r="D462" s="30"/>
      <c r="E462" s="30"/>
      <c r="F462" s="30"/>
      <c r="G462" s="30"/>
      <c r="H462" s="159"/>
      <c r="L462" s="21">
        <v>1</v>
      </c>
    </row>
    <row r="463" spans="2:12" ht="18">
      <c r="B463" s="30"/>
      <c r="C463" s="30"/>
      <c r="D463" s="30"/>
      <c r="E463" s="30"/>
      <c r="F463" s="30"/>
      <c r="G463" s="30"/>
      <c r="H463" s="159"/>
      <c r="L463" s="21">
        <v>1</v>
      </c>
    </row>
    <row r="464" spans="2:12" ht="18">
      <c r="B464" s="30"/>
      <c r="C464" s="30"/>
      <c r="D464" s="30"/>
      <c r="E464" s="30"/>
      <c r="F464" s="30"/>
      <c r="G464" s="30"/>
      <c r="H464" s="159"/>
      <c r="L464" s="21">
        <v>1</v>
      </c>
    </row>
    <row r="465" spans="2:12" ht="18">
      <c r="B465" s="30"/>
      <c r="C465" s="30"/>
      <c r="D465" s="30"/>
      <c r="E465" s="30"/>
      <c r="F465" s="30"/>
      <c r="G465" s="30"/>
      <c r="H465" s="159"/>
      <c r="L465" s="21">
        <v>1</v>
      </c>
    </row>
    <row r="466" spans="2:12" ht="18">
      <c r="B466" s="30"/>
      <c r="C466" s="30"/>
      <c r="D466" s="30"/>
      <c r="E466" s="30"/>
      <c r="F466" s="30"/>
      <c r="G466" s="30"/>
      <c r="H466" s="159"/>
      <c r="L466" s="21">
        <v>1</v>
      </c>
    </row>
    <row r="467" spans="2:12" ht="18">
      <c r="B467" s="30"/>
      <c r="C467" s="30"/>
      <c r="D467" s="30"/>
      <c r="E467" s="30"/>
      <c r="F467" s="30"/>
      <c r="G467" s="30"/>
      <c r="H467" s="159"/>
      <c r="L467" s="21">
        <v>1</v>
      </c>
    </row>
    <row r="468" spans="2:12" ht="18">
      <c r="B468" s="30"/>
      <c r="C468" s="30"/>
      <c r="D468" s="30"/>
      <c r="E468" s="30"/>
      <c r="F468" s="30"/>
      <c r="G468" s="30"/>
      <c r="H468" s="159"/>
      <c r="L468" s="21">
        <v>1</v>
      </c>
    </row>
    <row r="469" spans="2:12" ht="18">
      <c r="B469" s="30"/>
      <c r="C469" s="30"/>
      <c r="D469" s="30"/>
      <c r="E469" s="30"/>
      <c r="F469" s="30"/>
      <c r="G469" s="30"/>
      <c r="H469" s="159"/>
      <c r="L469" s="21">
        <v>1</v>
      </c>
    </row>
    <row r="470" spans="2:12" ht="18">
      <c r="B470" s="30"/>
      <c r="C470" s="30"/>
      <c r="D470" s="30"/>
      <c r="E470" s="30"/>
      <c r="F470" s="30"/>
      <c r="G470" s="30"/>
      <c r="H470" s="159"/>
      <c r="L470" s="21">
        <v>1</v>
      </c>
    </row>
    <row r="471" spans="2:12" ht="18">
      <c r="B471" s="30"/>
      <c r="C471" s="30"/>
      <c r="D471" s="30"/>
      <c r="E471" s="30"/>
      <c r="F471" s="30"/>
      <c r="G471" s="30"/>
      <c r="H471" s="159"/>
      <c r="L471" s="21">
        <v>1</v>
      </c>
    </row>
    <row r="472" spans="2:12" ht="18">
      <c r="B472" s="30"/>
      <c r="C472" s="30"/>
      <c r="D472" s="30"/>
      <c r="E472" s="30"/>
      <c r="F472" s="30"/>
      <c r="G472" s="30"/>
      <c r="H472" s="159"/>
      <c r="L472" s="21">
        <v>1</v>
      </c>
    </row>
    <row r="473" spans="2:12" ht="18">
      <c r="B473" s="30"/>
      <c r="C473" s="30"/>
      <c r="D473" s="30"/>
      <c r="E473" s="30"/>
      <c r="F473" s="30"/>
      <c r="G473" s="30"/>
      <c r="H473" s="159"/>
      <c r="L473" s="21">
        <v>1</v>
      </c>
    </row>
    <row r="474" spans="2:12" ht="18">
      <c r="B474" s="30"/>
      <c r="C474" s="30"/>
      <c r="D474" s="30"/>
      <c r="E474" s="30"/>
      <c r="F474" s="30"/>
      <c r="G474" s="30"/>
      <c r="H474" s="159"/>
      <c r="L474" s="21">
        <v>1</v>
      </c>
    </row>
    <row r="475" spans="2:12" ht="18">
      <c r="B475" s="30"/>
      <c r="C475" s="30"/>
      <c r="D475" s="30"/>
      <c r="E475" s="30"/>
      <c r="F475" s="30"/>
      <c r="G475" s="30"/>
      <c r="H475" s="159"/>
      <c r="L475" s="21">
        <v>1</v>
      </c>
    </row>
    <row r="476" spans="2:12" ht="18">
      <c r="B476" s="30"/>
      <c r="C476" s="30"/>
      <c r="D476" s="30"/>
      <c r="E476" s="30"/>
      <c r="F476" s="30"/>
      <c r="G476" s="30"/>
      <c r="H476" s="159"/>
      <c r="L476" s="21">
        <v>1</v>
      </c>
    </row>
    <row r="477" spans="2:12" ht="18">
      <c r="B477" s="30"/>
      <c r="C477" s="30"/>
      <c r="D477" s="30"/>
      <c r="E477" s="30"/>
      <c r="F477" s="30"/>
      <c r="G477" s="30"/>
      <c r="H477" s="159"/>
      <c r="L477" s="21">
        <v>1</v>
      </c>
    </row>
    <row r="478" spans="2:12" ht="18">
      <c r="B478" s="30"/>
      <c r="C478" s="30"/>
      <c r="D478" s="30"/>
      <c r="E478" s="30"/>
      <c r="F478" s="30"/>
      <c r="G478" s="30"/>
      <c r="H478" s="159"/>
      <c r="L478" s="21">
        <v>1</v>
      </c>
    </row>
    <row r="479" spans="2:12" ht="18">
      <c r="B479" s="30"/>
      <c r="C479" s="30"/>
      <c r="D479" s="30"/>
      <c r="E479" s="30"/>
      <c r="F479" s="30"/>
      <c r="G479" s="30"/>
      <c r="H479" s="159"/>
      <c r="L479" s="21">
        <v>1</v>
      </c>
    </row>
    <row r="480" spans="2:12" ht="18">
      <c r="B480" s="30"/>
      <c r="C480" s="30"/>
      <c r="D480" s="30"/>
      <c r="E480" s="30"/>
      <c r="F480" s="30"/>
      <c r="G480" s="30"/>
      <c r="H480" s="159"/>
      <c r="L480" s="21">
        <v>1</v>
      </c>
    </row>
    <row r="481" spans="2:12" ht="18">
      <c r="B481" s="30"/>
      <c r="C481" s="30"/>
      <c r="D481" s="30"/>
      <c r="E481" s="30"/>
      <c r="F481" s="30"/>
      <c r="G481" s="30"/>
      <c r="H481" s="159"/>
      <c r="L481" s="21">
        <v>1</v>
      </c>
    </row>
    <row r="482" spans="2:12" ht="18">
      <c r="B482" s="30"/>
      <c r="C482" s="30"/>
      <c r="D482" s="30"/>
      <c r="E482" s="30"/>
      <c r="F482" s="30"/>
      <c r="G482" s="30"/>
      <c r="H482" s="159"/>
      <c r="L482" s="21">
        <v>1</v>
      </c>
    </row>
    <row r="483" spans="2:12" ht="18">
      <c r="B483" s="30"/>
      <c r="C483" s="30"/>
      <c r="D483" s="30"/>
      <c r="E483" s="30"/>
      <c r="F483" s="30"/>
      <c r="G483" s="30"/>
      <c r="H483" s="159"/>
      <c r="L483" s="21">
        <v>1</v>
      </c>
    </row>
    <row r="484" spans="2:12" ht="18">
      <c r="B484" s="30"/>
      <c r="C484" s="30"/>
      <c r="D484" s="30"/>
      <c r="E484" s="30"/>
      <c r="F484" s="30"/>
      <c r="G484" s="30"/>
      <c r="H484" s="159"/>
      <c r="L484" s="21">
        <v>1</v>
      </c>
    </row>
    <row r="485" spans="2:12" ht="18">
      <c r="B485" s="30"/>
      <c r="C485" s="30"/>
      <c r="D485" s="30"/>
      <c r="E485" s="30"/>
      <c r="F485" s="30"/>
      <c r="G485" s="30"/>
      <c r="H485" s="159"/>
      <c r="L485" s="21">
        <v>1</v>
      </c>
    </row>
    <row r="486" spans="2:12" ht="18">
      <c r="B486" s="30"/>
      <c r="C486" s="30"/>
      <c r="D486" s="30"/>
      <c r="E486" s="30"/>
      <c r="F486" s="30"/>
      <c r="G486" s="30"/>
      <c r="H486" s="159"/>
      <c r="L486" s="21">
        <v>1</v>
      </c>
    </row>
    <row r="487" spans="2:12" ht="18">
      <c r="B487" s="30"/>
      <c r="C487" s="30"/>
      <c r="D487" s="30"/>
      <c r="E487" s="30"/>
      <c r="F487" s="30"/>
      <c r="G487" s="30"/>
      <c r="H487" s="159"/>
      <c r="L487" s="21">
        <v>1</v>
      </c>
    </row>
    <row r="488" spans="2:12" ht="18">
      <c r="B488" s="30"/>
      <c r="C488" s="30"/>
      <c r="D488" s="30"/>
      <c r="E488" s="30"/>
      <c r="F488" s="30"/>
      <c r="G488" s="30"/>
      <c r="H488" s="159"/>
      <c r="L488" s="21">
        <v>1</v>
      </c>
    </row>
    <row r="489" spans="2:12" ht="18">
      <c r="B489" s="30"/>
      <c r="C489" s="30"/>
      <c r="D489" s="30"/>
      <c r="E489" s="30"/>
      <c r="F489" s="30"/>
      <c r="G489" s="30"/>
      <c r="H489" s="159"/>
      <c r="L489" s="21">
        <v>1</v>
      </c>
    </row>
    <row r="490" spans="2:12" ht="18">
      <c r="B490" s="30"/>
      <c r="C490" s="30"/>
      <c r="D490" s="30"/>
      <c r="E490" s="30"/>
      <c r="F490" s="30"/>
      <c r="G490" s="30"/>
      <c r="H490" s="159"/>
      <c r="L490" s="21">
        <v>1</v>
      </c>
    </row>
    <row r="491" spans="2:12" ht="18">
      <c r="B491" s="30"/>
      <c r="C491" s="30"/>
      <c r="D491" s="30"/>
      <c r="E491" s="30"/>
      <c r="F491" s="30"/>
      <c r="G491" s="30"/>
      <c r="H491" s="159"/>
      <c r="L491" s="21">
        <v>1</v>
      </c>
    </row>
    <row r="492" spans="2:12" ht="18">
      <c r="B492" s="30"/>
      <c r="C492" s="30"/>
      <c r="D492" s="30"/>
      <c r="E492" s="30"/>
      <c r="F492" s="30"/>
      <c r="G492" s="30"/>
      <c r="H492" s="159"/>
      <c r="L492" s="21">
        <v>1</v>
      </c>
    </row>
    <row r="493" spans="2:12" ht="18">
      <c r="B493" s="30"/>
      <c r="C493" s="30"/>
      <c r="D493" s="30"/>
      <c r="E493" s="30"/>
      <c r="F493" s="30"/>
      <c r="G493" s="30"/>
      <c r="H493" s="159"/>
      <c r="L493" s="21">
        <v>1</v>
      </c>
    </row>
    <row r="494" spans="2:12" ht="18">
      <c r="B494" s="30"/>
      <c r="C494" s="30"/>
      <c r="D494" s="30"/>
      <c r="E494" s="30"/>
      <c r="F494" s="30"/>
      <c r="G494" s="30"/>
      <c r="H494" s="159"/>
      <c r="L494" s="21">
        <v>1</v>
      </c>
    </row>
    <row r="495" spans="2:12" ht="18">
      <c r="B495" s="30"/>
      <c r="C495" s="30"/>
      <c r="D495" s="30"/>
      <c r="E495" s="30"/>
      <c r="F495" s="30"/>
      <c r="G495" s="30"/>
      <c r="H495" s="159"/>
      <c r="L495" s="21">
        <v>1</v>
      </c>
    </row>
    <row r="496" spans="2:12" ht="18">
      <c r="B496" s="30"/>
      <c r="C496" s="30"/>
      <c r="D496" s="30"/>
      <c r="E496" s="30"/>
      <c r="F496" s="30"/>
      <c r="G496" s="30"/>
      <c r="H496" s="159"/>
      <c r="L496" s="21">
        <v>1</v>
      </c>
    </row>
    <row r="497" spans="2:12" ht="18">
      <c r="B497" s="30"/>
      <c r="C497" s="30"/>
      <c r="D497" s="30"/>
      <c r="E497" s="30"/>
      <c r="F497" s="30"/>
      <c r="G497" s="30"/>
      <c r="H497" s="159"/>
      <c r="L497" s="21">
        <v>1</v>
      </c>
    </row>
    <row r="498" spans="2:12" ht="18">
      <c r="B498" s="30"/>
      <c r="C498" s="30"/>
      <c r="D498" s="30"/>
      <c r="E498" s="30"/>
      <c r="F498" s="30"/>
      <c r="G498" s="30"/>
      <c r="H498" s="159"/>
      <c r="L498" s="21">
        <v>1</v>
      </c>
    </row>
    <row r="499" spans="2:12" ht="18">
      <c r="B499" s="30"/>
      <c r="C499" s="30"/>
      <c r="D499" s="30"/>
      <c r="E499" s="30"/>
      <c r="F499" s="30"/>
      <c r="G499" s="30"/>
      <c r="H499" s="159"/>
      <c r="L499" s="21">
        <v>1</v>
      </c>
    </row>
    <row r="500" spans="2:12" ht="18">
      <c r="B500" s="30"/>
      <c r="C500" s="30"/>
      <c r="D500" s="30"/>
      <c r="E500" s="30"/>
      <c r="F500" s="30"/>
      <c r="G500" s="30"/>
      <c r="H500" s="159"/>
      <c r="L500" s="21">
        <v>1</v>
      </c>
    </row>
    <row r="501" spans="2:12" ht="18">
      <c r="B501" s="30"/>
      <c r="C501" s="30"/>
      <c r="D501" s="30"/>
      <c r="E501" s="30"/>
      <c r="F501" s="30"/>
      <c r="G501" s="30"/>
      <c r="H501" s="159"/>
      <c r="L501" s="21">
        <v>1</v>
      </c>
    </row>
    <row r="502" spans="2:12" ht="18">
      <c r="B502" s="30"/>
      <c r="C502" s="30"/>
      <c r="D502" s="30"/>
      <c r="E502" s="30"/>
      <c r="F502" s="30"/>
      <c r="G502" s="30"/>
      <c r="H502" s="159"/>
      <c r="L502" s="21">
        <v>1</v>
      </c>
    </row>
    <row r="503" spans="2:12" ht="18">
      <c r="B503" s="30"/>
      <c r="C503" s="30"/>
      <c r="D503" s="30"/>
      <c r="E503" s="30"/>
      <c r="F503" s="30"/>
      <c r="G503" s="30"/>
      <c r="H503" s="159"/>
      <c r="L503" s="21">
        <v>1</v>
      </c>
    </row>
    <row r="504" spans="2:12" ht="18">
      <c r="B504" s="30"/>
      <c r="C504" s="30"/>
      <c r="D504" s="30"/>
      <c r="E504" s="30"/>
      <c r="F504" s="30"/>
      <c r="G504" s="30"/>
      <c r="H504" s="159"/>
      <c r="L504" s="21">
        <v>1</v>
      </c>
    </row>
    <row r="505" spans="2:12" ht="18">
      <c r="B505" s="30"/>
      <c r="C505" s="30"/>
      <c r="D505" s="30"/>
      <c r="E505" s="30"/>
      <c r="F505" s="30"/>
      <c r="G505" s="30"/>
      <c r="H505" s="159"/>
      <c r="L505" s="21">
        <v>1</v>
      </c>
    </row>
    <row r="506" spans="2:12" ht="18">
      <c r="B506" s="30"/>
      <c r="C506" s="30"/>
      <c r="D506" s="30"/>
      <c r="E506" s="30"/>
      <c r="F506" s="30"/>
      <c r="G506" s="30"/>
      <c r="H506" s="159"/>
      <c r="L506" s="21">
        <v>1</v>
      </c>
    </row>
    <row r="507" spans="2:12" ht="18">
      <c r="B507" s="30"/>
      <c r="C507" s="30"/>
      <c r="D507" s="30"/>
      <c r="E507" s="30"/>
      <c r="F507" s="30"/>
      <c r="G507" s="30"/>
      <c r="H507" s="159"/>
      <c r="L507" s="21">
        <v>1</v>
      </c>
    </row>
    <row r="508" spans="2:12" ht="18">
      <c r="B508" s="30"/>
      <c r="C508" s="30"/>
      <c r="D508" s="30"/>
      <c r="E508" s="30"/>
      <c r="F508" s="30"/>
      <c r="G508" s="30"/>
      <c r="H508" s="159"/>
      <c r="L508" s="21">
        <v>1</v>
      </c>
    </row>
    <row r="509" spans="2:12" ht="18">
      <c r="B509" s="30"/>
      <c r="C509" s="30"/>
      <c r="D509" s="30"/>
      <c r="E509" s="30"/>
      <c r="F509" s="30"/>
      <c r="G509" s="30"/>
      <c r="H509" s="159"/>
      <c r="L509" s="21">
        <v>1</v>
      </c>
    </row>
    <row r="510" spans="2:12" ht="18">
      <c r="B510" s="30"/>
      <c r="C510" s="30"/>
      <c r="D510" s="30"/>
      <c r="E510" s="30"/>
      <c r="F510" s="30"/>
      <c r="G510" s="30"/>
      <c r="H510" s="159"/>
      <c r="L510" s="21">
        <v>1</v>
      </c>
    </row>
    <row r="511" spans="2:12" ht="18">
      <c r="B511" s="30"/>
      <c r="C511" s="30"/>
      <c r="D511" s="30"/>
      <c r="E511" s="30"/>
      <c r="F511" s="30"/>
      <c r="G511" s="30"/>
      <c r="H511" s="159"/>
      <c r="L511" s="21">
        <v>1</v>
      </c>
    </row>
    <row r="512" spans="2:12" ht="18">
      <c r="B512" s="30"/>
      <c r="C512" s="30"/>
      <c r="D512" s="30"/>
      <c r="E512" s="30"/>
      <c r="F512" s="30"/>
      <c r="G512" s="30"/>
      <c r="H512" s="159"/>
      <c r="L512" s="21">
        <v>1</v>
      </c>
    </row>
    <row r="513" spans="2:12" ht="18">
      <c r="B513" s="30"/>
      <c r="C513" s="30"/>
      <c r="D513" s="30"/>
      <c r="E513" s="30"/>
      <c r="F513" s="30"/>
      <c r="G513" s="30"/>
      <c r="H513" s="159"/>
      <c r="L513" s="21">
        <v>1</v>
      </c>
    </row>
    <row r="514" spans="2:12" ht="18">
      <c r="B514" s="30"/>
      <c r="C514" s="30"/>
      <c r="D514" s="30"/>
      <c r="E514" s="30"/>
      <c r="F514" s="30"/>
      <c r="G514" s="30"/>
      <c r="H514" s="159"/>
      <c r="L514" s="21">
        <v>1</v>
      </c>
    </row>
    <row r="515" spans="2:12" ht="18">
      <c r="B515" s="30"/>
      <c r="C515" s="30"/>
      <c r="D515" s="30"/>
      <c r="E515" s="30"/>
      <c r="F515" s="30"/>
      <c r="G515" s="30"/>
      <c r="H515" s="159"/>
      <c r="L515" s="21">
        <v>1</v>
      </c>
    </row>
    <row r="516" spans="2:12" ht="18">
      <c r="B516" s="30"/>
      <c r="C516" s="30"/>
      <c r="D516" s="30"/>
      <c r="E516" s="30"/>
      <c r="F516" s="30"/>
      <c r="G516" s="30"/>
      <c r="H516" s="159"/>
      <c r="L516" s="21">
        <v>1</v>
      </c>
    </row>
    <row r="517" spans="2:12" ht="18">
      <c r="B517" s="30"/>
      <c r="C517" s="30"/>
      <c r="D517" s="30"/>
      <c r="E517" s="30"/>
      <c r="F517" s="30"/>
      <c r="G517" s="30"/>
      <c r="H517" s="159"/>
      <c r="L517" s="21">
        <v>1</v>
      </c>
    </row>
    <row r="518" spans="2:12" ht="18">
      <c r="B518" s="30"/>
      <c r="C518" s="30"/>
      <c r="D518" s="30"/>
      <c r="E518" s="30"/>
      <c r="F518" s="30"/>
      <c r="G518" s="30"/>
      <c r="H518" s="159"/>
      <c r="L518" s="21">
        <v>1</v>
      </c>
    </row>
    <row r="519" spans="2:12" ht="18">
      <c r="B519" s="30"/>
      <c r="C519" s="30"/>
      <c r="D519" s="30"/>
      <c r="E519" s="30"/>
      <c r="F519" s="30"/>
      <c r="G519" s="30"/>
      <c r="H519" s="159"/>
      <c r="L519" s="21">
        <v>1</v>
      </c>
    </row>
    <row r="520" spans="2:12" ht="18">
      <c r="B520" s="30"/>
      <c r="C520" s="30"/>
      <c r="D520" s="30"/>
      <c r="E520" s="30"/>
      <c r="F520" s="30"/>
      <c r="G520" s="30"/>
      <c r="H520" s="159"/>
      <c r="L520" s="21">
        <v>1</v>
      </c>
    </row>
    <row r="521" spans="2:12" ht="18">
      <c r="B521" s="30"/>
      <c r="C521" s="30"/>
      <c r="D521" s="30"/>
      <c r="E521" s="30"/>
      <c r="F521" s="30"/>
      <c r="G521" s="30"/>
      <c r="H521" s="159"/>
      <c r="L521" s="21">
        <v>1</v>
      </c>
    </row>
    <row r="522" spans="2:12" ht="18">
      <c r="B522" s="30"/>
      <c r="C522" s="30"/>
      <c r="D522" s="30"/>
      <c r="E522" s="30"/>
      <c r="F522" s="30"/>
      <c r="G522" s="30"/>
      <c r="H522" s="159"/>
      <c r="L522" s="21">
        <v>1</v>
      </c>
    </row>
    <row r="523" spans="2:12" ht="18">
      <c r="B523" s="30"/>
      <c r="C523" s="30"/>
      <c r="D523" s="30"/>
      <c r="E523" s="30"/>
      <c r="F523" s="30"/>
      <c r="G523" s="30"/>
      <c r="H523" s="159"/>
      <c r="L523" s="21">
        <v>1</v>
      </c>
    </row>
    <row r="524" spans="2:12" ht="18">
      <c r="B524" s="30"/>
      <c r="C524" s="30"/>
      <c r="D524" s="30"/>
      <c r="E524" s="30"/>
      <c r="F524" s="30"/>
      <c r="G524" s="30"/>
      <c r="H524" s="159"/>
      <c r="L524" s="21">
        <v>1</v>
      </c>
    </row>
    <row r="525" spans="2:12" ht="18">
      <c r="B525" s="30"/>
      <c r="C525" s="30"/>
      <c r="D525" s="30"/>
      <c r="E525" s="30"/>
      <c r="F525" s="30"/>
      <c r="G525" s="30"/>
      <c r="H525" s="159"/>
      <c r="L525" s="21">
        <v>1</v>
      </c>
    </row>
    <row r="526" spans="2:12" ht="18">
      <c r="B526" s="30"/>
      <c r="C526" s="30"/>
      <c r="D526" s="30"/>
      <c r="E526" s="30"/>
      <c r="F526" s="30"/>
      <c r="G526" s="30"/>
      <c r="H526" s="159"/>
      <c r="L526" s="21">
        <v>1</v>
      </c>
    </row>
    <row r="527" spans="2:12" ht="18">
      <c r="B527" s="30"/>
      <c r="C527" s="30"/>
      <c r="D527" s="30"/>
      <c r="E527" s="30"/>
      <c r="F527" s="30"/>
      <c r="G527" s="30"/>
      <c r="H527" s="159"/>
      <c r="L527" s="21">
        <v>1</v>
      </c>
    </row>
    <row r="528" spans="2:12" ht="18">
      <c r="B528" s="30"/>
      <c r="C528" s="30"/>
      <c r="D528" s="30"/>
      <c r="E528" s="30"/>
      <c r="F528" s="30"/>
      <c r="G528" s="30"/>
      <c r="H528" s="159"/>
      <c r="L528" s="21">
        <v>1</v>
      </c>
    </row>
    <row r="529" spans="2:12" ht="18">
      <c r="B529" s="30"/>
      <c r="C529" s="30"/>
      <c r="D529" s="30"/>
      <c r="E529" s="30"/>
      <c r="F529" s="30"/>
      <c r="G529" s="30"/>
      <c r="H529" s="159"/>
      <c r="L529" s="21">
        <v>1</v>
      </c>
    </row>
    <row r="530" spans="2:12" ht="18">
      <c r="B530" s="30"/>
      <c r="C530" s="30"/>
      <c r="D530" s="30"/>
      <c r="E530" s="30"/>
      <c r="F530" s="30"/>
      <c r="G530" s="30"/>
      <c r="H530" s="159"/>
      <c r="L530" s="21">
        <v>1</v>
      </c>
    </row>
    <row r="531" spans="2:12" ht="18">
      <c r="B531" s="30"/>
      <c r="C531" s="30"/>
      <c r="D531" s="30"/>
      <c r="E531" s="30"/>
      <c r="F531" s="30"/>
      <c r="G531" s="30"/>
      <c r="H531" s="159"/>
      <c r="L531" s="21">
        <v>1</v>
      </c>
    </row>
    <row r="532" spans="2:12" ht="18">
      <c r="B532" s="30"/>
      <c r="C532" s="30"/>
      <c r="D532" s="30"/>
      <c r="E532" s="30"/>
      <c r="F532" s="30"/>
      <c r="G532" s="30"/>
      <c r="H532" s="159"/>
      <c r="L532" s="21">
        <v>1</v>
      </c>
    </row>
    <row r="533" spans="2:12" ht="18">
      <c r="B533" s="30"/>
      <c r="C533" s="30"/>
      <c r="D533" s="30"/>
      <c r="E533" s="30"/>
      <c r="F533" s="30"/>
      <c r="G533" s="30"/>
      <c r="H533" s="159"/>
      <c r="L533" s="21">
        <v>1</v>
      </c>
    </row>
    <row r="534" spans="2:12" ht="18">
      <c r="B534" s="30"/>
      <c r="C534" s="30"/>
      <c r="D534" s="30"/>
      <c r="E534" s="30"/>
      <c r="F534" s="30"/>
      <c r="G534" s="30"/>
      <c r="H534" s="159"/>
      <c r="L534" s="21">
        <v>1</v>
      </c>
    </row>
    <row r="535" spans="2:12" ht="18">
      <c r="B535" s="30"/>
      <c r="C535" s="30"/>
      <c r="D535" s="30"/>
      <c r="E535" s="30"/>
      <c r="F535" s="30"/>
      <c r="G535" s="30"/>
      <c r="H535" s="159"/>
      <c r="L535" s="21">
        <v>1</v>
      </c>
    </row>
    <row r="536" spans="2:12" ht="18">
      <c r="B536" s="30"/>
      <c r="C536" s="30"/>
      <c r="D536" s="30"/>
      <c r="E536" s="30"/>
      <c r="F536" s="30"/>
      <c r="G536" s="30"/>
      <c r="H536" s="159"/>
      <c r="L536" s="21">
        <v>1</v>
      </c>
    </row>
    <row r="537" spans="2:12" ht="18">
      <c r="B537" s="30"/>
      <c r="C537" s="30"/>
      <c r="D537" s="30"/>
      <c r="E537" s="30"/>
      <c r="F537" s="30"/>
      <c r="G537" s="30"/>
      <c r="H537" s="159"/>
      <c r="L537" s="21">
        <v>1</v>
      </c>
    </row>
    <row r="538" spans="2:12" ht="18">
      <c r="B538" s="30"/>
      <c r="C538" s="30"/>
      <c r="D538" s="30"/>
      <c r="E538" s="30"/>
      <c r="F538" s="30"/>
      <c r="G538" s="30"/>
      <c r="H538" s="159"/>
      <c r="L538" s="21">
        <v>1</v>
      </c>
    </row>
    <row r="539" spans="2:12" ht="18">
      <c r="B539" s="30"/>
      <c r="C539" s="30"/>
      <c r="D539" s="30"/>
      <c r="E539" s="30"/>
      <c r="F539" s="30"/>
      <c r="G539" s="30"/>
      <c r="H539" s="159"/>
      <c r="L539" s="21">
        <v>1</v>
      </c>
    </row>
    <row r="540" spans="2:12" ht="18">
      <c r="B540" s="30"/>
      <c r="C540" s="30"/>
      <c r="D540" s="30"/>
      <c r="E540" s="30"/>
      <c r="F540" s="30"/>
      <c r="G540" s="30"/>
      <c r="H540" s="159"/>
      <c r="L540" s="21">
        <v>1</v>
      </c>
    </row>
    <row r="541" spans="2:12" ht="18">
      <c r="B541" s="30"/>
      <c r="C541" s="30"/>
      <c r="D541" s="30"/>
      <c r="E541" s="30"/>
      <c r="F541" s="30"/>
      <c r="G541" s="30"/>
      <c r="H541" s="159"/>
      <c r="L541" s="21">
        <v>1</v>
      </c>
    </row>
    <row r="542" spans="2:12" ht="18">
      <c r="B542" s="30"/>
      <c r="C542" s="30"/>
      <c r="D542" s="30"/>
      <c r="E542" s="30"/>
      <c r="F542" s="30"/>
      <c r="G542" s="30"/>
      <c r="H542" s="159"/>
      <c r="L542" s="21">
        <v>1</v>
      </c>
    </row>
    <row r="543" spans="2:12" ht="18">
      <c r="B543" s="30"/>
      <c r="C543" s="30"/>
      <c r="D543" s="30"/>
      <c r="E543" s="30"/>
      <c r="F543" s="30"/>
      <c r="G543" s="30"/>
      <c r="H543" s="159"/>
      <c r="L543" s="21">
        <v>1</v>
      </c>
    </row>
    <row r="544" spans="2:12" ht="18">
      <c r="B544" s="30"/>
      <c r="C544" s="30"/>
      <c r="D544" s="30"/>
      <c r="E544" s="30"/>
      <c r="F544" s="30"/>
      <c r="G544" s="30"/>
      <c r="H544" s="159"/>
      <c r="L544" s="21">
        <v>1</v>
      </c>
    </row>
    <row r="545" spans="2:12" ht="18">
      <c r="B545" s="30"/>
      <c r="C545" s="30"/>
      <c r="D545" s="30"/>
      <c r="E545" s="30"/>
      <c r="F545" s="30"/>
      <c r="G545" s="30"/>
      <c r="H545" s="159"/>
      <c r="L545" s="21">
        <v>1</v>
      </c>
    </row>
    <row r="546" spans="2:12" ht="18">
      <c r="B546" s="30"/>
      <c r="C546" s="30"/>
      <c r="D546" s="30"/>
      <c r="E546" s="30"/>
      <c r="F546" s="30"/>
      <c r="G546" s="30"/>
      <c r="H546" s="159"/>
      <c r="L546" s="21">
        <v>1</v>
      </c>
    </row>
    <row r="547" spans="2:12" ht="18">
      <c r="B547" s="30"/>
      <c r="C547" s="30"/>
      <c r="D547" s="30"/>
      <c r="E547" s="30"/>
      <c r="F547" s="30"/>
      <c r="G547" s="30"/>
      <c r="H547" s="159"/>
      <c r="L547" s="21">
        <v>1</v>
      </c>
    </row>
    <row r="548" spans="2:12" ht="18">
      <c r="B548" s="30"/>
      <c r="C548" s="30"/>
      <c r="D548" s="30"/>
      <c r="E548" s="30"/>
      <c r="F548" s="30"/>
      <c r="G548" s="30"/>
      <c r="H548" s="159"/>
      <c r="L548" s="21">
        <v>1</v>
      </c>
    </row>
    <row r="549" spans="2:12" ht="27.75" thickBot="1">
      <c r="B549" s="19" t="s">
        <v>3</v>
      </c>
      <c r="C549" s="19" t="s">
        <v>3</v>
      </c>
      <c r="D549" s="19" t="s">
        <v>3</v>
      </c>
      <c r="E549" s="20" t="s">
        <v>3</v>
      </c>
      <c r="F549" s="20" t="s">
        <v>3</v>
      </c>
      <c r="G549" s="20" t="s">
        <v>3</v>
      </c>
      <c r="H549" s="160"/>
      <c r="L549" s="73" t="s">
        <v>3</v>
      </c>
    </row>
    <row r="550" spans="2:12" ht="13.5" thickTop="1"/>
  </sheetData>
  <sheetProtection sheet="1" objects="1" scenarios="1" selectLockedCells="1"/>
  <customSheetViews>
    <customSheetView guid="{2EA3A6B8-61D5-4EF1-87B1-B14945A241CD}" showGridLines="0" showRowCol="0">
      <pane ySplit="8" topLeftCell="A196" activePane="bottomLeft" state="frozen"/>
      <selection pane="bottomLeft" activeCell="I3" sqref="I3"/>
      <pageMargins left="0.7" right="0.7" top="0.75" bottom="0.75" header="0.3" footer="0.3"/>
      <pageSetup paperSize="9" orientation="portrait" r:id="rId1"/>
    </customSheetView>
    <customSheetView guid="{242CE75B-5318-4B80-8985-D15BFA50C3F5}" showGridLines="0" showRowCol="0">
      <pane ySplit="7" topLeftCell="A9" activePane="bottomLeft" state="frozen"/>
      <selection pane="bottomLeft" activeCell="I3" sqref="I3"/>
      <pageMargins left="0.7" right="0.7" top="0.75" bottom="0.75" header="0.3" footer="0.3"/>
      <pageSetup paperSize="9" orientation="portrait" r:id="rId2"/>
    </customSheetView>
    <customSheetView guid="{CA30A091-FDE4-4C31-B428-76E484062E02}" showGridLines="0" showRowCol="0">
      <pane ySplit="8" topLeftCell="A9" activePane="bottomLeft" state="frozen"/>
      <selection pane="bottomLeft" activeCell="I5" sqref="I5"/>
      <pageMargins left="0.7" right="0.7" top="0.75" bottom="0.75" header="0.3" footer="0.3"/>
      <pageSetup paperSize="9" orientation="portrait" r:id="rId3"/>
    </customSheetView>
  </customSheetViews>
  <mergeCells count="4">
    <mergeCell ref="R8:T8"/>
    <mergeCell ref="U8:W8"/>
    <mergeCell ref="M9:N9"/>
    <mergeCell ref="O8:Q8"/>
  </mergeCells>
  <dataValidations count="4">
    <dataValidation type="list" allowBlank="1" showDropDown="1" showInputMessage="1" showErrorMessage="1" sqref="C9:C548">
      <formula1>$N$32:$N$58</formula1>
    </dataValidation>
    <dataValidation type="list" allowBlank="1" showDropDown="1" showInputMessage="1" showErrorMessage="1" sqref="B9:B548">
      <formula1>$C$6</formula1>
    </dataValidation>
    <dataValidation allowBlank="1" showInputMessage="1" showErrorMessage="1" errorTitle="Dato no valido" error="El valor esta fuera de rango [0,30] o No es un numero" sqref="E9:H548"/>
    <dataValidation type="list" allowBlank="1" showDropDown="1" showInputMessage="1" showErrorMessage="1" sqref="D9:D548">
      <formula1>$N$10:$N$29</formula1>
    </dataValidation>
  </dataValidations>
  <hyperlinks>
    <hyperlink ref="I2" location="PPrincipal!A1" display="* Pagina Principal"/>
    <hyperlink ref="I3" location="Barinas!A1" display="Barinas"/>
    <hyperlink ref="I4" location="Mérida!A1" display="Mérida"/>
    <hyperlink ref="I5" location="Trujillo!A1" display="Trujillo"/>
  </hyperlinks>
  <pageMargins left="0.7" right="0.7" top="0.75" bottom="0.75" header="0.3" footer="0.3"/>
  <pageSetup paperSize="9" orientation="portrait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2" sqref="J2"/>
    </sheetView>
  </sheetViews>
  <sheetFormatPr baseColWidth="10" defaultColWidth="15.7109375" defaultRowHeight="22.5" customHeight="1"/>
  <cols>
    <col min="1" max="16384" width="15.7109375" style="53"/>
  </cols>
  <sheetData>
    <row r="1" spans="1:11" ht="15" customHeight="1">
      <c r="J1" s="86"/>
      <c r="K1" s="108"/>
    </row>
    <row r="2" spans="1:11" ht="15" customHeight="1">
      <c r="J2" s="79" t="s">
        <v>7</v>
      </c>
      <c r="K2" s="108"/>
    </row>
    <row r="3" spans="1:11" ht="15" customHeight="1">
      <c r="J3" s="79" t="s">
        <v>80</v>
      </c>
      <c r="K3" s="108"/>
    </row>
    <row r="4" spans="1:11" ht="15" customHeight="1">
      <c r="J4" s="79" t="s">
        <v>81</v>
      </c>
      <c r="K4" s="108"/>
    </row>
    <row r="5" spans="1:11" ht="15" customHeight="1">
      <c r="G5" s="56"/>
      <c r="J5" s="79" t="s">
        <v>83</v>
      </c>
      <c r="K5" s="108"/>
    </row>
    <row r="6" spans="1:11" ht="15" customHeight="1">
      <c r="A6" s="169" t="s">
        <v>57</v>
      </c>
      <c r="B6" s="169"/>
      <c r="C6" s="169"/>
      <c r="D6" s="169"/>
      <c r="E6" s="169"/>
      <c r="F6" s="169"/>
    </row>
    <row r="25" spans="2:7" ht="22.5" customHeight="1">
      <c r="B25" s="169"/>
      <c r="C25" s="169"/>
      <c r="D25" s="169"/>
      <c r="E25" s="169"/>
      <c r="F25" s="169"/>
      <c r="G25" s="169"/>
    </row>
    <row r="44" spans="7:7" ht="22.5" customHeight="1">
      <c r="G44" s="56"/>
    </row>
  </sheetData>
  <customSheetViews>
    <customSheetView guid="{2EA3A6B8-61D5-4EF1-87B1-B14945A241CD}" showGridLines="0" showRowCol="0">
      <selection activeCell="J2" sqref="J2"/>
      <pageMargins left="0.7" right="0.7" top="0.75" bottom="0.75" header="0.3" footer="0.3"/>
      <pageSetup paperSize="9" orientation="portrait" r:id="rId1"/>
    </customSheetView>
    <customSheetView guid="{242CE75B-5318-4B80-8985-D15BFA50C3F5}" scale="60" showPageBreaks="1" showGridLines="0" showRowCol="0" printArea="1" view="pageBreakPreview">
      <selection activeCell="J5" sqref="J5"/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72" orientation="landscape" r:id="rId2"/>
    </customSheetView>
    <customSheetView guid="{CA30A091-FDE4-4C31-B428-76E484062E02}" showGridLines="0" showRowCol="0">
      <selection activeCell="J2" sqref="J2"/>
      <pageMargins left="0.7" right="0.7" top="0.75" bottom="0.75" header="0.3" footer="0.3"/>
      <pageSetup paperSize="9" orientation="portrait" r:id="rId3"/>
    </customSheetView>
  </customSheetViews>
  <mergeCells count="2">
    <mergeCell ref="B25:G25"/>
    <mergeCell ref="A6:F6"/>
  </mergeCells>
  <hyperlinks>
    <hyperlink ref="J2" location="PPrincipal!A1" display="* Pagina Principal"/>
    <hyperlink ref="J3" location="GBarinas!A1" display="Barinas"/>
    <hyperlink ref="J4" location="GMérida!A1" display="Mérida"/>
    <hyperlink ref="J5" location="GTrujillo!A1" display="Trujillo"/>
  </hyperlinks>
  <pageMargins left="0.7" right="0.7" top="0.75" bottom="0.75" header="0.3" footer="0.3"/>
  <pageSetup paperSize="9"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47"/>
  <sheetViews>
    <sheetView showGridLines="0" showRowColHeaders="0" workbookViewId="0">
      <selection activeCell="Y2" sqref="Y2"/>
    </sheetView>
  </sheetViews>
  <sheetFormatPr baseColWidth="10" defaultRowHeight="15" customHeight="1"/>
  <cols>
    <col min="1" max="1" width="0.85546875" style="67" customWidth="1"/>
    <col min="2" max="2" width="7.140625" style="67" customWidth="1"/>
    <col min="3" max="13" width="5.5703125" style="67" customWidth="1"/>
    <col min="14" max="14" width="5.5703125" style="68" customWidth="1"/>
    <col min="15" max="22" width="5.5703125" style="67" customWidth="1"/>
    <col min="23" max="23" width="0.7109375" style="67" customWidth="1"/>
    <col min="24" max="24" width="16.85546875" style="67" customWidth="1"/>
    <col min="25" max="25" width="13.7109375" style="67" customWidth="1"/>
    <col min="26" max="26" width="13.5703125" style="67" customWidth="1"/>
    <col min="27" max="27" width="12.5703125" style="67" customWidth="1"/>
    <col min="28" max="42" width="5" style="67" customWidth="1"/>
    <col min="43" max="43" width="3.140625" style="67" customWidth="1"/>
    <col min="44" max="46" width="11.28515625" style="67" customWidth="1"/>
    <col min="47" max="16384" width="11.42578125" style="67"/>
  </cols>
  <sheetData>
    <row r="1" spans="1:34" ht="31.5" customHeight="1">
      <c r="B1" s="170" t="s">
        <v>58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</row>
    <row r="2" spans="1:34" ht="15" customHeight="1">
      <c r="C2" s="84"/>
      <c r="Y2" s="79" t="s">
        <v>7</v>
      </c>
      <c r="Z2" s="84"/>
      <c r="AA2" s="87"/>
    </row>
    <row r="3" spans="1:34" ht="15" customHeight="1">
      <c r="C3" s="84"/>
      <c r="Y3" s="79" t="s">
        <v>80</v>
      </c>
      <c r="AA3" s="87"/>
    </row>
    <row r="4" spans="1:34" ht="15" customHeight="1">
      <c r="C4" s="84"/>
      <c r="Y4" s="79" t="s">
        <v>81</v>
      </c>
      <c r="Z4" s="84"/>
      <c r="AA4" s="87"/>
    </row>
    <row r="5" spans="1:34" ht="15" customHeight="1">
      <c r="C5" s="84"/>
      <c r="Y5" s="79" t="s">
        <v>83</v>
      </c>
      <c r="Z5" s="84"/>
      <c r="AA5" s="87"/>
    </row>
    <row r="6" spans="1:34" s="1" customFormat="1" ht="15" customHeight="1" thickBot="1">
      <c r="A6" s="57"/>
      <c r="B6" s="64"/>
      <c r="C6" s="64"/>
      <c r="D6" s="64"/>
      <c r="E6" s="64"/>
      <c r="F6" s="64"/>
      <c r="G6" s="64"/>
      <c r="H6" s="64"/>
      <c r="I6" s="64"/>
      <c r="J6" s="64"/>
      <c r="K6" s="64"/>
      <c r="L6" s="67"/>
      <c r="M6" s="67"/>
      <c r="N6" s="68"/>
      <c r="O6" s="67"/>
      <c r="P6" s="67"/>
      <c r="Q6" s="67"/>
      <c r="R6" s="67"/>
      <c r="S6" s="67"/>
      <c r="T6" s="67"/>
      <c r="U6" s="67"/>
      <c r="V6" s="67"/>
      <c r="W6" s="67"/>
      <c r="X6" s="67"/>
      <c r="Z6" s="67"/>
      <c r="AA6" s="67"/>
      <c r="AB6" s="67"/>
      <c r="AC6" s="67"/>
    </row>
    <row r="7" spans="1:34" s="65" customFormat="1" ht="15" customHeight="1" thickBot="1">
      <c r="A7" s="58"/>
      <c r="B7" s="88" t="s">
        <v>0</v>
      </c>
      <c r="C7" s="80">
        <v>0.3125</v>
      </c>
      <c r="D7" s="81">
        <v>0.33333333333333298</v>
      </c>
      <c r="E7" s="81">
        <v>0.35416666666666702</v>
      </c>
      <c r="F7" s="81">
        <v>0.375</v>
      </c>
      <c r="G7" s="81">
        <v>0.39583333333333298</v>
      </c>
      <c r="H7" s="81">
        <v>0.41666666666666702</v>
      </c>
      <c r="I7" s="81">
        <v>0.4375</v>
      </c>
      <c r="J7" s="81">
        <v>0.45833333333333298</v>
      </c>
      <c r="K7" s="81">
        <v>0.47916666666666702</v>
      </c>
      <c r="L7" s="81">
        <v>0.5</v>
      </c>
      <c r="M7" s="81">
        <v>0.52083333333333304</v>
      </c>
      <c r="N7" s="81">
        <v>4.1666666666666664E-2</v>
      </c>
      <c r="O7" s="81">
        <v>6.25E-2</v>
      </c>
      <c r="P7" s="81">
        <v>8.3333333333333329E-2</v>
      </c>
      <c r="Q7" s="81">
        <v>0.104166666666667</v>
      </c>
      <c r="R7" s="81">
        <v>0.125</v>
      </c>
      <c r="S7" s="81">
        <v>0.14583333333333301</v>
      </c>
      <c r="T7" s="81">
        <v>0.16666666666666599</v>
      </c>
      <c r="U7" s="81">
        <v>0.187499999999999</v>
      </c>
      <c r="V7" s="82">
        <v>0.20833333333333201</v>
      </c>
      <c r="W7" s="67"/>
      <c r="X7" s="171" t="s">
        <v>6</v>
      </c>
      <c r="Y7" s="171" t="s">
        <v>55</v>
      </c>
      <c r="Z7" s="171" t="s">
        <v>56</v>
      </c>
      <c r="AA7" s="173" t="s">
        <v>4</v>
      </c>
    </row>
    <row r="8" spans="1:34" ht="15" customHeight="1" thickBot="1">
      <c r="B8" s="88" t="s">
        <v>2</v>
      </c>
      <c r="C8" s="140">
        <v>1</v>
      </c>
      <c r="D8" s="141">
        <v>2</v>
      </c>
      <c r="E8" s="141">
        <v>3</v>
      </c>
      <c r="F8" s="141">
        <v>4</v>
      </c>
      <c r="G8" s="141">
        <v>5</v>
      </c>
      <c r="H8" s="141">
        <v>6</v>
      </c>
      <c r="I8" s="141">
        <v>7</v>
      </c>
      <c r="J8" s="141">
        <v>8</v>
      </c>
      <c r="K8" s="141">
        <v>9</v>
      </c>
      <c r="L8" s="141">
        <v>10</v>
      </c>
      <c r="M8" s="141">
        <v>11</v>
      </c>
      <c r="N8" s="141">
        <v>12</v>
      </c>
      <c r="O8" s="141">
        <v>13</v>
      </c>
      <c r="P8" s="141">
        <v>14</v>
      </c>
      <c r="Q8" s="141">
        <v>15</v>
      </c>
      <c r="R8" s="141">
        <v>16</v>
      </c>
      <c r="S8" s="141">
        <v>17</v>
      </c>
      <c r="T8" s="141">
        <v>18</v>
      </c>
      <c r="U8" s="141">
        <v>19</v>
      </c>
      <c r="V8" s="142">
        <v>20</v>
      </c>
      <c r="X8" s="172"/>
      <c r="Y8" s="172"/>
      <c r="Z8" s="172"/>
      <c r="AA8" s="174"/>
      <c r="AC8" s="68"/>
      <c r="AD8" s="68"/>
      <c r="AE8" s="68"/>
      <c r="AF8" s="68"/>
      <c r="AG8" s="68"/>
      <c r="AH8" s="68"/>
    </row>
    <row r="9" spans="1:34" ht="15" customHeight="1">
      <c r="A9" s="139"/>
      <c r="B9" s="150">
        <v>38</v>
      </c>
      <c r="C9" s="144">
        <f t="shared" ref="C9:L18" si="0">SUMIFS(SumaTA,CentroTA,$B9,TurnoTA,C$8)</f>
        <v>1</v>
      </c>
      <c r="D9" s="144">
        <f t="shared" si="0"/>
        <v>0</v>
      </c>
      <c r="E9" s="144">
        <f t="shared" si="0"/>
        <v>1</v>
      </c>
      <c r="F9" s="144">
        <f t="shared" si="0"/>
        <v>1</v>
      </c>
      <c r="G9" s="144">
        <f t="shared" si="0"/>
        <v>1</v>
      </c>
      <c r="H9" s="144">
        <f t="shared" si="0"/>
        <v>1</v>
      </c>
      <c r="I9" s="144">
        <f t="shared" si="0"/>
        <v>1</v>
      </c>
      <c r="J9" s="144">
        <f t="shared" si="0"/>
        <v>1</v>
      </c>
      <c r="K9" s="144">
        <f t="shared" si="0"/>
        <v>1</v>
      </c>
      <c r="L9" s="144">
        <f t="shared" si="0"/>
        <v>1</v>
      </c>
      <c r="M9" s="144">
        <f t="shared" ref="M9:V18" si="1">SUMIFS(SumaTA,CentroTA,$B9,TurnoTA,M$8)</f>
        <v>1</v>
      </c>
      <c r="N9" s="144">
        <f t="shared" si="1"/>
        <v>1</v>
      </c>
      <c r="O9" s="144">
        <f t="shared" si="1"/>
        <v>1</v>
      </c>
      <c r="P9" s="144">
        <f t="shared" si="1"/>
        <v>1</v>
      </c>
      <c r="Q9" s="144">
        <f t="shared" si="1"/>
        <v>0</v>
      </c>
      <c r="R9" s="144">
        <f t="shared" si="1"/>
        <v>0</v>
      </c>
      <c r="S9" s="144">
        <f t="shared" si="1"/>
        <v>0</v>
      </c>
      <c r="T9" s="144">
        <f t="shared" si="1"/>
        <v>0</v>
      </c>
      <c r="U9" s="144">
        <f t="shared" si="1"/>
        <v>0</v>
      </c>
      <c r="V9" s="145">
        <f t="shared" si="1"/>
        <v>0</v>
      </c>
      <c r="X9" s="113" t="s">
        <v>59</v>
      </c>
      <c r="Y9" s="116">
        <f t="shared" ref="Y9:Y35" si="2">SUMIF(CentroTA,$B9,Leonardo_Salcedo)</f>
        <v>102</v>
      </c>
      <c r="Z9" s="116">
        <f t="shared" ref="Z9:Z35" si="3">SUMIF(CentroTA,$B9,Cesar_Perez_Vivas)</f>
        <v>97</v>
      </c>
      <c r="AA9" s="135">
        <f t="shared" ref="AA9:AA35" si="4">SUMIF(CentroTA,$B9,OtroTA)</f>
        <v>89</v>
      </c>
    </row>
    <row r="10" spans="1:34" ht="15" customHeight="1">
      <c r="A10" s="139"/>
      <c r="B10" s="151">
        <v>39</v>
      </c>
      <c r="C10" s="70">
        <f t="shared" si="0"/>
        <v>1</v>
      </c>
      <c r="D10" s="70">
        <f t="shared" si="0"/>
        <v>0</v>
      </c>
      <c r="E10" s="70">
        <f t="shared" si="0"/>
        <v>1</v>
      </c>
      <c r="F10" s="70">
        <f t="shared" si="0"/>
        <v>1</v>
      </c>
      <c r="G10" s="70">
        <f t="shared" si="0"/>
        <v>1</v>
      </c>
      <c r="H10" s="70">
        <f t="shared" si="0"/>
        <v>0</v>
      </c>
      <c r="I10" s="70">
        <f t="shared" si="0"/>
        <v>1</v>
      </c>
      <c r="J10" s="70">
        <f t="shared" si="0"/>
        <v>1</v>
      </c>
      <c r="K10" s="70">
        <f t="shared" si="0"/>
        <v>1</v>
      </c>
      <c r="L10" s="70">
        <f t="shared" si="0"/>
        <v>1</v>
      </c>
      <c r="M10" s="70">
        <f t="shared" si="1"/>
        <v>1</v>
      </c>
      <c r="N10" s="70">
        <f t="shared" si="1"/>
        <v>1</v>
      </c>
      <c r="O10" s="70">
        <f t="shared" si="1"/>
        <v>2</v>
      </c>
      <c r="P10" s="70">
        <f t="shared" si="1"/>
        <v>0</v>
      </c>
      <c r="Q10" s="70">
        <f t="shared" si="1"/>
        <v>1</v>
      </c>
      <c r="R10" s="70">
        <f t="shared" si="1"/>
        <v>1</v>
      </c>
      <c r="S10" s="70">
        <f t="shared" si="1"/>
        <v>0</v>
      </c>
      <c r="T10" s="70">
        <f t="shared" si="1"/>
        <v>0</v>
      </c>
      <c r="U10" s="70">
        <f t="shared" si="1"/>
        <v>0</v>
      </c>
      <c r="V10" s="138">
        <f t="shared" si="1"/>
        <v>0</v>
      </c>
      <c r="X10" s="113" t="s">
        <v>59</v>
      </c>
      <c r="Y10" s="116">
        <f t="shared" si="2"/>
        <v>137</v>
      </c>
      <c r="Z10" s="116">
        <f t="shared" si="3"/>
        <v>77</v>
      </c>
      <c r="AA10" s="135">
        <f t="shared" si="4"/>
        <v>61</v>
      </c>
    </row>
    <row r="11" spans="1:34" ht="15" customHeight="1">
      <c r="A11" s="139"/>
      <c r="B11" s="151">
        <v>40</v>
      </c>
      <c r="C11" s="70">
        <f t="shared" si="0"/>
        <v>1</v>
      </c>
      <c r="D11" s="70">
        <f t="shared" si="0"/>
        <v>0</v>
      </c>
      <c r="E11" s="70">
        <f t="shared" si="0"/>
        <v>0</v>
      </c>
      <c r="F11" s="70">
        <f t="shared" si="0"/>
        <v>0</v>
      </c>
      <c r="G11" s="70">
        <f t="shared" si="0"/>
        <v>0</v>
      </c>
      <c r="H11" s="70">
        <f t="shared" si="0"/>
        <v>0</v>
      </c>
      <c r="I11" s="70">
        <f t="shared" si="0"/>
        <v>0</v>
      </c>
      <c r="J11" s="70">
        <f t="shared" si="0"/>
        <v>0</v>
      </c>
      <c r="K11" s="70">
        <f t="shared" si="0"/>
        <v>0</v>
      </c>
      <c r="L11" s="70">
        <f t="shared" si="0"/>
        <v>0</v>
      </c>
      <c r="M11" s="70">
        <f t="shared" si="1"/>
        <v>0</v>
      </c>
      <c r="N11" s="70">
        <f t="shared" si="1"/>
        <v>0</v>
      </c>
      <c r="O11" s="70">
        <f t="shared" si="1"/>
        <v>0</v>
      </c>
      <c r="P11" s="70">
        <f t="shared" si="1"/>
        <v>0</v>
      </c>
      <c r="Q11" s="70">
        <f t="shared" si="1"/>
        <v>0</v>
      </c>
      <c r="R11" s="70">
        <f t="shared" si="1"/>
        <v>0</v>
      </c>
      <c r="S11" s="70">
        <f t="shared" si="1"/>
        <v>0</v>
      </c>
      <c r="T11" s="70">
        <f t="shared" si="1"/>
        <v>0</v>
      </c>
      <c r="U11" s="70">
        <f t="shared" si="1"/>
        <v>0</v>
      </c>
      <c r="V11" s="138">
        <f t="shared" si="1"/>
        <v>0</v>
      </c>
      <c r="X11" s="113" t="s">
        <v>40</v>
      </c>
      <c r="Y11" s="116">
        <f t="shared" si="2"/>
        <v>1</v>
      </c>
      <c r="Z11" s="116">
        <f t="shared" si="3"/>
        <v>1</v>
      </c>
      <c r="AA11" s="135">
        <f t="shared" si="4"/>
        <v>1</v>
      </c>
    </row>
    <row r="12" spans="1:34" ht="15" customHeight="1">
      <c r="A12" s="139"/>
      <c r="B12" s="151">
        <v>41</v>
      </c>
      <c r="C12" s="70">
        <f t="shared" si="0"/>
        <v>0</v>
      </c>
      <c r="D12" s="70">
        <f t="shared" si="0"/>
        <v>0</v>
      </c>
      <c r="E12" s="70">
        <f t="shared" si="0"/>
        <v>0</v>
      </c>
      <c r="F12" s="70">
        <f t="shared" si="0"/>
        <v>0</v>
      </c>
      <c r="G12" s="70">
        <f t="shared" si="0"/>
        <v>0</v>
      </c>
      <c r="H12" s="70">
        <f t="shared" si="0"/>
        <v>0</v>
      </c>
      <c r="I12" s="70">
        <f t="shared" si="0"/>
        <v>0</v>
      </c>
      <c r="J12" s="70">
        <f t="shared" si="0"/>
        <v>0</v>
      </c>
      <c r="K12" s="70">
        <f t="shared" si="0"/>
        <v>0</v>
      </c>
      <c r="L12" s="70">
        <f t="shared" si="0"/>
        <v>0</v>
      </c>
      <c r="M12" s="70">
        <f t="shared" si="1"/>
        <v>0</v>
      </c>
      <c r="N12" s="70">
        <f t="shared" si="1"/>
        <v>0</v>
      </c>
      <c r="O12" s="70">
        <f t="shared" si="1"/>
        <v>0</v>
      </c>
      <c r="P12" s="70">
        <f t="shared" si="1"/>
        <v>0</v>
      </c>
      <c r="Q12" s="70">
        <f t="shared" si="1"/>
        <v>0</v>
      </c>
      <c r="R12" s="70">
        <f t="shared" si="1"/>
        <v>0</v>
      </c>
      <c r="S12" s="70">
        <f t="shared" si="1"/>
        <v>0</v>
      </c>
      <c r="T12" s="70">
        <f t="shared" si="1"/>
        <v>0</v>
      </c>
      <c r="U12" s="70">
        <f t="shared" si="1"/>
        <v>0</v>
      </c>
      <c r="V12" s="138">
        <f t="shared" si="1"/>
        <v>0</v>
      </c>
      <c r="X12" s="113" t="s">
        <v>40</v>
      </c>
      <c r="Y12" s="116">
        <f t="shared" si="2"/>
        <v>0</v>
      </c>
      <c r="Z12" s="116">
        <f t="shared" si="3"/>
        <v>0</v>
      </c>
      <c r="AA12" s="135">
        <f t="shared" si="4"/>
        <v>0</v>
      </c>
    </row>
    <row r="13" spans="1:34" ht="15" customHeight="1">
      <c r="A13" s="139"/>
      <c r="B13" s="151">
        <v>42</v>
      </c>
      <c r="C13" s="70">
        <f t="shared" si="0"/>
        <v>0</v>
      </c>
      <c r="D13" s="70">
        <f t="shared" si="0"/>
        <v>0</v>
      </c>
      <c r="E13" s="70">
        <f t="shared" si="0"/>
        <v>0</v>
      </c>
      <c r="F13" s="70">
        <f t="shared" si="0"/>
        <v>0</v>
      </c>
      <c r="G13" s="70">
        <f t="shared" si="0"/>
        <v>0</v>
      </c>
      <c r="H13" s="70">
        <f t="shared" si="0"/>
        <v>0</v>
      </c>
      <c r="I13" s="70">
        <f t="shared" si="0"/>
        <v>0</v>
      </c>
      <c r="J13" s="70">
        <f t="shared" si="0"/>
        <v>0</v>
      </c>
      <c r="K13" s="70">
        <f t="shared" si="0"/>
        <v>0</v>
      </c>
      <c r="L13" s="70">
        <f t="shared" si="0"/>
        <v>0</v>
      </c>
      <c r="M13" s="70">
        <f t="shared" si="1"/>
        <v>0</v>
      </c>
      <c r="N13" s="70">
        <f t="shared" si="1"/>
        <v>0</v>
      </c>
      <c r="O13" s="70">
        <f t="shared" si="1"/>
        <v>0</v>
      </c>
      <c r="P13" s="70">
        <f t="shared" si="1"/>
        <v>0</v>
      </c>
      <c r="Q13" s="70">
        <f t="shared" si="1"/>
        <v>0</v>
      </c>
      <c r="R13" s="70">
        <f t="shared" si="1"/>
        <v>0</v>
      </c>
      <c r="S13" s="70">
        <f t="shared" si="1"/>
        <v>0</v>
      </c>
      <c r="T13" s="70">
        <f t="shared" si="1"/>
        <v>0</v>
      </c>
      <c r="U13" s="70">
        <f t="shared" si="1"/>
        <v>0</v>
      </c>
      <c r="V13" s="138">
        <f t="shared" si="1"/>
        <v>0</v>
      </c>
      <c r="X13" s="113" t="s">
        <v>9</v>
      </c>
      <c r="Y13" s="116">
        <f t="shared" si="2"/>
        <v>0</v>
      </c>
      <c r="Z13" s="116">
        <f t="shared" si="3"/>
        <v>0</v>
      </c>
      <c r="AA13" s="135">
        <f t="shared" si="4"/>
        <v>0</v>
      </c>
    </row>
    <row r="14" spans="1:34" ht="15" customHeight="1">
      <c r="A14" s="139"/>
      <c r="B14" s="151">
        <v>43</v>
      </c>
      <c r="C14" s="70">
        <f t="shared" si="0"/>
        <v>0</v>
      </c>
      <c r="D14" s="70">
        <f t="shared" si="0"/>
        <v>1</v>
      </c>
      <c r="E14" s="70">
        <f t="shared" si="0"/>
        <v>1</v>
      </c>
      <c r="F14" s="70">
        <f t="shared" si="0"/>
        <v>1</v>
      </c>
      <c r="G14" s="70">
        <f t="shared" si="0"/>
        <v>1</v>
      </c>
      <c r="H14" s="70">
        <f t="shared" si="0"/>
        <v>1</v>
      </c>
      <c r="I14" s="70">
        <f t="shared" si="0"/>
        <v>1</v>
      </c>
      <c r="J14" s="70">
        <f t="shared" si="0"/>
        <v>1</v>
      </c>
      <c r="K14" s="70">
        <f t="shared" si="0"/>
        <v>1</v>
      </c>
      <c r="L14" s="70">
        <f t="shared" si="0"/>
        <v>1</v>
      </c>
      <c r="M14" s="70">
        <f t="shared" si="1"/>
        <v>0</v>
      </c>
      <c r="N14" s="70">
        <f t="shared" si="1"/>
        <v>1</v>
      </c>
      <c r="O14" s="70">
        <f t="shared" si="1"/>
        <v>1</v>
      </c>
      <c r="P14" s="70">
        <f t="shared" si="1"/>
        <v>1</v>
      </c>
      <c r="Q14" s="70">
        <f t="shared" si="1"/>
        <v>0</v>
      </c>
      <c r="R14" s="70">
        <f t="shared" si="1"/>
        <v>0</v>
      </c>
      <c r="S14" s="70">
        <f t="shared" si="1"/>
        <v>0</v>
      </c>
      <c r="T14" s="70">
        <f t="shared" si="1"/>
        <v>0</v>
      </c>
      <c r="U14" s="70">
        <f t="shared" si="1"/>
        <v>0</v>
      </c>
      <c r="V14" s="138">
        <f t="shared" si="1"/>
        <v>0</v>
      </c>
      <c r="X14" s="113" t="s">
        <v>60</v>
      </c>
      <c r="Y14" s="116">
        <f t="shared" si="2"/>
        <v>59</v>
      </c>
      <c r="Z14" s="116">
        <f t="shared" si="3"/>
        <v>64</v>
      </c>
      <c r="AA14" s="135">
        <f t="shared" si="4"/>
        <v>26</v>
      </c>
    </row>
    <row r="15" spans="1:34" ht="15" customHeight="1">
      <c r="A15" s="139"/>
      <c r="B15" s="151">
        <v>44</v>
      </c>
      <c r="C15" s="70">
        <f t="shared" si="0"/>
        <v>1</v>
      </c>
      <c r="D15" s="70">
        <f t="shared" si="0"/>
        <v>1</v>
      </c>
      <c r="E15" s="70">
        <f t="shared" si="0"/>
        <v>2</v>
      </c>
      <c r="F15" s="70">
        <f t="shared" si="0"/>
        <v>2</v>
      </c>
      <c r="G15" s="70">
        <f t="shared" si="0"/>
        <v>2</v>
      </c>
      <c r="H15" s="70">
        <f t="shared" si="0"/>
        <v>1</v>
      </c>
      <c r="I15" s="70">
        <f t="shared" si="0"/>
        <v>2</v>
      </c>
      <c r="J15" s="70">
        <f t="shared" si="0"/>
        <v>1</v>
      </c>
      <c r="K15" s="70">
        <f t="shared" si="0"/>
        <v>1</v>
      </c>
      <c r="L15" s="70">
        <f t="shared" si="0"/>
        <v>1</v>
      </c>
      <c r="M15" s="70">
        <f t="shared" si="1"/>
        <v>1</v>
      </c>
      <c r="N15" s="70">
        <f t="shared" si="1"/>
        <v>1</v>
      </c>
      <c r="O15" s="70">
        <f t="shared" si="1"/>
        <v>1</v>
      </c>
      <c r="P15" s="70">
        <f t="shared" si="1"/>
        <v>1</v>
      </c>
      <c r="Q15" s="70">
        <f t="shared" si="1"/>
        <v>1</v>
      </c>
      <c r="R15" s="70">
        <f t="shared" si="1"/>
        <v>1</v>
      </c>
      <c r="S15" s="70">
        <f t="shared" si="1"/>
        <v>1</v>
      </c>
      <c r="T15" s="70">
        <f t="shared" si="1"/>
        <v>0</v>
      </c>
      <c r="U15" s="70">
        <f t="shared" si="1"/>
        <v>0</v>
      </c>
      <c r="V15" s="138">
        <f t="shared" si="1"/>
        <v>0</v>
      </c>
      <c r="X15" s="113" t="s">
        <v>60</v>
      </c>
      <c r="Y15" s="116">
        <f t="shared" si="2"/>
        <v>130</v>
      </c>
      <c r="Z15" s="116">
        <f t="shared" si="3"/>
        <v>106</v>
      </c>
      <c r="AA15" s="135">
        <f t="shared" si="4"/>
        <v>40</v>
      </c>
    </row>
    <row r="16" spans="1:34" ht="15" customHeight="1">
      <c r="A16" s="139"/>
      <c r="B16" s="151">
        <v>45</v>
      </c>
      <c r="C16" s="70">
        <f t="shared" si="0"/>
        <v>1</v>
      </c>
      <c r="D16" s="70">
        <f t="shared" si="0"/>
        <v>1</v>
      </c>
      <c r="E16" s="70">
        <f t="shared" si="0"/>
        <v>1</v>
      </c>
      <c r="F16" s="70">
        <f t="shared" si="0"/>
        <v>2</v>
      </c>
      <c r="G16" s="70">
        <f t="shared" si="0"/>
        <v>1</v>
      </c>
      <c r="H16" s="70">
        <f t="shared" si="0"/>
        <v>1</v>
      </c>
      <c r="I16" s="70">
        <f t="shared" si="0"/>
        <v>1</v>
      </c>
      <c r="J16" s="70">
        <f t="shared" si="0"/>
        <v>1</v>
      </c>
      <c r="K16" s="70">
        <f t="shared" si="0"/>
        <v>2</v>
      </c>
      <c r="L16" s="70">
        <f t="shared" si="0"/>
        <v>1</v>
      </c>
      <c r="M16" s="70">
        <f t="shared" si="1"/>
        <v>1</v>
      </c>
      <c r="N16" s="70">
        <f t="shared" si="1"/>
        <v>0</v>
      </c>
      <c r="O16" s="70">
        <f t="shared" si="1"/>
        <v>0</v>
      </c>
      <c r="P16" s="70">
        <f t="shared" si="1"/>
        <v>0</v>
      </c>
      <c r="Q16" s="70">
        <f t="shared" si="1"/>
        <v>0</v>
      </c>
      <c r="R16" s="70">
        <f t="shared" si="1"/>
        <v>0</v>
      </c>
      <c r="S16" s="70">
        <f t="shared" si="1"/>
        <v>0</v>
      </c>
      <c r="T16" s="70">
        <f t="shared" si="1"/>
        <v>0</v>
      </c>
      <c r="U16" s="70">
        <f t="shared" si="1"/>
        <v>0</v>
      </c>
      <c r="V16" s="138">
        <f t="shared" si="1"/>
        <v>0</v>
      </c>
      <c r="X16" s="113" t="s">
        <v>60</v>
      </c>
      <c r="Y16" s="116">
        <f t="shared" si="2"/>
        <v>104</v>
      </c>
      <c r="Z16" s="116">
        <f t="shared" si="3"/>
        <v>129</v>
      </c>
      <c r="AA16" s="135">
        <f t="shared" si="4"/>
        <v>29</v>
      </c>
    </row>
    <row r="17" spans="1:27" ht="15" customHeight="1">
      <c r="A17" s="139"/>
      <c r="B17" s="151">
        <v>46</v>
      </c>
      <c r="C17" s="70">
        <f t="shared" si="0"/>
        <v>0</v>
      </c>
      <c r="D17" s="70">
        <f t="shared" si="0"/>
        <v>0</v>
      </c>
      <c r="E17" s="70">
        <f t="shared" si="0"/>
        <v>0</v>
      </c>
      <c r="F17" s="70">
        <f t="shared" si="0"/>
        <v>0</v>
      </c>
      <c r="G17" s="70">
        <f t="shared" si="0"/>
        <v>0</v>
      </c>
      <c r="H17" s="70">
        <f t="shared" si="0"/>
        <v>0</v>
      </c>
      <c r="I17" s="70">
        <f t="shared" si="0"/>
        <v>0</v>
      </c>
      <c r="J17" s="70">
        <f t="shared" si="0"/>
        <v>0</v>
      </c>
      <c r="K17" s="70">
        <f t="shared" si="0"/>
        <v>0</v>
      </c>
      <c r="L17" s="70">
        <f t="shared" si="0"/>
        <v>0</v>
      </c>
      <c r="M17" s="70">
        <f t="shared" si="1"/>
        <v>0</v>
      </c>
      <c r="N17" s="70">
        <f t="shared" si="1"/>
        <v>0</v>
      </c>
      <c r="O17" s="70">
        <f t="shared" si="1"/>
        <v>0</v>
      </c>
      <c r="P17" s="70">
        <f t="shared" si="1"/>
        <v>0</v>
      </c>
      <c r="Q17" s="70">
        <f t="shared" si="1"/>
        <v>0</v>
      </c>
      <c r="R17" s="70">
        <f t="shared" si="1"/>
        <v>0</v>
      </c>
      <c r="S17" s="70">
        <f t="shared" si="1"/>
        <v>0</v>
      </c>
      <c r="T17" s="70">
        <f t="shared" si="1"/>
        <v>0</v>
      </c>
      <c r="U17" s="70">
        <f t="shared" si="1"/>
        <v>0</v>
      </c>
      <c r="V17" s="138">
        <f t="shared" si="1"/>
        <v>0</v>
      </c>
      <c r="X17" s="113" t="s">
        <v>61</v>
      </c>
      <c r="Y17" s="116">
        <f t="shared" si="2"/>
        <v>0</v>
      </c>
      <c r="Z17" s="116">
        <f t="shared" si="3"/>
        <v>0</v>
      </c>
      <c r="AA17" s="135">
        <f t="shared" si="4"/>
        <v>0</v>
      </c>
    </row>
    <row r="18" spans="1:27" ht="15" customHeight="1">
      <c r="A18" s="139"/>
      <c r="B18" s="151">
        <v>47</v>
      </c>
      <c r="C18" s="70">
        <f t="shared" si="0"/>
        <v>0</v>
      </c>
      <c r="D18" s="70">
        <f t="shared" si="0"/>
        <v>0</v>
      </c>
      <c r="E18" s="70">
        <f t="shared" si="0"/>
        <v>0</v>
      </c>
      <c r="F18" s="70">
        <f t="shared" si="0"/>
        <v>0</v>
      </c>
      <c r="G18" s="70">
        <f t="shared" si="0"/>
        <v>0</v>
      </c>
      <c r="H18" s="70">
        <f t="shared" si="0"/>
        <v>0</v>
      </c>
      <c r="I18" s="70">
        <f t="shared" si="0"/>
        <v>0</v>
      </c>
      <c r="J18" s="70">
        <f t="shared" si="0"/>
        <v>0</v>
      </c>
      <c r="K18" s="70">
        <f t="shared" si="0"/>
        <v>0</v>
      </c>
      <c r="L18" s="70">
        <f t="shared" si="0"/>
        <v>0</v>
      </c>
      <c r="M18" s="70">
        <f t="shared" si="1"/>
        <v>0</v>
      </c>
      <c r="N18" s="70">
        <f t="shared" si="1"/>
        <v>0</v>
      </c>
      <c r="O18" s="70">
        <f t="shared" si="1"/>
        <v>0</v>
      </c>
      <c r="P18" s="70">
        <f t="shared" si="1"/>
        <v>0</v>
      </c>
      <c r="Q18" s="70">
        <f t="shared" si="1"/>
        <v>0</v>
      </c>
      <c r="R18" s="70">
        <f t="shared" si="1"/>
        <v>0</v>
      </c>
      <c r="S18" s="70">
        <f t="shared" si="1"/>
        <v>0</v>
      </c>
      <c r="T18" s="70">
        <f t="shared" si="1"/>
        <v>0</v>
      </c>
      <c r="U18" s="70">
        <f t="shared" si="1"/>
        <v>0</v>
      </c>
      <c r="V18" s="138">
        <f t="shared" si="1"/>
        <v>0</v>
      </c>
      <c r="X18" s="113" t="s">
        <v>61</v>
      </c>
      <c r="Y18" s="116">
        <f t="shared" si="2"/>
        <v>0</v>
      </c>
      <c r="Z18" s="116">
        <f t="shared" si="3"/>
        <v>0</v>
      </c>
      <c r="AA18" s="135">
        <f t="shared" si="4"/>
        <v>0</v>
      </c>
    </row>
    <row r="19" spans="1:27" ht="15" customHeight="1">
      <c r="A19" s="139"/>
      <c r="B19" s="151">
        <v>48</v>
      </c>
      <c r="C19" s="70">
        <f t="shared" ref="C19:L28" si="5">SUMIFS(SumaTA,CentroTA,$B19,TurnoTA,C$8)</f>
        <v>2</v>
      </c>
      <c r="D19" s="70">
        <f t="shared" si="5"/>
        <v>0</v>
      </c>
      <c r="E19" s="70">
        <f t="shared" si="5"/>
        <v>1</v>
      </c>
      <c r="F19" s="70">
        <f t="shared" si="5"/>
        <v>1</v>
      </c>
      <c r="G19" s="70">
        <f t="shared" si="5"/>
        <v>1</v>
      </c>
      <c r="H19" s="70">
        <f t="shared" si="5"/>
        <v>1</v>
      </c>
      <c r="I19" s="70">
        <f t="shared" si="5"/>
        <v>1</v>
      </c>
      <c r="J19" s="70">
        <f t="shared" si="5"/>
        <v>1</v>
      </c>
      <c r="K19" s="70">
        <f t="shared" si="5"/>
        <v>1</v>
      </c>
      <c r="L19" s="70">
        <f t="shared" si="5"/>
        <v>1</v>
      </c>
      <c r="M19" s="70">
        <f t="shared" ref="M19:V28" si="6">SUMIFS(SumaTA,CentroTA,$B19,TurnoTA,M$8)</f>
        <v>1</v>
      </c>
      <c r="N19" s="70">
        <f t="shared" si="6"/>
        <v>1</v>
      </c>
      <c r="O19" s="70">
        <f t="shared" si="6"/>
        <v>1</v>
      </c>
      <c r="P19" s="70">
        <f t="shared" si="6"/>
        <v>1</v>
      </c>
      <c r="Q19" s="70">
        <f t="shared" si="6"/>
        <v>0</v>
      </c>
      <c r="R19" s="70">
        <f t="shared" si="6"/>
        <v>0</v>
      </c>
      <c r="S19" s="70">
        <f t="shared" si="6"/>
        <v>0</v>
      </c>
      <c r="T19" s="70">
        <f t="shared" si="6"/>
        <v>0</v>
      </c>
      <c r="U19" s="70">
        <f t="shared" si="6"/>
        <v>0</v>
      </c>
      <c r="V19" s="138">
        <f t="shared" si="6"/>
        <v>0</v>
      </c>
      <c r="X19" s="113" t="s">
        <v>62</v>
      </c>
      <c r="Y19" s="116">
        <f t="shared" si="2"/>
        <v>106</v>
      </c>
      <c r="Z19" s="116">
        <f t="shared" si="3"/>
        <v>145</v>
      </c>
      <c r="AA19" s="135">
        <f t="shared" si="4"/>
        <v>43</v>
      </c>
    </row>
    <row r="20" spans="1:27" ht="15" customHeight="1">
      <c r="A20" s="139"/>
      <c r="B20" s="151">
        <v>49</v>
      </c>
      <c r="C20" s="70">
        <f t="shared" si="5"/>
        <v>1</v>
      </c>
      <c r="D20" s="70">
        <f t="shared" si="5"/>
        <v>1</v>
      </c>
      <c r="E20" s="70">
        <f t="shared" si="5"/>
        <v>1</v>
      </c>
      <c r="F20" s="70">
        <f t="shared" si="5"/>
        <v>1</v>
      </c>
      <c r="G20" s="70">
        <f t="shared" si="5"/>
        <v>1</v>
      </c>
      <c r="H20" s="70">
        <f t="shared" si="5"/>
        <v>1</v>
      </c>
      <c r="I20" s="70">
        <f t="shared" si="5"/>
        <v>1</v>
      </c>
      <c r="J20" s="70">
        <f t="shared" si="5"/>
        <v>0</v>
      </c>
      <c r="K20" s="70">
        <f t="shared" si="5"/>
        <v>2</v>
      </c>
      <c r="L20" s="70">
        <f t="shared" si="5"/>
        <v>1</v>
      </c>
      <c r="M20" s="70">
        <f t="shared" si="6"/>
        <v>1</v>
      </c>
      <c r="N20" s="70">
        <f t="shared" si="6"/>
        <v>1</v>
      </c>
      <c r="O20" s="70">
        <f t="shared" si="6"/>
        <v>1</v>
      </c>
      <c r="P20" s="70">
        <f t="shared" si="6"/>
        <v>1</v>
      </c>
      <c r="Q20" s="70">
        <f t="shared" si="6"/>
        <v>1</v>
      </c>
      <c r="R20" s="70">
        <f t="shared" si="6"/>
        <v>1</v>
      </c>
      <c r="S20" s="70">
        <f t="shared" si="6"/>
        <v>0</v>
      </c>
      <c r="T20" s="70">
        <f t="shared" si="6"/>
        <v>0</v>
      </c>
      <c r="U20" s="70">
        <f t="shared" si="6"/>
        <v>0</v>
      </c>
      <c r="V20" s="138">
        <f t="shared" si="6"/>
        <v>0</v>
      </c>
      <c r="X20" s="113" t="s">
        <v>62</v>
      </c>
      <c r="Y20" s="116">
        <f t="shared" si="2"/>
        <v>95</v>
      </c>
      <c r="Z20" s="116">
        <f t="shared" si="3"/>
        <v>62</v>
      </c>
      <c r="AA20" s="135">
        <f t="shared" si="4"/>
        <v>31</v>
      </c>
    </row>
    <row r="21" spans="1:27" ht="15" customHeight="1">
      <c r="A21" s="139"/>
      <c r="B21" s="151">
        <v>50</v>
      </c>
      <c r="C21" s="70">
        <f t="shared" si="5"/>
        <v>0</v>
      </c>
      <c r="D21" s="70">
        <f t="shared" si="5"/>
        <v>2</v>
      </c>
      <c r="E21" s="70">
        <f t="shared" si="5"/>
        <v>0</v>
      </c>
      <c r="F21" s="70">
        <f t="shared" si="5"/>
        <v>0</v>
      </c>
      <c r="G21" s="70">
        <f t="shared" si="5"/>
        <v>1</v>
      </c>
      <c r="H21" s="70">
        <f t="shared" si="5"/>
        <v>1</v>
      </c>
      <c r="I21" s="70">
        <f t="shared" si="5"/>
        <v>1</v>
      </c>
      <c r="J21" s="70">
        <f t="shared" si="5"/>
        <v>1</v>
      </c>
      <c r="K21" s="70">
        <f t="shared" si="5"/>
        <v>1</v>
      </c>
      <c r="L21" s="70">
        <f t="shared" si="5"/>
        <v>1</v>
      </c>
      <c r="M21" s="70">
        <f t="shared" si="6"/>
        <v>1</v>
      </c>
      <c r="N21" s="70">
        <f t="shared" si="6"/>
        <v>2</v>
      </c>
      <c r="O21" s="70">
        <f t="shared" si="6"/>
        <v>1</v>
      </c>
      <c r="P21" s="70">
        <f t="shared" si="6"/>
        <v>1</v>
      </c>
      <c r="Q21" s="70">
        <f t="shared" si="6"/>
        <v>1</v>
      </c>
      <c r="R21" s="70">
        <f t="shared" si="6"/>
        <v>0</v>
      </c>
      <c r="S21" s="70">
        <f t="shared" si="6"/>
        <v>0</v>
      </c>
      <c r="T21" s="70">
        <f t="shared" si="6"/>
        <v>0</v>
      </c>
      <c r="U21" s="70">
        <f t="shared" si="6"/>
        <v>0</v>
      </c>
      <c r="V21" s="138">
        <f t="shared" si="6"/>
        <v>0</v>
      </c>
      <c r="X21" s="113" t="s">
        <v>62</v>
      </c>
      <c r="Y21" s="116">
        <f t="shared" si="2"/>
        <v>136</v>
      </c>
      <c r="Z21" s="116">
        <f t="shared" si="3"/>
        <v>186</v>
      </c>
      <c r="AA21" s="135">
        <f t="shared" si="4"/>
        <v>3</v>
      </c>
    </row>
    <row r="22" spans="1:27" ht="15" customHeight="1">
      <c r="A22" s="139"/>
      <c r="B22" s="151">
        <v>51</v>
      </c>
      <c r="C22" s="70">
        <f t="shared" si="5"/>
        <v>1</v>
      </c>
      <c r="D22" s="70">
        <f t="shared" si="5"/>
        <v>1</v>
      </c>
      <c r="E22" s="70">
        <f t="shared" si="5"/>
        <v>1</v>
      </c>
      <c r="F22" s="70">
        <f t="shared" si="5"/>
        <v>1</v>
      </c>
      <c r="G22" s="70">
        <f t="shared" si="5"/>
        <v>1</v>
      </c>
      <c r="H22" s="70">
        <f t="shared" si="5"/>
        <v>1</v>
      </c>
      <c r="I22" s="70">
        <f t="shared" si="5"/>
        <v>1</v>
      </c>
      <c r="J22" s="70">
        <f t="shared" si="5"/>
        <v>1</v>
      </c>
      <c r="K22" s="70">
        <f t="shared" si="5"/>
        <v>1</v>
      </c>
      <c r="L22" s="70">
        <f t="shared" si="5"/>
        <v>1</v>
      </c>
      <c r="M22" s="70">
        <f t="shared" si="6"/>
        <v>1</v>
      </c>
      <c r="N22" s="70">
        <f t="shared" si="6"/>
        <v>1</v>
      </c>
      <c r="O22" s="70">
        <f t="shared" si="6"/>
        <v>1</v>
      </c>
      <c r="P22" s="70">
        <f t="shared" si="6"/>
        <v>1</v>
      </c>
      <c r="Q22" s="70">
        <f t="shared" si="6"/>
        <v>1</v>
      </c>
      <c r="R22" s="70">
        <f t="shared" si="6"/>
        <v>1</v>
      </c>
      <c r="S22" s="70">
        <f t="shared" si="6"/>
        <v>0</v>
      </c>
      <c r="T22" s="70">
        <f t="shared" si="6"/>
        <v>0</v>
      </c>
      <c r="U22" s="70">
        <f t="shared" si="6"/>
        <v>0</v>
      </c>
      <c r="V22" s="138">
        <f t="shared" si="6"/>
        <v>0</v>
      </c>
      <c r="X22" s="113" t="s">
        <v>62</v>
      </c>
      <c r="Y22" s="116">
        <f t="shared" si="2"/>
        <v>105</v>
      </c>
      <c r="Z22" s="116">
        <f t="shared" si="3"/>
        <v>232</v>
      </c>
      <c r="AA22" s="135">
        <f t="shared" si="4"/>
        <v>29</v>
      </c>
    </row>
    <row r="23" spans="1:27" ht="15" customHeight="1">
      <c r="A23" s="139"/>
      <c r="B23" s="151">
        <v>52</v>
      </c>
      <c r="C23" s="70">
        <f t="shared" si="5"/>
        <v>0</v>
      </c>
      <c r="D23" s="70">
        <f t="shared" si="5"/>
        <v>0</v>
      </c>
      <c r="E23" s="70">
        <f t="shared" si="5"/>
        <v>0</v>
      </c>
      <c r="F23" s="70">
        <f t="shared" si="5"/>
        <v>0</v>
      </c>
      <c r="G23" s="70">
        <f t="shared" si="5"/>
        <v>0</v>
      </c>
      <c r="H23" s="70">
        <f t="shared" si="5"/>
        <v>0</v>
      </c>
      <c r="I23" s="70">
        <f t="shared" si="5"/>
        <v>0</v>
      </c>
      <c r="J23" s="70">
        <f t="shared" si="5"/>
        <v>0</v>
      </c>
      <c r="K23" s="70">
        <f t="shared" si="5"/>
        <v>0</v>
      </c>
      <c r="L23" s="70">
        <f t="shared" si="5"/>
        <v>0</v>
      </c>
      <c r="M23" s="70">
        <f t="shared" si="6"/>
        <v>0</v>
      </c>
      <c r="N23" s="70">
        <f t="shared" si="6"/>
        <v>0</v>
      </c>
      <c r="O23" s="70">
        <f t="shared" si="6"/>
        <v>0</v>
      </c>
      <c r="P23" s="70">
        <f t="shared" si="6"/>
        <v>0</v>
      </c>
      <c r="Q23" s="70">
        <f t="shared" si="6"/>
        <v>0</v>
      </c>
      <c r="R23" s="70">
        <f t="shared" si="6"/>
        <v>0</v>
      </c>
      <c r="S23" s="70">
        <f t="shared" si="6"/>
        <v>0</v>
      </c>
      <c r="T23" s="70">
        <f t="shared" si="6"/>
        <v>0</v>
      </c>
      <c r="U23" s="70">
        <f t="shared" si="6"/>
        <v>0</v>
      </c>
      <c r="V23" s="138">
        <f t="shared" si="6"/>
        <v>0</v>
      </c>
      <c r="X23" s="113" t="s">
        <v>62</v>
      </c>
      <c r="Y23" s="116">
        <f t="shared" si="2"/>
        <v>0</v>
      </c>
      <c r="Z23" s="116">
        <f t="shared" si="3"/>
        <v>0</v>
      </c>
      <c r="AA23" s="135">
        <f t="shared" si="4"/>
        <v>0</v>
      </c>
    </row>
    <row r="24" spans="1:27" ht="15" customHeight="1">
      <c r="A24" s="139"/>
      <c r="B24" s="151">
        <v>53</v>
      </c>
      <c r="C24" s="70">
        <f t="shared" si="5"/>
        <v>2</v>
      </c>
      <c r="D24" s="70">
        <f t="shared" si="5"/>
        <v>1</v>
      </c>
      <c r="E24" s="70">
        <f t="shared" si="5"/>
        <v>1</v>
      </c>
      <c r="F24" s="70">
        <f t="shared" si="5"/>
        <v>1</v>
      </c>
      <c r="G24" s="70">
        <f t="shared" si="5"/>
        <v>2</v>
      </c>
      <c r="H24" s="70">
        <f t="shared" si="5"/>
        <v>1</v>
      </c>
      <c r="I24" s="70">
        <f t="shared" si="5"/>
        <v>1</v>
      </c>
      <c r="J24" s="70">
        <f t="shared" si="5"/>
        <v>1</v>
      </c>
      <c r="K24" s="70">
        <f t="shared" si="5"/>
        <v>1</v>
      </c>
      <c r="L24" s="70">
        <f t="shared" si="5"/>
        <v>1</v>
      </c>
      <c r="M24" s="70">
        <f t="shared" si="6"/>
        <v>1</v>
      </c>
      <c r="N24" s="70">
        <f t="shared" si="6"/>
        <v>1</v>
      </c>
      <c r="O24" s="70">
        <f t="shared" si="6"/>
        <v>1</v>
      </c>
      <c r="P24" s="70">
        <f t="shared" si="6"/>
        <v>0</v>
      </c>
      <c r="Q24" s="70">
        <f t="shared" si="6"/>
        <v>0</v>
      </c>
      <c r="R24" s="70">
        <f t="shared" si="6"/>
        <v>0</v>
      </c>
      <c r="S24" s="70">
        <f t="shared" si="6"/>
        <v>0</v>
      </c>
      <c r="T24" s="70">
        <f t="shared" si="6"/>
        <v>0</v>
      </c>
      <c r="U24" s="70">
        <f t="shared" si="6"/>
        <v>0</v>
      </c>
      <c r="V24" s="138">
        <f t="shared" si="6"/>
        <v>0</v>
      </c>
      <c r="X24" s="113" t="s">
        <v>62</v>
      </c>
      <c r="Y24" s="116">
        <f t="shared" si="2"/>
        <v>95</v>
      </c>
      <c r="Z24" s="116">
        <f t="shared" si="3"/>
        <v>263</v>
      </c>
      <c r="AA24" s="135">
        <f t="shared" si="4"/>
        <v>5</v>
      </c>
    </row>
    <row r="25" spans="1:27" ht="15" customHeight="1">
      <c r="A25" s="139"/>
      <c r="B25" s="151">
        <v>54</v>
      </c>
      <c r="C25" s="70">
        <f t="shared" si="5"/>
        <v>0</v>
      </c>
      <c r="D25" s="70">
        <f t="shared" si="5"/>
        <v>0</v>
      </c>
      <c r="E25" s="70">
        <f t="shared" si="5"/>
        <v>0</v>
      </c>
      <c r="F25" s="70">
        <f t="shared" si="5"/>
        <v>0</v>
      </c>
      <c r="G25" s="70">
        <f t="shared" si="5"/>
        <v>0</v>
      </c>
      <c r="H25" s="70">
        <f t="shared" si="5"/>
        <v>0</v>
      </c>
      <c r="I25" s="70">
        <f t="shared" si="5"/>
        <v>0</v>
      </c>
      <c r="J25" s="70">
        <f t="shared" si="5"/>
        <v>0</v>
      </c>
      <c r="K25" s="70">
        <f t="shared" si="5"/>
        <v>0</v>
      </c>
      <c r="L25" s="70">
        <f t="shared" si="5"/>
        <v>0</v>
      </c>
      <c r="M25" s="70">
        <f t="shared" si="6"/>
        <v>0</v>
      </c>
      <c r="N25" s="70">
        <f t="shared" si="6"/>
        <v>0</v>
      </c>
      <c r="O25" s="70">
        <f t="shared" si="6"/>
        <v>0</v>
      </c>
      <c r="P25" s="70">
        <f t="shared" si="6"/>
        <v>0</v>
      </c>
      <c r="Q25" s="70">
        <f t="shared" si="6"/>
        <v>0</v>
      </c>
      <c r="R25" s="70">
        <f t="shared" si="6"/>
        <v>0</v>
      </c>
      <c r="S25" s="70">
        <f t="shared" si="6"/>
        <v>0</v>
      </c>
      <c r="T25" s="70">
        <f t="shared" si="6"/>
        <v>0</v>
      </c>
      <c r="U25" s="70">
        <f t="shared" si="6"/>
        <v>0</v>
      </c>
      <c r="V25" s="138">
        <f t="shared" si="6"/>
        <v>0</v>
      </c>
      <c r="X25" s="113" t="s">
        <v>62</v>
      </c>
      <c r="Y25" s="116">
        <f t="shared" si="2"/>
        <v>0</v>
      </c>
      <c r="Z25" s="116">
        <f t="shared" si="3"/>
        <v>0</v>
      </c>
      <c r="AA25" s="135">
        <f t="shared" si="4"/>
        <v>0</v>
      </c>
    </row>
    <row r="26" spans="1:27" ht="15" customHeight="1">
      <c r="A26" s="139"/>
      <c r="B26" s="151">
        <v>55</v>
      </c>
      <c r="C26" s="70">
        <f t="shared" si="5"/>
        <v>1</v>
      </c>
      <c r="D26" s="70">
        <f t="shared" si="5"/>
        <v>1</v>
      </c>
      <c r="E26" s="70">
        <f t="shared" si="5"/>
        <v>1</v>
      </c>
      <c r="F26" s="70">
        <f t="shared" si="5"/>
        <v>1</v>
      </c>
      <c r="G26" s="70">
        <f t="shared" si="5"/>
        <v>0</v>
      </c>
      <c r="H26" s="70">
        <f t="shared" si="5"/>
        <v>1</v>
      </c>
      <c r="I26" s="70">
        <f t="shared" si="5"/>
        <v>1</v>
      </c>
      <c r="J26" s="70">
        <f t="shared" si="5"/>
        <v>1</v>
      </c>
      <c r="K26" s="70">
        <f t="shared" si="5"/>
        <v>1</v>
      </c>
      <c r="L26" s="70">
        <f t="shared" si="5"/>
        <v>1</v>
      </c>
      <c r="M26" s="70">
        <f t="shared" si="6"/>
        <v>2</v>
      </c>
      <c r="N26" s="70">
        <f t="shared" si="6"/>
        <v>1</v>
      </c>
      <c r="O26" s="70">
        <f t="shared" si="6"/>
        <v>1</v>
      </c>
      <c r="P26" s="70">
        <f t="shared" si="6"/>
        <v>1</v>
      </c>
      <c r="Q26" s="70">
        <f t="shared" si="6"/>
        <v>1</v>
      </c>
      <c r="R26" s="70">
        <f t="shared" si="6"/>
        <v>1</v>
      </c>
      <c r="S26" s="70">
        <f t="shared" si="6"/>
        <v>1</v>
      </c>
      <c r="T26" s="70">
        <f t="shared" si="6"/>
        <v>1</v>
      </c>
      <c r="U26" s="70">
        <f t="shared" si="6"/>
        <v>2</v>
      </c>
      <c r="V26" s="138">
        <f t="shared" si="6"/>
        <v>1</v>
      </c>
      <c r="X26" s="113" t="s">
        <v>62</v>
      </c>
      <c r="Y26" s="116">
        <f t="shared" si="2"/>
        <v>197</v>
      </c>
      <c r="Z26" s="116">
        <f t="shared" si="3"/>
        <v>184</v>
      </c>
      <c r="AA26" s="135">
        <f t="shared" si="4"/>
        <v>5</v>
      </c>
    </row>
    <row r="27" spans="1:27" ht="15" customHeight="1">
      <c r="A27" s="139"/>
      <c r="B27" s="151">
        <v>56</v>
      </c>
      <c r="C27" s="70">
        <f t="shared" si="5"/>
        <v>0</v>
      </c>
      <c r="D27" s="70">
        <f t="shared" si="5"/>
        <v>0</v>
      </c>
      <c r="E27" s="70">
        <f t="shared" si="5"/>
        <v>0</v>
      </c>
      <c r="F27" s="70">
        <f t="shared" si="5"/>
        <v>0</v>
      </c>
      <c r="G27" s="70">
        <f t="shared" si="5"/>
        <v>0</v>
      </c>
      <c r="H27" s="70">
        <f t="shared" si="5"/>
        <v>0</v>
      </c>
      <c r="I27" s="70">
        <f t="shared" si="5"/>
        <v>0</v>
      </c>
      <c r="J27" s="70">
        <f t="shared" si="5"/>
        <v>0</v>
      </c>
      <c r="K27" s="70">
        <f t="shared" si="5"/>
        <v>0</v>
      </c>
      <c r="L27" s="70">
        <f t="shared" si="5"/>
        <v>0</v>
      </c>
      <c r="M27" s="70">
        <f t="shared" si="6"/>
        <v>0</v>
      </c>
      <c r="N27" s="70">
        <f t="shared" si="6"/>
        <v>0</v>
      </c>
      <c r="O27" s="70">
        <f t="shared" si="6"/>
        <v>0</v>
      </c>
      <c r="P27" s="70">
        <f t="shared" si="6"/>
        <v>0</v>
      </c>
      <c r="Q27" s="70">
        <f t="shared" si="6"/>
        <v>0</v>
      </c>
      <c r="R27" s="70">
        <f t="shared" si="6"/>
        <v>0</v>
      </c>
      <c r="S27" s="70">
        <f t="shared" si="6"/>
        <v>0</v>
      </c>
      <c r="T27" s="70">
        <f t="shared" si="6"/>
        <v>0</v>
      </c>
      <c r="U27" s="70">
        <f t="shared" si="6"/>
        <v>0</v>
      </c>
      <c r="V27" s="138">
        <f t="shared" si="6"/>
        <v>0</v>
      </c>
      <c r="X27" s="113" t="s">
        <v>62</v>
      </c>
      <c r="Y27" s="116">
        <f t="shared" si="2"/>
        <v>0</v>
      </c>
      <c r="Z27" s="116">
        <f t="shared" si="3"/>
        <v>0</v>
      </c>
      <c r="AA27" s="135">
        <f t="shared" si="4"/>
        <v>0</v>
      </c>
    </row>
    <row r="28" spans="1:27" ht="15" customHeight="1">
      <c r="A28" s="139"/>
      <c r="B28" s="151">
        <v>57</v>
      </c>
      <c r="C28" s="70">
        <f t="shared" si="5"/>
        <v>0</v>
      </c>
      <c r="D28" s="70">
        <f t="shared" si="5"/>
        <v>0</v>
      </c>
      <c r="E28" s="70">
        <f t="shared" si="5"/>
        <v>0</v>
      </c>
      <c r="F28" s="70">
        <f t="shared" si="5"/>
        <v>0</v>
      </c>
      <c r="G28" s="70">
        <f t="shared" si="5"/>
        <v>0</v>
      </c>
      <c r="H28" s="70">
        <f t="shared" si="5"/>
        <v>0</v>
      </c>
      <c r="I28" s="70">
        <f t="shared" si="5"/>
        <v>0</v>
      </c>
      <c r="J28" s="70">
        <f t="shared" si="5"/>
        <v>0</v>
      </c>
      <c r="K28" s="70">
        <f t="shared" si="5"/>
        <v>0</v>
      </c>
      <c r="L28" s="70">
        <f t="shared" si="5"/>
        <v>0</v>
      </c>
      <c r="M28" s="70">
        <f t="shared" si="6"/>
        <v>0</v>
      </c>
      <c r="N28" s="70">
        <f t="shared" si="6"/>
        <v>0</v>
      </c>
      <c r="O28" s="70">
        <f t="shared" si="6"/>
        <v>0</v>
      </c>
      <c r="P28" s="70">
        <f t="shared" si="6"/>
        <v>0</v>
      </c>
      <c r="Q28" s="70">
        <f t="shared" si="6"/>
        <v>0</v>
      </c>
      <c r="R28" s="70">
        <f t="shared" si="6"/>
        <v>0</v>
      </c>
      <c r="S28" s="70">
        <f t="shared" si="6"/>
        <v>0</v>
      </c>
      <c r="T28" s="70">
        <f t="shared" si="6"/>
        <v>0</v>
      </c>
      <c r="U28" s="70">
        <f t="shared" si="6"/>
        <v>0</v>
      </c>
      <c r="V28" s="138">
        <f t="shared" si="6"/>
        <v>0</v>
      </c>
      <c r="X28" s="113" t="s">
        <v>62</v>
      </c>
      <c r="Y28" s="116">
        <f t="shared" si="2"/>
        <v>0</v>
      </c>
      <c r="Z28" s="116">
        <f t="shared" si="3"/>
        <v>0</v>
      </c>
      <c r="AA28" s="135">
        <f t="shared" si="4"/>
        <v>0</v>
      </c>
    </row>
    <row r="29" spans="1:27" ht="15" customHeight="1">
      <c r="A29" s="139"/>
      <c r="B29" s="151">
        <v>58</v>
      </c>
      <c r="C29" s="70">
        <f t="shared" ref="C29:L35" si="7">SUMIFS(SumaTA,CentroTA,$B29,TurnoTA,C$8)</f>
        <v>0</v>
      </c>
      <c r="D29" s="70">
        <f t="shared" si="7"/>
        <v>0</v>
      </c>
      <c r="E29" s="70">
        <f t="shared" si="7"/>
        <v>0</v>
      </c>
      <c r="F29" s="70">
        <f t="shared" si="7"/>
        <v>0</v>
      </c>
      <c r="G29" s="70">
        <f t="shared" si="7"/>
        <v>0</v>
      </c>
      <c r="H29" s="70">
        <f t="shared" si="7"/>
        <v>0</v>
      </c>
      <c r="I29" s="70">
        <f t="shared" si="7"/>
        <v>0</v>
      </c>
      <c r="J29" s="70">
        <f t="shared" si="7"/>
        <v>0</v>
      </c>
      <c r="K29" s="70">
        <f t="shared" si="7"/>
        <v>0</v>
      </c>
      <c r="L29" s="70">
        <f t="shared" si="7"/>
        <v>0</v>
      </c>
      <c r="M29" s="70">
        <f t="shared" ref="M29:V35" si="8">SUMIFS(SumaTA,CentroTA,$B29,TurnoTA,M$8)</f>
        <v>0</v>
      </c>
      <c r="N29" s="70">
        <f t="shared" si="8"/>
        <v>0</v>
      </c>
      <c r="O29" s="70">
        <f t="shared" si="8"/>
        <v>0</v>
      </c>
      <c r="P29" s="70">
        <f t="shared" si="8"/>
        <v>0</v>
      </c>
      <c r="Q29" s="70">
        <f t="shared" si="8"/>
        <v>0</v>
      </c>
      <c r="R29" s="70">
        <f t="shared" si="8"/>
        <v>0</v>
      </c>
      <c r="S29" s="70">
        <f t="shared" si="8"/>
        <v>0</v>
      </c>
      <c r="T29" s="70">
        <f t="shared" si="8"/>
        <v>0</v>
      </c>
      <c r="U29" s="70">
        <f t="shared" si="8"/>
        <v>0</v>
      </c>
      <c r="V29" s="138">
        <f t="shared" si="8"/>
        <v>0</v>
      </c>
      <c r="X29" s="113" t="s">
        <v>62</v>
      </c>
      <c r="Y29" s="116">
        <f t="shared" si="2"/>
        <v>0</v>
      </c>
      <c r="Z29" s="116">
        <f t="shared" si="3"/>
        <v>0</v>
      </c>
      <c r="AA29" s="135">
        <f t="shared" si="4"/>
        <v>0</v>
      </c>
    </row>
    <row r="30" spans="1:27" ht="15" customHeight="1">
      <c r="A30" s="139"/>
      <c r="B30" s="151">
        <v>59</v>
      </c>
      <c r="C30" s="70">
        <f t="shared" si="7"/>
        <v>0</v>
      </c>
      <c r="D30" s="70">
        <f t="shared" si="7"/>
        <v>0</v>
      </c>
      <c r="E30" s="70">
        <f t="shared" si="7"/>
        <v>0</v>
      </c>
      <c r="F30" s="70">
        <f t="shared" si="7"/>
        <v>0</v>
      </c>
      <c r="G30" s="70">
        <f t="shared" si="7"/>
        <v>0</v>
      </c>
      <c r="H30" s="70">
        <f t="shared" si="7"/>
        <v>0</v>
      </c>
      <c r="I30" s="70">
        <f t="shared" si="7"/>
        <v>0</v>
      </c>
      <c r="J30" s="70">
        <f t="shared" si="7"/>
        <v>0</v>
      </c>
      <c r="K30" s="70">
        <f t="shared" si="7"/>
        <v>0</v>
      </c>
      <c r="L30" s="70">
        <f t="shared" si="7"/>
        <v>0</v>
      </c>
      <c r="M30" s="70">
        <f t="shared" si="8"/>
        <v>0</v>
      </c>
      <c r="N30" s="70">
        <f t="shared" si="8"/>
        <v>0</v>
      </c>
      <c r="O30" s="70">
        <f t="shared" si="8"/>
        <v>0</v>
      </c>
      <c r="P30" s="70">
        <f t="shared" si="8"/>
        <v>0</v>
      </c>
      <c r="Q30" s="70">
        <f t="shared" si="8"/>
        <v>0</v>
      </c>
      <c r="R30" s="70">
        <f t="shared" si="8"/>
        <v>0</v>
      </c>
      <c r="S30" s="70">
        <f t="shared" si="8"/>
        <v>0</v>
      </c>
      <c r="T30" s="70">
        <f t="shared" si="8"/>
        <v>0</v>
      </c>
      <c r="U30" s="70">
        <f t="shared" si="8"/>
        <v>0</v>
      </c>
      <c r="V30" s="138">
        <f t="shared" si="8"/>
        <v>0</v>
      </c>
      <c r="X30" s="113" t="s">
        <v>63</v>
      </c>
      <c r="Y30" s="116">
        <f t="shared" si="2"/>
        <v>0</v>
      </c>
      <c r="Z30" s="116">
        <f t="shared" si="3"/>
        <v>0</v>
      </c>
      <c r="AA30" s="135">
        <f t="shared" si="4"/>
        <v>0</v>
      </c>
    </row>
    <row r="31" spans="1:27" ht="15" customHeight="1">
      <c r="A31" s="139"/>
      <c r="B31" s="151">
        <v>60</v>
      </c>
      <c r="C31" s="70">
        <f t="shared" si="7"/>
        <v>1</v>
      </c>
      <c r="D31" s="70">
        <f t="shared" si="7"/>
        <v>1</v>
      </c>
      <c r="E31" s="70">
        <f t="shared" si="7"/>
        <v>2</v>
      </c>
      <c r="F31" s="70">
        <f t="shared" si="7"/>
        <v>2</v>
      </c>
      <c r="G31" s="70">
        <f t="shared" si="7"/>
        <v>1</v>
      </c>
      <c r="H31" s="70">
        <f t="shared" si="7"/>
        <v>1</v>
      </c>
      <c r="I31" s="70">
        <f t="shared" si="7"/>
        <v>1</v>
      </c>
      <c r="J31" s="70">
        <f t="shared" si="7"/>
        <v>1</v>
      </c>
      <c r="K31" s="70">
        <f t="shared" si="7"/>
        <v>1</v>
      </c>
      <c r="L31" s="70">
        <f t="shared" si="7"/>
        <v>1</v>
      </c>
      <c r="M31" s="70">
        <f t="shared" si="8"/>
        <v>0</v>
      </c>
      <c r="N31" s="70">
        <f t="shared" si="8"/>
        <v>0</v>
      </c>
      <c r="O31" s="70">
        <f t="shared" si="8"/>
        <v>0</v>
      </c>
      <c r="P31" s="70">
        <f t="shared" si="8"/>
        <v>0</v>
      </c>
      <c r="Q31" s="70">
        <f t="shared" si="8"/>
        <v>0</v>
      </c>
      <c r="R31" s="70">
        <f t="shared" si="8"/>
        <v>0</v>
      </c>
      <c r="S31" s="70">
        <f t="shared" si="8"/>
        <v>0</v>
      </c>
      <c r="T31" s="70">
        <f t="shared" si="8"/>
        <v>0</v>
      </c>
      <c r="U31" s="70">
        <f t="shared" si="8"/>
        <v>0</v>
      </c>
      <c r="V31" s="138">
        <f t="shared" si="8"/>
        <v>0</v>
      </c>
      <c r="X31" s="113" t="s">
        <v>64</v>
      </c>
      <c r="Y31" s="116">
        <f t="shared" si="2"/>
        <v>138</v>
      </c>
      <c r="Z31" s="116">
        <f t="shared" si="3"/>
        <v>265</v>
      </c>
      <c r="AA31" s="135">
        <f t="shared" si="4"/>
        <v>1</v>
      </c>
    </row>
    <row r="32" spans="1:27" ht="15" customHeight="1">
      <c r="A32" s="139"/>
      <c r="B32" s="151">
        <v>61</v>
      </c>
      <c r="C32" s="70">
        <f t="shared" si="7"/>
        <v>1</v>
      </c>
      <c r="D32" s="70">
        <f t="shared" si="7"/>
        <v>1</v>
      </c>
      <c r="E32" s="70">
        <f t="shared" si="7"/>
        <v>2</v>
      </c>
      <c r="F32" s="70">
        <f t="shared" si="7"/>
        <v>1</v>
      </c>
      <c r="G32" s="70">
        <f t="shared" si="7"/>
        <v>1</v>
      </c>
      <c r="H32" s="70">
        <f t="shared" si="7"/>
        <v>2</v>
      </c>
      <c r="I32" s="70">
        <f t="shared" si="7"/>
        <v>0</v>
      </c>
      <c r="J32" s="70">
        <f t="shared" si="7"/>
        <v>0</v>
      </c>
      <c r="K32" s="70">
        <f t="shared" si="7"/>
        <v>0</v>
      </c>
      <c r="L32" s="70">
        <f t="shared" si="7"/>
        <v>0</v>
      </c>
      <c r="M32" s="70">
        <f t="shared" si="8"/>
        <v>0</v>
      </c>
      <c r="N32" s="70">
        <f t="shared" si="8"/>
        <v>0</v>
      </c>
      <c r="O32" s="70">
        <f t="shared" si="8"/>
        <v>0</v>
      </c>
      <c r="P32" s="70">
        <f t="shared" si="8"/>
        <v>0</v>
      </c>
      <c r="Q32" s="70">
        <f t="shared" si="8"/>
        <v>0</v>
      </c>
      <c r="R32" s="70">
        <f t="shared" si="8"/>
        <v>0</v>
      </c>
      <c r="S32" s="70">
        <f t="shared" si="8"/>
        <v>0</v>
      </c>
      <c r="T32" s="70">
        <f t="shared" si="8"/>
        <v>0</v>
      </c>
      <c r="U32" s="70">
        <f t="shared" si="8"/>
        <v>0</v>
      </c>
      <c r="V32" s="138">
        <f t="shared" si="8"/>
        <v>0</v>
      </c>
      <c r="X32" s="113" t="s">
        <v>64</v>
      </c>
      <c r="Y32" s="116">
        <f t="shared" si="2"/>
        <v>45</v>
      </c>
      <c r="Z32" s="116">
        <f t="shared" si="3"/>
        <v>65</v>
      </c>
      <c r="AA32" s="135">
        <f t="shared" si="4"/>
        <v>0</v>
      </c>
    </row>
    <row r="33" spans="1:27" ht="15" customHeight="1">
      <c r="A33" s="139"/>
      <c r="B33" s="151">
        <v>62</v>
      </c>
      <c r="C33" s="70">
        <f t="shared" si="7"/>
        <v>0</v>
      </c>
      <c r="D33" s="70">
        <f t="shared" si="7"/>
        <v>1</v>
      </c>
      <c r="E33" s="70">
        <f t="shared" si="7"/>
        <v>1</v>
      </c>
      <c r="F33" s="70">
        <f t="shared" si="7"/>
        <v>1</v>
      </c>
      <c r="G33" s="70">
        <f t="shared" si="7"/>
        <v>2</v>
      </c>
      <c r="H33" s="70">
        <f t="shared" si="7"/>
        <v>1</v>
      </c>
      <c r="I33" s="70">
        <f t="shared" si="7"/>
        <v>1</v>
      </c>
      <c r="J33" s="70">
        <f t="shared" si="7"/>
        <v>1</v>
      </c>
      <c r="K33" s="70">
        <f t="shared" si="7"/>
        <v>0</v>
      </c>
      <c r="L33" s="70">
        <f t="shared" si="7"/>
        <v>1</v>
      </c>
      <c r="M33" s="70">
        <f t="shared" si="8"/>
        <v>1</v>
      </c>
      <c r="N33" s="70">
        <f t="shared" si="8"/>
        <v>1</v>
      </c>
      <c r="O33" s="70">
        <f t="shared" si="8"/>
        <v>1</v>
      </c>
      <c r="P33" s="70">
        <f t="shared" si="8"/>
        <v>0</v>
      </c>
      <c r="Q33" s="70">
        <f t="shared" si="8"/>
        <v>0</v>
      </c>
      <c r="R33" s="70">
        <f t="shared" si="8"/>
        <v>0</v>
      </c>
      <c r="S33" s="70">
        <f t="shared" si="8"/>
        <v>0</v>
      </c>
      <c r="T33" s="70">
        <f t="shared" si="8"/>
        <v>0</v>
      </c>
      <c r="U33" s="70">
        <f t="shared" si="8"/>
        <v>0</v>
      </c>
      <c r="V33" s="138">
        <f t="shared" si="8"/>
        <v>0</v>
      </c>
      <c r="X33" s="113" t="s">
        <v>65</v>
      </c>
      <c r="Y33" s="116">
        <f t="shared" si="2"/>
        <v>161</v>
      </c>
      <c r="Z33" s="116">
        <f t="shared" si="3"/>
        <v>138</v>
      </c>
      <c r="AA33" s="135">
        <f t="shared" si="4"/>
        <v>21</v>
      </c>
    </row>
    <row r="34" spans="1:27" ht="15" customHeight="1">
      <c r="A34" s="139"/>
      <c r="B34" s="151">
        <v>63</v>
      </c>
      <c r="C34" s="70">
        <f t="shared" si="7"/>
        <v>0</v>
      </c>
      <c r="D34" s="70">
        <f t="shared" si="7"/>
        <v>0</v>
      </c>
      <c r="E34" s="70">
        <f t="shared" si="7"/>
        <v>0</v>
      </c>
      <c r="F34" s="70">
        <f t="shared" si="7"/>
        <v>0</v>
      </c>
      <c r="G34" s="70">
        <f t="shared" si="7"/>
        <v>0</v>
      </c>
      <c r="H34" s="70">
        <f t="shared" si="7"/>
        <v>0</v>
      </c>
      <c r="I34" s="70">
        <f t="shared" si="7"/>
        <v>0</v>
      </c>
      <c r="J34" s="70">
        <f t="shared" si="7"/>
        <v>0</v>
      </c>
      <c r="K34" s="70">
        <f t="shared" si="7"/>
        <v>0</v>
      </c>
      <c r="L34" s="70">
        <f t="shared" si="7"/>
        <v>0</v>
      </c>
      <c r="M34" s="70">
        <f t="shared" si="8"/>
        <v>0</v>
      </c>
      <c r="N34" s="70">
        <f t="shared" si="8"/>
        <v>0</v>
      </c>
      <c r="O34" s="70">
        <f t="shared" si="8"/>
        <v>0</v>
      </c>
      <c r="P34" s="70">
        <f t="shared" si="8"/>
        <v>0</v>
      </c>
      <c r="Q34" s="70">
        <f t="shared" si="8"/>
        <v>0</v>
      </c>
      <c r="R34" s="70">
        <f t="shared" si="8"/>
        <v>0</v>
      </c>
      <c r="S34" s="70">
        <f t="shared" si="8"/>
        <v>0</v>
      </c>
      <c r="T34" s="70">
        <f t="shared" si="8"/>
        <v>0</v>
      </c>
      <c r="U34" s="70">
        <f t="shared" si="8"/>
        <v>0</v>
      </c>
      <c r="V34" s="138">
        <f t="shared" si="8"/>
        <v>0</v>
      </c>
      <c r="X34" s="113" t="s">
        <v>66</v>
      </c>
      <c r="Y34" s="116">
        <f t="shared" si="2"/>
        <v>0</v>
      </c>
      <c r="Z34" s="116">
        <f t="shared" si="3"/>
        <v>0</v>
      </c>
      <c r="AA34" s="135">
        <f t="shared" si="4"/>
        <v>0</v>
      </c>
    </row>
    <row r="35" spans="1:27" ht="15" customHeight="1" thickBot="1">
      <c r="A35" s="139"/>
      <c r="B35" s="152">
        <v>64</v>
      </c>
      <c r="C35" s="70">
        <f t="shared" si="7"/>
        <v>0</v>
      </c>
      <c r="D35" s="70">
        <f t="shared" si="7"/>
        <v>0</v>
      </c>
      <c r="E35" s="70">
        <f t="shared" si="7"/>
        <v>0</v>
      </c>
      <c r="F35" s="70">
        <f t="shared" si="7"/>
        <v>0</v>
      </c>
      <c r="G35" s="70">
        <f t="shared" si="7"/>
        <v>0</v>
      </c>
      <c r="H35" s="70">
        <f t="shared" si="7"/>
        <v>0</v>
      </c>
      <c r="I35" s="70">
        <f t="shared" si="7"/>
        <v>0</v>
      </c>
      <c r="J35" s="70">
        <f t="shared" si="7"/>
        <v>0</v>
      </c>
      <c r="K35" s="70">
        <f t="shared" si="7"/>
        <v>0</v>
      </c>
      <c r="L35" s="70">
        <f t="shared" si="7"/>
        <v>0</v>
      </c>
      <c r="M35" s="70">
        <f t="shared" si="8"/>
        <v>0</v>
      </c>
      <c r="N35" s="70">
        <f t="shared" si="8"/>
        <v>0</v>
      </c>
      <c r="O35" s="70">
        <f t="shared" si="8"/>
        <v>0</v>
      </c>
      <c r="P35" s="70">
        <f t="shared" si="8"/>
        <v>0</v>
      </c>
      <c r="Q35" s="70">
        <f t="shared" si="8"/>
        <v>0</v>
      </c>
      <c r="R35" s="70">
        <f t="shared" si="8"/>
        <v>0</v>
      </c>
      <c r="S35" s="70">
        <f t="shared" si="8"/>
        <v>0</v>
      </c>
      <c r="T35" s="70">
        <f t="shared" si="8"/>
        <v>0</v>
      </c>
      <c r="U35" s="70">
        <f t="shared" si="8"/>
        <v>0</v>
      </c>
      <c r="V35" s="138">
        <f t="shared" si="8"/>
        <v>0</v>
      </c>
      <c r="X35" s="113" t="s">
        <v>67</v>
      </c>
      <c r="Y35" s="116">
        <f t="shared" si="2"/>
        <v>0</v>
      </c>
      <c r="Z35" s="116">
        <f t="shared" si="3"/>
        <v>0</v>
      </c>
      <c r="AA35" s="135">
        <f t="shared" si="4"/>
        <v>0</v>
      </c>
    </row>
    <row r="37" spans="1:27" ht="15" customHeight="1">
      <c r="X37" s="113" t="s">
        <v>59</v>
      </c>
      <c r="Y37" s="69">
        <f t="shared" ref="Y37:AA47" si="9">SUMIF(MunicipioTA,$X37,Y$9:Y$35)</f>
        <v>239</v>
      </c>
      <c r="Z37" s="69">
        <f t="shared" si="9"/>
        <v>174</v>
      </c>
      <c r="AA37" s="69">
        <f t="shared" si="9"/>
        <v>150</v>
      </c>
    </row>
    <row r="38" spans="1:27" ht="15" customHeight="1">
      <c r="X38" s="113" t="s">
        <v>40</v>
      </c>
      <c r="Y38" s="69">
        <f t="shared" si="9"/>
        <v>1</v>
      </c>
      <c r="Z38" s="69">
        <f t="shared" si="9"/>
        <v>1</v>
      </c>
      <c r="AA38" s="69">
        <f t="shared" si="9"/>
        <v>1</v>
      </c>
    </row>
    <row r="39" spans="1:27" ht="15" customHeight="1">
      <c r="X39" s="113" t="s">
        <v>9</v>
      </c>
      <c r="Y39" s="69">
        <f t="shared" si="9"/>
        <v>0</v>
      </c>
      <c r="Z39" s="69">
        <f t="shared" si="9"/>
        <v>0</v>
      </c>
      <c r="AA39" s="69">
        <f t="shared" si="9"/>
        <v>0</v>
      </c>
    </row>
    <row r="40" spans="1:27" ht="15" customHeight="1">
      <c r="X40" s="113" t="s">
        <v>60</v>
      </c>
      <c r="Y40" s="69">
        <f t="shared" si="9"/>
        <v>293</v>
      </c>
      <c r="Z40" s="69">
        <f t="shared" si="9"/>
        <v>299</v>
      </c>
      <c r="AA40" s="69">
        <f t="shared" si="9"/>
        <v>95</v>
      </c>
    </row>
    <row r="41" spans="1:27" ht="15" customHeight="1">
      <c r="X41" s="113" t="s">
        <v>61</v>
      </c>
      <c r="Y41" s="69">
        <f t="shared" si="9"/>
        <v>0</v>
      </c>
      <c r="Z41" s="69">
        <f t="shared" si="9"/>
        <v>0</v>
      </c>
      <c r="AA41" s="69">
        <f t="shared" si="9"/>
        <v>0</v>
      </c>
    </row>
    <row r="42" spans="1:27" ht="15" customHeight="1">
      <c r="X42" s="113" t="s">
        <v>62</v>
      </c>
      <c r="Y42" s="69">
        <f t="shared" si="9"/>
        <v>734</v>
      </c>
      <c r="Z42" s="69">
        <f t="shared" si="9"/>
        <v>1072</v>
      </c>
      <c r="AA42" s="69">
        <f t="shared" si="9"/>
        <v>116</v>
      </c>
    </row>
    <row r="43" spans="1:27" ht="15" customHeight="1">
      <c r="X43" s="113" t="s">
        <v>63</v>
      </c>
      <c r="Y43" s="69">
        <f t="shared" si="9"/>
        <v>0</v>
      </c>
      <c r="Z43" s="69">
        <f t="shared" si="9"/>
        <v>0</v>
      </c>
      <c r="AA43" s="69">
        <f t="shared" si="9"/>
        <v>0</v>
      </c>
    </row>
    <row r="44" spans="1:27" ht="15" customHeight="1">
      <c r="X44" s="113" t="s">
        <v>64</v>
      </c>
      <c r="Y44" s="69">
        <f t="shared" si="9"/>
        <v>183</v>
      </c>
      <c r="Z44" s="69">
        <f t="shared" si="9"/>
        <v>330</v>
      </c>
      <c r="AA44" s="69">
        <f t="shared" si="9"/>
        <v>1</v>
      </c>
    </row>
    <row r="45" spans="1:27" ht="15" customHeight="1">
      <c r="X45" s="113" t="s">
        <v>65</v>
      </c>
      <c r="Y45" s="69">
        <f t="shared" si="9"/>
        <v>161</v>
      </c>
      <c r="Z45" s="153">
        <f t="shared" si="9"/>
        <v>138</v>
      </c>
      <c r="AA45" s="69">
        <f t="shared" si="9"/>
        <v>21</v>
      </c>
    </row>
    <row r="46" spans="1:27" ht="15" customHeight="1">
      <c r="X46" s="113" t="s">
        <v>66</v>
      </c>
      <c r="Y46" s="69">
        <f t="shared" si="9"/>
        <v>0</v>
      </c>
      <c r="Z46" s="69">
        <f t="shared" si="9"/>
        <v>0</v>
      </c>
      <c r="AA46" s="69">
        <f t="shared" si="9"/>
        <v>0</v>
      </c>
    </row>
    <row r="47" spans="1:27" ht="15" customHeight="1">
      <c r="X47" s="113" t="s">
        <v>67</v>
      </c>
      <c r="Y47" s="69">
        <f t="shared" si="9"/>
        <v>0</v>
      </c>
      <c r="Z47" s="69">
        <f t="shared" si="9"/>
        <v>0</v>
      </c>
      <c r="AA47" s="69">
        <f t="shared" si="9"/>
        <v>0</v>
      </c>
    </row>
  </sheetData>
  <customSheetViews>
    <customSheetView guid="{2EA3A6B8-61D5-4EF1-87B1-B14945A241CD}" showGridLines="0" showRowCol="0">
      <selection activeCell="Y2" sqref="Y2"/>
      <pageMargins left="0.7" right="0.7" top="0.75" bottom="0.75" header="0.3" footer="0.3"/>
    </customSheetView>
    <customSheetView guid="{242CE75B-5318-4B80-8985-D15BFA50C3F5}" showGridLines="0" showRowCol="0">
      <selection activeCell="Y2" sqref="Y2"/>
      <pageMargins left="0.7" right="0.7" top="0.75" bottom="0.75" header="0.3" footer="0.3"/>
    </customSheetView>
    <customSheetView guid="{CA30A091-FDE4-4C31-B428-76E484062E02}" showGridLines="0" showRowCol="0">
      <selection activeCell="Y2" sqref="Y2"/>
      <pageMargins left="0.7" right="0.7" top="0.75" bottom="0.75" header="0.3" footer="0.3"/>
    </customSheetView>
  </customSheetViews>
  <mergeCells count="5">
    <mergeCell ref="B1:V1"/>
    <mergeCell ref="Y7:Y8"/>
    <mergeCell ref="Z7:Z8"/>
    <mergeCell ref="AA7:AA8"/>
    <mergeCell ref="X7:X8"/>
  </mergeCells>
  <conditionalFormatting sqref="C8:V8 B6:K6">
    <cfRule type="cellIs" dxfId="17" priority="7" stopIfTrue="1" operator="equal">
      <formula>"F"</formula>
    </cfRule>
    <cfRule type="cellIs" dxfId="16" priority="8" stopIfTrue="1" operator="equal">
      <formula>"C"</formula>
    </cfRule>
    <cfRule type="cellIs" dxfId="15" priority="9" stopIfTrue="1" operator="equal">
      <formula>"C"</formula>
    </cfRule>
  </conditionalFormatting>
  <conditionalFormatting sqref="C9:V35">
    <cfRule type="cellIs" dxfId="14" priority="1" stopIfTrue="1" operator="equal">
      <formula>0</formula>
    </cfRule>
    <cfRule type="cellIs" dxfId="13" priority="2" stopIfTrue="1" operator="equal">
      <formula>1</formula>
    </cfRule>
    <cfRule type="cellIs" dxfId="12" priority="3" stopIfTrue="1" operator="greaterThan">
      <formula>1</formula>
    </cfRule>
  </conditionalFormatting>
  <hyperlinks>
    <hyperlink ref="Y2" location="PPrincipal!A1" display="* Pagina Principal"/>
    <hyperlink ref="Y3" location="CBarinas!A1" display="Barinas"/>
    <hyperlink ref="Y4" location="CMérida!A1" display="Mérida"/>
    <hyperlink ref="Y5" location="CTrujillo!A1" display="Trujillo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X410"/>
  <sheetViews>
    <sheetView showGridLines="0" showRowColHeaders="0" workbookViewId="0">
      <pane ySplit="8" topLeftCell="A209" activePane="bottomLeft" state="frozen"/>
      <selection pane="bottomLeft" activeCell="I4" sqref="I4"/>
    </sheetView>
  </sheetViews>
  <sheetFormatPr baseColWidth="10" defaultRowHeight="12.75"/>
  <cols>
    <col min="1" max="1" width="42.7109375" customWidth="1"/>
    <col min="2" max="11" width="13.7109375" customWidth="1"/>
    <col min="12" max="13" width="13.7109375" style="21" customWidth="1"/>
    <col min="14" max="24" width="13.7109375" customWidth="1"/>
  </cols>
  <sheetData>
    <row r="1" spans="2:24" s="13" customFormat="1">
      <c r="H1" s="111"/>
      <c r="J1" s="39"/>
      <c r="L1" s="26"/>
      <c r="M1" s="26"/>
    </row>
    <row r="2" spans="2:24" s="13" customFormat="1">
      <c r="H2" s="79"/>
      <c r="I2" s="158" t="s">
        <v>7</v>
      </c>
      <c r="J2" s="79"/>
      <c r="L2" s="26"/>
      <c r="M2" s="26"/>
      <c r="P2" s="61" t="s">
        <v>43</v>
      </c>
      <c r="Q2" s="100">
        <f>R9</f>
        <v>0.34288240495137046</v>
      </c>
      <c r="R2" s="59"/>
    </row>
    <row r="3" spans="2:24" s="13" customFormat="1">
      <c r="H3" s="79"/>
      <c r="I3" s="158" t="s">
        <v>80</v>
      </c>
      <c r="J3" s="79"/>
      <c r="L3" s="26"/>
      <c r="M3" s="26"/>
      <c r="P3" s="61" t="s">
        <v>44</v>
      </c>
      <c r="Q3" s="100">
        <f>U9</f>
        <v>0.62068965517241381</v>
      </c>
      <c r="R3" s="59"/>
    </row>
    <row r="4" spans="2:24" s="13" customFormat="1">
      <c r="H4" s="79"/>
      <c r="I4" s="158" t="s">
        <v>82</v>
      </c>
      <c r="J4" s="79"/>
      <c r="L4" s="26"/>
      <c r="M4" s="26"/>
      <c r="P4" s="101" t="s">
        <v>4</v>
      </c>
      <c r="Q4" s="100">
        <f>X9</f>
        <v>3.6427939876215738E-2</v>
      </c>
      <c r="R4" s="59"/>
    </row>
    <row r="5" spans="2:24" s="13" customFormat="1">
      <c r="H5" s="79"/>
      <c r="I5" s="158" t="s">
        <v>83</v>
      </c>
      <c r="J5" s="79"/>
      <c r="L5" s="26"/>
      <c r="M5" s="26"/>
    </row>
    <row r="6" spans="2:24" s="13" customFormat="1" ht="33">
      <c r="B6" s="17">
        <v>12</v>
      </c>
      <c r="C6" s="17" t="s">
        <v>42</v>
      </c>
      <c r="D6" s="17"/>
      <c r="E6" s="17"/>
      <c r="F6" s="17"/>
      <c r="G6" s="17"/>
      <c r="H6"/>
      <c r="J6" s="39"/>
      <c r="L6" s="26"/>
      <c r="M6" s="26"/>
    </row>
    <row r="7" spans="2:24" ht="13.5" thickBot="1"/>
    <row r="8" spans="2:24" ht="30.75" thickBot="1">
      <c r="B8" s="23" t="s">
        <v>1</v>
      </c>
      <c r="C8" s="24" t="s">
        <v>2</v>
      </c>
      <c r="D8" s="25" t="s">
        <v>0</v>
      </c>
      <c r="E8" s="12" t="s">
        <v>43</v>
      </c>
      <c r="F8" s="12" t="s">
        <v>44</v>
      </c>
      <c r="G8" s="12" t="s">
        <v>4</v>
      </c>
      <c r="M8" s="55" t="s">
        <v>45</v>
      </c>
      <c r="P8" s="166" t="s">
        <v>43</v>
      </c>
      <c r="Q8" s="167"/>
      <c r="R8" s="168"/>
      <c r="S8" s="166" t="s">
        <v>44</v>
      </c>
      <c r="T8" s="167"/>
      <c r="U8" s="168"/>
      <c r="V8" s="166" t="s">
        <v>4</v>
      </c>
      <c r="W8" s="167"/>
      <c r="X8" s="168"/>
    </row>
    <row r="9" spans="2:24" ht="18">
      <c r="B9" s="40">
        <v>12</v>
      </c>
      <c r="C9" s="41">
        <v>30</v>
      </c>
      <c r="D9" s="40">
        <v>1</v>
      </c>
      <c r="E9" s="40">
        <v>12</v>
      </c>
      <c r="F9" s="40">
        <v>5</v>
      </c>
      <c r="G9" s="45">
        <v>8</v>
      </c>
      <c r="M9" s="21">
        <v>1</v>
      </c>
      <c r="N9" s="164" t="s">
        <v>0</v>
      </c>
      <c r="O9" s="164"/>
      <c r="P9" s="31">
        <f>SUM(Marcos_Diaz_Orellana)</f>
        <v>1939</v>
      </c>
      <c r="Q9" s="32">
        <f>P9</f>
        <v>1939</v>
      </c>
      <c r="R9" s="33">
        <f>P9/($P$9+$S$9+$V$9)</f>
        <v>0.34288240495137046</v>
      </c>
      <c r="S9" s="31">
        <f>SUM(Williams_Davila)</f>
        <v>3510</v>
      </c>
      <c r="T9" s="32">
        <f>S9</f>
        <v>3510</v>
      </c>
      <c r="U9" s="33">
        <f>S9/($P$9+$S$9+$V$9)</f>
        <v>0.62068965517241381</v>
      </c>
      <c r="V9" s="31">
        <f>SUM(OtroME)</f>
        <v>206</v>
      </c>
      <c r="W9" s="32">
        <f>V9</f>
        <v>206</v>
      </c>
      <c r="X9" s="34">
        <f>V9/($P$9+$S$9+$V$9)</f>
        <v>3.6427939876215738E-2</v>
      </c>
    </row>
    <row r="10" spans="2:24" ht="18">
      <c r="B10" s="40">
        <v>12</v>
      </c>
      <c r="C10" s="41">
        <v>29</v>
      </c>
      <c r="D10" s="40">
        <v>1</v>
      </c>
      <c r="E10" s="41">
        <v>9</v>
      </c>
      <c r="F10" s="41">
        <v>15</v>
      </c>
      <c r="G10" s="46">
        <v>1</v>
      </c>
      <c r="M10" s="21">
        <v>1</v>
      </c>
      <c r="N10" s="6">
        <v>0.3125</v>
      </c>
      <c r="O10" s="2">
        <v>1</v>
      </c>
      <c r="P10" s="4">
        <f t="shared" ref="P10:P29" si="0">SUMIF(TurnoME,$O10,Marcos_Diaz_Orellana)</f>
        <v>123</v>
      </c>
      <c r="Q10" s="5">
        <f>P10</f>
        <v>123</v>
      </c>
      <c r="R10" s="10">
        <f>IF(P10&lt;&gt;0,Q10/($Q10+$T10+W10),LOOKUP(2121,$R$3:$R$6))</f>
        <v>0.34166666666666667</v>
      </c>
      <c r="S10" s="4">
        <f t="shared" ref="S10:S29" si="1">SUMIF(TurnoME,$O10,Williams_Davila)</f>
        <v>204</v>
      </c>
      <c r="T10" s="5">
        <f>S10</f>
        <v>204</v>
      </c>
      <c r="U10" s="10">
        <f>IF(S10&lt;&gt;0,T10/($Q10+$T10+$W10),LOOKUP(2121,$R$3:$R$6))</f>
        <v>0.56666666666666665</v>
      </c>
      <c r="V10" s="4">
        <f t="shared" ref="V10:V29" si="2">SUMIF(TurnoME,$O10,OtroME)</f>
        <v>33</v>
      </c>
      <c r="W10" s="5">
        <f>V10</f>
        <v>33</v>
      </c>
      <c r="X10" s="3">
        <f>IF(V10&lt;&gt;0,W10/($Q10+$T10+$W10),LOOKUP(2121,$R$3:$R$6))</f>
        <v>9.166666666666666E-2</v>
      </c>
    </row>
    <row r="11" spans="2:24" ht="18">
      <c r="B11" s="40">
        <v>12</v>
      </c>
      <c r="C11" s="41">
        <v>34</v>
      </c>
      <c r="D11" s="40">
        <v>1</v>
      </c>
      <c r="E11" s="41">
        <v>10</v>
      </c>
      <c r="F11" s="41">
        <v>5</v>
      </c>
      <c r="G11" s="46">
        <v>0</v>
      </c>
      <c r="M11" s="21">
        <v>1</v>
      </c>
      <c r="N11" s="6">
        <v>0.33333333333333298</v>
      </c>
      <c r="O11" s="2">
        <v>2</v>
      </c>
      <c r="P11" s="4">
        <f t="shared" si="0"/>
        <v>87</v>
      </c>
      <c r="Q11" s="5">
        <f>Q10+P11</f>
        <v>210</v>
      </c>
      <c r="R11" s="10">
        <f t="shared" ref="R11:R29" si="3">IF(P11&lt;&gt;0,Q11/($Q11+$T11+W11),LOOKUP(2121,$R$3:$R$6))</f>
        <v>0.34257748776508973</v>
      </c>
      <c r="S11" s="4">
        <f t="shared" si="1"/>
        <v>149</v>
      </c>
      <c r="T11" s="5">
        <f>T10+S11</f>
        <v>353</v>
      </c>
      <c r="U11" s="10">
        <f t="shared" ref="U11:U29" si="4">IF(S11&lt;&gt;0,T11/($Q11+$T11+$W11),LOOKUP(2121,$R$3:$R$6))</f>
        <v>0.57585644371941269</v>
      </c>
      <c r="V11" s="4">
        <f t="shared" si="2"/>
        <v>17</v>
      </c>
      <c r="W11" s="5">
        <f>W10+V11</f>
        <v>50</v>
      </c>
      <c r="X11" s="3">
        <f t="shared" ref="X11:X29" si="5">IF(V11&lt;&gt;0,W11/($Q11+$T11+$W11),LOOKUP(2121,$R$3:$R$6))</f>
        <v>8.1566068515497553E-2</v>
      </c>
    </row>
    <row r="12" spans="2:24" ht="18">
      <c r="B12" s="41">
        <v>12</v>
      </c>
      <c r="C12" s="41">
        <v>19</v>
      </c>
      <c r="D12" s="40">
        <v>1</v>
      </c>
      <c r="E12" s="41">
        <v>1</v>
      </c>
      <c r="F12" s="41">
        <v>11</v>
      </c>
      <c r="G12" s="46">
        <v>0</v>
      </c>
      <c r="M12" s="21">
        <v>1</v>
      </c>
      <c r="N12" s="6">
        <v>0.35416666666666702</v>
      </c>
      <c r="O12" s="2">
        <v>3</v>
      </c>
      <c r="P12" s="4">
        <f t="shared" si="0"/>
        <v>161</v>
      </c>
      <c r="Q12" s="5">
        <f t="shared" ref="Q12:Q29" si="6">Q11+P12</f>
        <v>371</v>
      </c>
      <c r="R12" s="10">
        <f t="shared" si="3"/>
        <v>0.37211634904714141</v>
      </c>
      <c r="S12" s="4">
        <f t="shared" si="1"/>
        <v>206</v>
      </c>
      <c r="T12" s="5">
        <f t="shared" ref="T12:T29" si="7">T11+S12</f>
        <v>559</v>
      </c>
      <c r="U12" s="10">
        <f t="shared" si="4"/>
        <v>0.56068204613841521</v>
      </c>
      <c r="V12" s="4">
        <f t="shared" si="2"/>
        <v>17</v>
      </c>
      <c r="W12" s="5">
        <f t="shared" ref="W12:W29" si="8">W11+V12</f>
        <v>67</v>
      </c>
      <c r="X12" s="3">
        <f t="shared" si="5"/>
        <v>6.720160481444333E-2</v>
      </c>
    </row>
    <row r="13" spans="2:24" ht="18">
      <c r="B13" s="40">
        <v>12</v>
      </c>
      <c r="C13" s="41">
        <v>27</v>
      </c>
      <c r="D13" s="40">
        <v>1</v>
      </c>
      <c r="E13" s="41">
        <v>5</v>
      </c>
      <c r="F13" s="41">
        <v>3</v>
      </c>
      <c r="G13" s="46">
        <v>0</v>
      </c>
      <c r="M13" s="21">
        <v>1</v>
      </c>
      <c r="N13" s="6">
        <v>0.375</v>
      </c>
      <c r="O13" s="2">
        <v>4</v>
      </c>
      <c r="P13" s="4">
        <f t="shared" si="0"/>
        <v>107</v>
      </c>
      <c r="Q13" s="5">
        <f t="shared" si="6"/>
        <v>478</v>
      </c>
      <c r="R13" s="10">
        <f t="shared" si="3"/>
        <v>0.37906423473433781</v>
      </c>
      <c r="S13" s="4">
        <f t="shared" si="1"/>
        <v>143</v>
      </c>
      <c r="T13" s="5">
        <f t="shared" si="7"/>
        <v>702</v>
      </c>
      <c r="U13" s="10">
        <f t="shared" si="4"/>
        <v>0.55670103092783507</v>
      </c>
      <c r="V13" s="4">
        <f t="shared" si="2"/>
        <v>14</v>
      </c>
      <c r="W13" s="5">
        <f t="shared" si="8"/>
        <v>81</v>
      </c>
      <c r="X13" s="3">
        <f t="shared" si="5"/>
        <v>6.4234734337827115E-2</v>
      </c>
    </row>
    <row r="14" spans="2:24" ht="18">
      <c r="B14" s="40">
        <v>12</v>
      </c>
      <c r="C14" s="41">
        <v>18</v>
      </c>
      <c r="D14" s="40">
        <v>2</v>
      </c>
      <c r="E14" s="41">
        <v>2</v>
      </c>
      <c r="F14" s="41">
        <v>19</v>
      </c>
      <c r="G14" s="46">
        <v>0</v>
      </c>
      <c r="M14" s="21">
        <v>1</v>
      </c>
      <c r="N14" s="6">
        <v>0.39583333333333298</v>
      </c>
      <c r="O14" s="2">
        <v>5</v>
      </c>
      <c r="P14" s="4">
        <f t="shared" si="0"/>
        <v>162</v>
      </c>
      <c r="Q14" s="5">
        <f t="shared" si="6"/>
        <v>640</v>
      </c>
      <c r="R14" s="10">
        <f t="shared" si="3"/>
        <v>0.37405026300409117</v>
      </c>
      <c r="S14" s="4">
        <f t="shared" si="1"/>
        <v>275</v>
      </c>
      <c r="T14" s="5">
        <f t="shared" si="7"/>
        <v>977</v>
      </c>
      <c r="U14" s="10">
        <f t="shared" si="4"/>
        <v>0.57101110461718296</v>
      </c>
      <c r="V14" s="4">
        <f t="shared" si="2"/>
        <v>13</v>
      </c>
      <c r="W14" s="5">
        <f t="shared" si="8"/>
        <v>94</v>
      </c>
      <c r="X14" s="3">
        <f t="shared" si="5"/>
        <v>5.4938632378725892E-2</v>
      </c>
    </row>
    <row r="15" spans="2:24" ht="18">
      <c r="B15" s="40">
        <v>12</v>
      </c>
      <c r="C15" s="41">
        <v>23</v>
      </c>
      <c r="D15" s="40">
        <v>3</v>
      </c>
      <c r="E15" s="41">
        <v>9</v>
      </c>
      <c r="F15" s="41">
        <v>10</v>
      </c>
      <c r="G15" s="46">
        <v>6</v>
      </c>
      <c r="M15" s="21">
        <v>1</v>
      </c>
      <c r="N15" s="6">
        <v>0.41666666666666702</v>
      </c>
      <c r="O15" s="2">
        <v>6</v>
      </c>
      <c r="P15" s="4">
        <f t="shared" si="0"/>
        <v>183</v>
      </c>
      <c r="Q15" s="5">
        <f t="shared" si="6"/>
        <v>823</v>
      </c>
      <c r="R15" s="10">
        <f t="shared" si="3"/>
        <v>0.36872759856630827</v>
      </c>
      <c r="S15" s="4">
        <f t="shared" si="1"/>
        <v>325</v>
      </c>
      <c r="T15" s="5">
        <f t="shared" si="7"/>
        <v>1302</v>
      </c>
      <c r="U15" s="10">
        <f t="shared" si="4"/>
        <v>0.58333333333333337</v>
      </c>
      <c r="V15" s="4">
        <f t="shared" si="2"/>
        <v>13</v>
      </c>
      <c r="W15" s="5">
        <f t="shared" si="8"/>
        <v>107</v>
      </c>
      <c r="X15" s="3">
        <f t="shared" si="5"/>
        <v>4.7939068100358424E-2</v>
      </c>
    </row>
    <row r="16" spans="2:24" ht="18">
      <c r="B16" s="40">
        <v>12</v>
      </c>
      <c r="C16" s="41">
        <v>25</v>
      </c>
      <c r="D16" s="40">
        <v>1</v>
      </c>
      <c r="E16" s="41">
        <v>10</v>
      </c>
      <c r="F16" s="41">
        <v>8</v>
      </c>
      <c r="G16" s="46">
        <v>0</v>
      </c>
      <c r="M16" s="21">
        <v>1</v>
      </c>
      <c r="N16" s="6">
        <v>0.4375</v>
      </c>
      <c r="O16" s="2">
        <v>7</v>
      </c>
      <c r="P16" s="4">
        <f t="shared" si="0"/>
        <v>165</v>
      </c>
      <c r="Q16" s="5">
        <f t="shared" si="6"/>
        <v>988</v>
      </c>
      <c r="R16" s="10">
        <f t="shared" si="3"/>
        <v>0.36511456023651145</v>
      </c>
      <c r="S16" s="4">
        <f t="shared" si="1"/>
        <v>293</v>
      </c>
      <c r="T16" s="5">
        <f t="shared" si="7"/>
        <v>1595</v>
      </c>
      <c r="U16" s="10">
        <f t="shared" si="4"/>
        <v>0.58943089430894313</v>
      </c>
      <c r="V16" s="4">
        <f t="shared" si="2"/>
        <v>16</v>
      </c>
      <c r="W16" s="5">
        <f t="shared" si="8"/>
        <v>123</v>
      </c>
      <c r="X16" s="3">
        <f t="shared" si="5"/>
        <v>4.5454545454545456E-2</v>
      </c>
    </row>
    <row r="17" spans="2:24" ht="18">
      <c r="B17" s="40">
        <v>12</v>
      </c>
      <c r="C17" s="41">
        <v>34</v>
      </c>
      <c r="D17" s="40">
        <v>3</v>
      </c>
      <c r="E17" s="41">
        <v>6</v>
      </c>
      <c r="F17" s="41">
        <v>10</v>
      </c>
      <c r="G17" s="46">
        <v>0</v>
      </c>
      <c r="M17" s="21">
        <v>1</v>
      </c>
      <c r="N17" s="6">
        <v>0.45833333333333298</v>
      </c>
      <c r="O17" s="2">
        <v>8</v>
      </c>
      <c r="P17" s="4">
        <f t="shared" si="0"/>
        <v>202</v>
      </c>
      <c r="Q17" s="5">
        <f t="shared" si="6"/>
        <v>1190</v>
      </c>
      <c r="R17" s="10">
        <f t="shared" si="3"/>
        <v>0.36922122246354327</v>
      </c>
      <c r="S17" s="4">
        <f t="shared" si="1"/>
        <v>304</v>
      </c>
      <c r="T17" s="5">
        <f t="shared" si="7"/>
        <v>1899</v>
      </c>
      <c r="U17" s="10">
        <f t="shared" si="4"/>
        <v>0.58920260626745269</v>
      </c>
      <c r="V17" s="4">
        <f t="shared" si="2"/>
        <v>11</v>
      </c>
      <c r="W17" s="5">
        <f t="shared" si="8"/>
        <v>134</v>
      </c>
      <c r="X17" s="3">
        <f t="shared" si="5"/>
        <v>4.1576171269004036E-2</v>
      </c>
    </row>
    <row r="18" spans="2:24" ht="18">
      <c r="B18" s="41">
        <v>12</v>
      </c>
      <c r="C18" s="41">
        <v>28</v>
      </c>
      <c r="D18" s="40">
        <v>2</v>
      </c>
      <c r="E18" s="41">
        <v>0</v>
      </c>
      <c r="F18" s="41">
        <v>25</v>
      </c>
      <c r="G18" s="46">
        <v>0</v>
      </c>
      <c r="M18" s="21">
        <v>1</v>
      </c>
      <c r="N18" s="6">
        <v>0.47916666666666702</v>
      </c>
      <c r="O18" s="2">
        <v>9</v>
      </c>
      <c r="P18" s="4">
        <f t="shared" si="0"/>
        <v>97</v>
      </c>
      <c r="Q18" s="5">
        <f t="shared" si="6"/>
        <v>1287</v>
      </c>
      <c r="R18" s="10">
        <f t="shared" si="3"/>
        <v>0.36335403726708076</v>
      </c>
      <c r="S18" s="4">
        <f t="shared" si="1"/>
        <v>205</v>
      </c>
      <c r="T18" s="5">
        <f t="shared" si="7"/>
        <v>2104</v>
      </c>
      <c r="U18" s="10">
        <f t="shared" si="4"/>
        <v>0.59401468097120269</v>
      </c>
      <c r="V18" s="4">
        <f t="shared" si="2"/>
        <v>17</v>
      </c>
      <c r="W18" s="5">
        <f t="shared" si="8"/>
        <v>151</v>
      </c>
      <c r="X18" s="3">
        <f t="shared" si="5"/>
        <v>4.2631281761716544E-2</v>
      </c>
    </row>
    <row r="19" spans="2:24" ht="18">
      <c r="B19" s="41">
        <v>12</v>
      </c>
      <c r="C19" s="41">
        <v>26</v>
      </c>
      <c r="D19" s="41">
        <v>4</v>
      </c>
      <c r="E19" s="41">
        <v>7</v>
      </c>
      <c r="F19" s="41">
        <v>18</v>
      </c>
      <c r="G19" s="46">
        <v>0</v>
      </c>
      <c r="M19" s="21">
        <v>1</v>
      </c>
      <c r="N19" s="6">
        <v>0.5</v>
      </c>
      <c r="O19" s="2">
        <v>10</v>
      </c>
      <c r="P19" s="4">
        <f t="shared" si="0"/>
        <v>142</v>
      </c>
      <c r="Q19" s="5">
        <f t="shared" si="6"/>
        <v>1429</v>
      </c>
      <c r="R19" s="10">
        <f t="shared" si="3"/>
        <v>0.36269035532994925</v>
      </c>
      <c r="S19" s="4">
        <f t="shared" si="1"/>
        <v>250</v>
      </c>
      <c r="T19" s="5">
        <f t="shared" si="7"/>
        <v>2354</v>
      </c>
      <c r="U19" s="10">
        <f t="shared" si="4"/>
        <v>0.59746192893401018</v>
      </c>
      <c r="V19" s="4">
        <f t="shared" si="2"/>
        <v>6</v>
      </c>
      <c r="W19" s="5">
        <f t="shared" si="8"/>
        <v>157</v>
      </c>
      <c r="X19" s="3">
        <f t="shared" si="5"/>
        <v>3.9847715736040609E-2</v>
      </c>
    </row>
    <row r="20" spans="2:24" ht="18">
      <c r="B20" s="41">
        <v>12</v>
      </c>
      <c r="C20" s="41">
        <v>30</v>
      </c>
      <c r="D20" s="41">
        <v>2</v>
      </c>
      <c r="E20" s="41">
        <v>4</v>
      </c>
      <c r="F20" s="41">
        <v>8</v>
      </c>
      <c r="G20" s="46">
        <v>0</v>
      </c>
      <c r="M20" s="21">
        <v>1</v>
      </c>
      <c r="N20" s="6">
        <v>0.52083333333333304</v>
      </c>
      <c r="O20" s="2">
        <v>11</v>
      </c>
      <c r="P20" s="4">
        <f t="shared" si="0"/>
        <v>166</v>
      </c>
      <c r="Q20" s="5">
        <f t="shared" si="6"/>
        <v>1595</v>
      </c>
      <c r="R20" s="10">
        <f t="shared" si="3"/>
        <v>0.35770352096882707</v>
      </c>
      <c r="S20" s="4">
        <f t="shared" si="1"/>
        <v>335</v>
      </c>
      <c r="T20" s="5">
        <f t="shared" si="7"/>
        <v>2689</v>
      </c>
      <c r="U20" s="10">
        <f t="shared" si="4"/>
        <v>0.6030500112132765</v>
      </c>
      <c r="V20" s="4">
        <f t="shared" si="2"/>
        <v>18</v>
      </c>
      <c r="W20" s="5">
        <f t="shared" si="8"/>
        <v>175</v>
      </c>
      <c r="X20" s="3">
        <f t="shared" si="5"/>
        <v>3.924646781789639E-2</v>
      </c>
    </row>
    <row r="21" spans="2:24" ht="18">
      <c r="B21" s="41">
        <v>12</v>
      </c>
      <c r="C21" s="41">
        <v>34</v>
      </c>
      <c r="D21" s="41">
        <v>4</v>
      </c>
      <c r="E21" s="41">
        <v>3</v>
      </c>
      <c r="F21" s="41">
        <v>3</v>
      </c>
      <c r="G21" s="46">
        <v>0</v>
      </c>
      <c r="M21" s="21">
        <v>1</v>
      </c>
      <c r="N21" s="6">
        <v>4.1666666666666664E-2</v>
      </c>
      <c r="O21" s="2">
        <v>12</v>
      </c>
      <c r="P21" s="4">
        <f t="shared" si="0"/>
        <v>151</v>
      </c>
      <c r="Q21" s="5">
        <f t="shared" si="6"/>
        <v>1746</v>
      </c>
      <c r="R21" s="10">
        <f t="shared" si="3"/>
        <v>0.35458976441917139</v>
      </c>
      <c r="S21" s="4">
        <f t="shared" si="1"/>
        <v>308</v>
      </c>
      <c r="T21" s="5">
        <f t="shared" si="7"/>
        <v>2997</v>
      </c>
      <c r="U21" s="10">
        <f t="shared" si="4"/>
        <v>0.6086515028432169</v>
      </c>
      <c r="V21" s="4">
        <f t="shared" si="2"/>
        <v>6</v>
      </c>
      <c r="W21" s="5">
        <f t="shared" si="8"/>
        <v>181</v>
      </c>
      <c r="X21" s="3">
        <f t="shared" si="5"/>
        <v>3.6758732737611696E-2</v>
      </c>
    </row>
    <row r="22" spans="2:24" ht="18">
      <c r="B22" s="41">
        <v>12</v>
      </c>
      <c r="C22" s="41">
        <v>25</v>
      </c>
      <c r="D22" s="41">
        <v>2</v>
      </c>
      <c r="E22" s="41">
        <v>8</v>
      </c>
      <c r="F22" s="41">
        <v>11</v>
      </c>
      <c r="G22" s="46">
        <v>4</v>
      </c>
      <c r="M22" s="21">
        <v>1</v>
      </c>
      <c r="N22" s="6">
        <v>6.25E-2</v>
      </c>
      <c r="O22" s="2">
        <v>13</v>
      </c>
      <c r="P22" s="4">
        <f t="shared" si="0"/>
        <v>86</v>
      </c>
      <c r="Q22" s="5">
        <f t="shared" si="6"/>
        <v>1832</v>
      </c>
      <c r="R22" s="10">
        <f t="shared" si="3"/>
        <v>0.35359969117930901</v>
      </c>
      <c r="S22" s="4">
        <f t="shared" si="1"/>
        <v>165</v>
      </c>
      <c r="T22" s="5">
        <f t="shared" si="7"/>
        <v>3162</v>
      </c>
      <c r="U22" s="10">
        <f t="shared" si="4"/>
        <v>0.61030689056166765</v>
      </c>
      <c r="V22" s="4">
        <f t="shared" si="2"/>
        <v>6</v>
      </c>
      <c r="W22" s="5">
        <f t="shared" si="8"/>
        <v>187</v>
      </c>
      <c r="X22" s="3">
        <f t="shared" si="5"/>
        <v>3.6093418259023353E-2</v>
      </c>
    </row>
    <row r="23" spans="2:24" ht="18">
      <c r="B23" s="41">
        <v>12</v>
      </c>
      <c r="C23" s="41">
        <v>21</v>
      </c>
      <c r="D23" s="41">
        <v>1</v>
      </c>
      <c r="E23" s="41">
        <v>5</v>
      </c>
      <c r="F23" s="41">
        <v>20</v>
      </c>
      <c r="G23" s="46">
        <v>0</v>
      </c>
      <c r="M23" s="21">
        <v>1</v>
      </c>
      <c r="N23" s="6">
        <v>8.3333333333333329E-2</v>
      </c>
      <c r="O23" s="2">
        <v>14</v>
      </c>
      <c r="P23" s="4">
        <f t="shared" si="0"/>
        <v>50</v>
      </c>
      <c r="Q23" s="5">
        <f t="shared" si="6"/>
        <v>1882</v>
      </c>
      <c r="R23" s="10">
        <f t="shared" si="3"/>
        <v>0.34819611470860312</v>
      </c>
      <c r="S23" s="4">
        <f t="shared" si="1"/>
        <v>166</v>
      </c>
      <c r="T23" s="5">
        <f t="shared" si="7"/>
        <v>3328</v>
      </c>
      <c r="U23" s="10">
        <f t="shared" si="4"/>
        <v>0.61572617946345976</v>
      </c>
      <c r="V23" s="4">
        <f t="shared" si="2"/>
        <v>8</v>
      </c>
      <c r="W23" s="5">
        <f t="shared" si="8"/>
        <v>195</v>
      </c>
      <c r="X23" s="3">
        <f t="shared" si="5"/>
        <v>3.6077705827937095E-2</v>
      </c>
    </row>
    <row r="24" spans="2:24" ht="18">
      <c r="B24" s="41">
        <v>12</v>
      </c>
      <c r="C24" s="41">
        <v>21</v>
      </c>
      <c r="D24" s="41">
        <v>2</v>
      </c>
      <c r="E24" s="41">
        <v>10</v>
      </c>
      <c r="F24" s="41">
        <v>15</v>
      </c>
      <c r="G24" s="46">
        <v>0</v>
      </c>
      <c r="M24" s="21">
        <v>1</v>
      </c>
      <c r="N24" s="6">
        <v>0.104166666666667</v>
      </c>
      <c r="O24" s="2">
        <v>15</v>
      </c>
      <c r="P24" s="4">
        <f t="shared" si="0"/>
        <v>26</v>
      </c>
      <c r="Q24" s="5">
        <f t="shared" si="6"/>
        <v>1908</v>
      </c>
      <c r="R24" s="10">
        <f t="shared" si="3"/>
        <v>0.34459093371862021</v>
      </c>
      <c r="S24" s="4">
        <f t="shared" si="1"/>
        <v>97</v>
      </c>
      <c r="T24" s="5">
        <f t="shared" si="7"/>
        <v>3425</v>
      </c>
      <c r="U24" s="10">
        <f t="shared" si="4"/>
        <v>0.61856601047498649</v>
      </c>
      <c r="V24" s="4">
        <f t="shared" si="2"/>
        <v>9</v>
      </c>
      <c r="W24" s="5">
        <f t="shared" si="8"/>
        <v>204</v>
      </c>
      <c r="X24" s="3">
        <f t="shared" si="5"/>
        <v>3.6843055806393354E-2</v>
      </c>
    </row>
    <row r="25" spans="2:24" ht="18">
      <c r="B25" s="41">
        <v>12</v>
      </c>
      <c r="C25" s="41">
        <v>21</v>
      </c>
      <c r="D25" s="41">
        <v>3</v>
      </c>
      <c r="E25" s="41">
        <v>8</v>
      </c>
      <c r="F25" s="41">
        <v>17</v>
      </c>
      <c r="G25" s="46">
        <v>0</v>
      </c>
      <c r="M25" s="21">
        <v>1</v>
      </c>
      <c r="N25" s="6">
        <v>0.125</v>
      </c>
      <c r="O25" s="2">
        <v>16</v>
      </c>
      <c r="P25" s="4">
        <f t="shared" si="0"/>
        <v>30</v>
      </c>
      <c r="Q25" s="5">
        <f t="shared" si="6"/>
        <v>1938</v>
      </c>
      <c r="R25" s="10">
        <f t="shared" si="3"/>
        <v>0.3442273534635879</v>
      </c>
      <c r="S25" s="4">
        <f t="shared" si="1"/>
        <v>62</v>
      </c>
      <c r="T25" s="5">
        <f t="shared" si="7"/>
        <v>3487</v>
      </c>
      <c r="U25" s="10">
        <f t="shared" si="4"/>
        <v>0.61936056838365894</v>
      </c>
      <c r="V25" s="4">
        <f t="shared" si="2"/>
        <v>1</v>
      </c>
      <c r="W25" s="5">
        <f t="shared" si="8"/>
        <v>205</v>
      </c>
      <c r="X25" s="3">
        <f t="shared" si="5"/>
        <v>3.6412078152753109E-2</v>
      </c>
    </row>
    <row r="26" spans="2:24" ht="18">
      <c r="B26" s="41">
        <v>12</v>
      </c>
      <c r="C26" s="41">
        <v>18</v>
      </c>
      <c r="D26" s="41">
        <v>3</v>
      </c>
      <c r="E26" s="41">
        <v>10</v>
      </c>
      <c r="F26" s="41">
        <v>7</v>
      </c>
      <c r="G26" s="46">
        <v>0</v>
      </c>
      <c r="M26" s="21">
        <v>1</v>
      </c>
      <c r="N26" s="6">
        <v>0.14583333333333301</v>
      </c>
      <c r="O26" s="2">
        <v>17</v>
      </c>
      <c r="P26" s="4">
        <f t="shared" si="0"/>
        <v>1</v>
      </c>
      <c r="Q26" s="5">
        <f t="shared" si="6"/>
        <v>1939</v>
      </c>
      <c r="R26" s="10">
        <f t="shared" si="3"/>
        <v>0.34288240495137046</v>
      </c>
      <c r="S26" s="4">
        <f t="shared" si="1"/>
        <v>23</v>
      </c>
      <c r="T26" s="5">
        <f t="shared" si="7"/>
        <v>3510</v>
      </c>
      <c r="U26" s="10">
        <f t="shared" si="4"/>
        <v>0.62068965517241381</v>
      </c>
      <c r="V26" s="4">
        <f t="shared" si="2"/>
        <v>1</v>
      </c>
      <c r="W26" s="5">
        <f t="shared" si="8"/>
        <v>206</v>
      </c>
      <c r="X26" s="3">
        <f t="shared" si="5"/>
        <v>3.6427939876215738E-2</v>
      </c>
    </row>
    <row r="27" spans="2:24" ht="18">
      <c r="B27" s="41">
        <v>12</v>
      </c>
      <c r="C27" s="41">
        <v>25</v>
      </c>
      <c r="D27" s="41">
        <v>4</v>
      </c>
      <c r="E27" s="41">
        <v>5</v>
      </c>
      <c r="F27" s="41">
        <v>14</v>
      </c>
      <c r="G27" s="46">
        <v>6</v>
      </c>
      <c r="M27" s="21">
        <v>1</v>
      </c>
      <c r="N27" s="6">
        <v>0.16666666666666599</v>
      </c>
      <c r="O27" s="2">
        <v>18</v>
      </c>
      <c r="P27" s="4">
        <f t="shared" si="0"/>
        <v>0</v>
      </c>
      <c r="Q27" s="5">
        <f t="shared" si="6"/>
        <v>1939</v>
      </c>
      <c r="R27" s="10" t="e">
        <f t="shared" si="3"/>
        <v>#N/A</v>
      </c>
      <c r="S27" s="4">
        <f t="shared" si="1"/>
        <v>0</v>
      </c>
      <c r="T27" s="5">
        <f t="shared" si="7"/>
        <v>3510</v>
      </c>
      <c r="U27" s="10" t="e">
        <f t="shared" si="4"/>
        <v>#N/A</v>
      </c>
      <c r="V27" s="4">
        <f t="shared" si="2"/>
        <v>0</v>
      </c>
      <c r="W27" s="5">
        <f t="shared" si="8"/>
        <v>206</v>
      </c>
      <c r="X27" s="3" t="e">
        <f t="shared" si="5"/>
        <v>#N/A</v>
      </c>
    </row>
    <row r="28" spans="2:24" ht="18">
      <c r="B28" s="41">
        <v>12</v>
      </c>
      <c r="C28" s="41">
        <v>24</v>
      </c>
      <c r="D28" s="41">
        <v>3</v>
      </c>
      <c r="E28" s="41">
        <v>6</v>
      </c>
      <c r="F28" s="41">
        <v>19</v>
      </c>
      <c r="G28" s="46">
        <v>1</v>
      </c>
      <c r="M28" s="21">
        <v>1</v>
      </c>
      <c r="N28" s="6">
        <v>0.187499999999999</v>
      </c>
      <c r="O28" s="2">
        <v>19</v>
      </c>
      <c r="P28" s="4">
        <f t="shared" si="0"/>
        <v>0</v>
      </c>
      <c r="Q28" s="5">
        <f t="shared" si="6"/>
        <v>1939</v>
      </c>
      <c r="R28" s="10" t="e">
        <f t="shared" si="3"/>
        <v>#N/A</v>
      </c>
      <c r="S28" s="4">
        <f t="shared" si="1"/>
        <v>0</v>
      </c>
      <c r="T28" s="5">
        <f t="shared" si="7"/>
        <v>3510</v>
      </c>
      <c r="U28" s="10" t="e">
        <f t="shared" si="4"/>
        <v>#N/A</v>
      </c>
      <c r="V28" s="4">
        <f t="shared" si="2"/>
        <v>0</v>
      </c>
      <c r="W28" s="5">
        <f t="shared" si="8"/>
        <v>206</v>
      </c>
      <c r="X28" s="3" t="e">
        <f t="shared" si="5"/>
        <v>#N/A</v>
      </c>
    </row>
    <row r="29" spans="2:24" ht="18.75" thickBot="1">
      <c r="B29" s="41">
        <v>12</v>
      </c>
      <c r="C29" s="41">
        <v>19</v>
      </c>
      <c r="D29" s="41">
        <v>4</v>
      </c>
      <c r="E29" s="41">
        <v>2</v>
      </c>
      <c r="F29" s="41">
        <v>5</v>
      </c>
      <c r="G29" s="46">
        <v>0</v>
      </c>
      <c r="M29" s="21">
        <v>1</v>
      </c>
      <c r="N29" s="6">
        <v>0.20833333333333201</v>
      </c>
      <c r="O29" s="2">
        <v>20</v>
      </c>
      <c r="P29" s="7">
        <f t="shared" si="0"/>
        <v>0</v>
      </c>
      <c r="Q29" s="8">
        <f t="shared" si="6"/>
        <v>1939</v>
      </c>
      <c r="R29" s="11" t="e">
        <f t="shared" si="3"/>
        <v>#N/A</v>
      </c>
      <c r="S29" s="7">
        <f t="shared" si="1"/>
        <v>0</v>
      </c>
      <c r="T29" s="8">
        <f t="shared" si="7"/>
        <v>3510</v>
      </c>
      <c r="U29" s="11" t="e">
        <f t="shared" si="4"/>
        <v>#N/A</v>
      </c>
      <c r="V29" s="7">
        <f t="shared" si="2"/>
        <v>0</v>
      </c>
      <c r="W29" s="8">
        <f t="shared" si="8"/>
        <v>206</v>
      </c>
      <c r="X29" s="9" t="e">
        <f t="shared" si="5"/>
        <v>#N/A</v>
      </c>
    </row>
    <row r="30" spans="2:24" ht="18">
      <c r="B30" s="41">
        <v>12</v>
      </c>
      <c r="C30" s="41">
        <v>35</v>
      </c>
      <c r="D30" s="41">
        <v>1</v>
      </c>
      <c r="E30" s="41">
        <v>9</v>
      </c>
      <c r="F30" s="41">
        <v>16</v>
      </c>
      <c r="G30" s="46">
        <v>5</v>
      </c>
      <c r="M30" s="21">
        <v>1</v>
      </c>
    </row>
    <row r="31" spans="2:24" ht="18">
      <c r="B31" s="41">
        <v>12</v>
      </c>
      <c r="C31" s="41">
        <v>23</v>
      </c>
      <c r="D31" s="41">
        <v>4</v>
      </c>
      <c r="E31" s="41">
        <v>18</v>
      </c>
      <c r="F31" s="41">
        <v>6</v>
      </c>
      <c r="G31" s="46">
        <v>1</v>
      </c>
      <c r="M31" s="21">
        <v>1</v>
      </c>
    </row>
    <row r="32" spans="2:24" ht="18">
      <c r="B32" s="41">
        <v>12</v>
      </c>
      <c r="C32" s="41">
        <v>27</v>
      </c>
      <c r="D32" s="41">
        <v>2</v>
      </c>
      <c r="E32" s="41">
        <v>8</v>
      </c>
      <c r="F32" s="41">
        <v>6</v>
      </c>
      <c r="G32" s="46">
        <v>0</v>
      </c>
      <c r="M32" s="21">
        <v>1</v>
      </c>
      <c r="O32" s="21">
        <v>18</v>
      </c>
    </row>
    <row r="33" spans="2:15" ht="18">
      <c r="B33" s="41">
        <v>12</v>
      </c>
      <c r="C33" s="41">
        <v>35</v>
      </c>
      <c r="D33" s="41">
        <v>3</v>
      </c>
      <c r="E33" s="41">
        <v>13</v>
      </c>
      <c r="F33" s="41">
        <v>12</v>
      </c>
      <c r="G33" s="46">
        <v>0</v>
      </c>
      <c r="M33" s="21">
        <v>1</v>
      </c>
      <c r="O33" s="21">
        <v>19</v>
      </c>
    </row>
    <row r="34" spans="2:15" ht="18">
      <c r="B34" s="41">
        <v>12</v>
      </c>
      <c r="C34" s="41">
        <v>29</v>
      </c>
      <c r="D34" s="41">
        <v>3</v>
      </c>
      <c r="E34" s="41">
        <v>10</v>
      </c>
      <c r="F34" s="41">
        <v>14</v>
      </c>
      <c r="G34" s="46">
        <v>1</v>
      </c>
      <c r="M34" s="21">
        <v>1</v>
      </c>
      <c r="O34" s="21">
        <v>20</v>
      </c>
    </row>
    <row r="35" spans="2:15" ht="18">
      <c r="B35" s="41">
        <v>12</v>
      </c>
      <c r="C35" s="41">
        <v>29</v>
      </c>
      <c r="D35" s="41">
        <v>4</v>
      </c>
      <c r="E35" s="41">
        <v>9</v>
      </c>
      <c r="F35" s="41">
        <v>15</v>
      </c>
      <c r="G35" s="46">
        <v>1</v>
      </c>
      <c r="M35" s="21">
        <v>1</v>
      </c>
      <c r="O35" s="21">
        <v>21</v>
      </c>
    </row>
    <row r="36" spans="2:15" ht="18">
      <c r="B36" s="41">
        <v>12</v>
      </c>
      <c r="C36" s="41">
        <v>33</v>
      </c>
      <c r="D36" s="41">
        <v>5</v>
      </c>
      <c r="E36" s="41">
        <v>1</v>
      </c>
      <c r="F36" s="41">
        <v>16</v>
      </c>
      <c r="G36" s="46">
        <v>0</v>
      </c>
      <c r="M36" s="21">
        <v>1</v>
      </c>
      <c r="O36" s="21">
        <v>22</v>
      </c>
    </row>
    <row r="37" spans="2:15" ht="18">
      <c r="B37" s="41">
        <v>12</v>
      </c>
      <c r="C37" s="41">
        <v>23</v>
      </c>
      <c r="D37" s="41">
        <v>5</v>
      </c>
      <c r="E37" s="41">
        <v>15</v>
      </c>
      <c r="F37" s="41">
        <v>7</v>
      </c>
      <c r="G37" s="46">
        <v>3</v>
      </c>
      <c r="M37" s="21">
        <v>1</v>
      </c>
      <c r="O37" s="21">
        <v>23</v>
      </c>
    </row>
    <row r="38" spans="2:15" ht="18">
      <c r="B38" s="41">
        <v>12</v>
      </c>
      <c r="C38" s="41">
        <v>23</v>
      </c>
      <c r="D38" s="41">
        <v>6</v>
      </c>
      <c r="E38" s="41">
        <v>14</v>
      </c>
      <c r="F38" s="41">
        <v>8</v>
      </c>
      <c r="G38" s="46">
        <v>3</v>
      </c>
      <c r="M38" s="21">
        <v>1</v>
      </c>
      <c r="O38" s="21">
        <v>24</v>
      </c>
    </row>
    <row r="39" spans="2:15" ht="18">
      <c r="B39" s="41">
        <v>12</v>
      </c>
      <c r="C39" s="41">
        <v>24</v>
      </c>
      <c r="D39" s="41">
        <v>6</v>
      </c>
      <c r="E39" s="41">
        <v>7</v>
      </c>
      <c r="F39" s="41">
        <v>18</v>
      </c>
      <c r="G39" s="46">
        <v>0</v>
      </c>
      <c r="M39" s="21">
        <v>1</v>
      </c>
      <c r="O39" s="21">
        <v>25</v>
      </c>
    </row>
    <row r="40" spans="2:15" ht="18">
      <c r="B40" s="41">
        <v>12</v>
      </c>
      <c r="C40" s="41">
        <v>24</v>
      </c>
      <c r="D40" s="41">
        <v>7</v>
      </c>
      <c r="E40" s="41">
        <v>21</v>
      </c>
      <c r="F40" s="41">
        <v>3</v>
      </c>
      <c r="G40" s="46">
        <v>1</v>
      </c>
      <c r="M40" s="21">
        <v>1</v>
      </c>
      <c r="O40" s="21">
        <v>26</v>
      </c>
    </row>
    <row r="41" spans="2:15" ht="18">
      <c r="B41" s="41">
        <v>12</v>
      </c>
      <c r="C41" s="41">
        <v>34</v>
      </c>
      <c r="D41" s="41">
        <v>2</v>
      </c>
      <c r="E41" s="41">
        <v>4</v>
      </c>
      <c r="F41" s="41">
        <v>14</v>
      </c>
      <c r="G41" s="46">
        <v>0</v>
      </c>
      <c r="M41" s="21">
        <v>1</v>
      </c>
      <c r="O41" s="21">
        <v>27</v>
      </c>
    </row>
    <row r="42" spans="2:15" ht="18">
      <c r="B42" s="41">
        <v>12</v>
      </c>
      <c r="C42" s="41">
        <v>18</v>
      </c>
      <c r="D42" s="41">
        <v>4</v>
      </c>
      <c r="E42" s="41">
        <v>6</v>
      </c>
      <c r="F42" s="41">
        <v>5</v>
      </c>
      <c r="G42" s="46">
        <v>0</v>
      </c>
      <c r="M42" s="21">
        <v>1</v>
      </c>
      <c r="O42" s="21">
        <v>28</v>
      </c>
    </row>
    <row r="43" spans="2:15" ht="18">
      <c r="B43" s="41">
        <v>12</v>
      </c>
      <c r="C43" s="41">
        <v>18</v>
      </c>
      <c r="D43" s="41">
        <v>5</v>
      </c>
      <c r="E43" s="41">
        <v>1</v>
      </c>
      <c r="F43" s="41">
        <v>0</v>
      </c>
      <c r="G43" s="46">
        <v>0</v>
      </c>
      <c r="M43" s="21">
        <v>1</v>
      </c>
      <c r="O43" s="21">
        <v>29</v>
      </c>
    </row>
    <row r="44" spans="2:15" ht="18">
      <c r="B44" s="41">
        <v>12</v>
      </c>
      <c r="C44" s="41">
        <v>33</v>
      </c>
      <c r="D44" s="41">
        <v>6</v>
      </c>
      <c r="E44" s="41">
        <v>2</v>
      </c>
      <c r="F44" s="41">
        <v>20</v>
      </c>
      <c r="G44" s="46">
        <v>3</v>
      </c>
      <c r="M44" s="21">
        <v>1</v>
      </c>
      <c r="O44" s="21">
        <v>30</v>
      </c>
    </row>
    <row r="45" spans="2:15" ht="18">
      <c r="B45" s="41">
        <v>12</v>
      </c>
      <c r="C45" s="41">
        <v>19</v>
      </c>
      <c r="D45" s="41">
        <v>6</v>
      </c>
      <c r="E45" s="41">
        <v>4</v>
      </c>
      <c r="F45" s="41">
        <v>5</v>
      </c>
      <c r="G45" s="46">
        <v>0</v>
      </c>
      <c r="M45" s="21">
        <v>1</v>
      </c>
      <c r="O45" s="21">
        <v>31</v>
      </c>
    </row>
    <row r="46" spans="2:15" ht="18">
      <c r="B46" s="41">
        <v>12</v>
      </c>
      <c r="C46" s="41">
        <v>30</v>
      </c>
      <c r="D46" s="41">
        <v>3</v>
      </c>
      <c r="E46" s="41">
        <v>7</v>
      </c>
      <c r="F46" s="41">
        <v>15</v>
      </c>
      <c r="G46" s="46">
        <v>0</v>
      </c>
      <c r="M46" s="21">
        <v>1</v>
      </c>
      <c r="O46" s="21">
        <v>32</v>
      </c>
    </row>
    <row r="47" spans="2:15" ht="18">
      <c r="B47" s="41">
        <v>12</v>
      </c>
      <c r="C47" s="41">
        <v>30</v>
      </c>
      <c r="D47" s="41">
        <v>4</v>
      </c>
      <c r="E47" s="41">
        <v>2</v>
      </c>
      <c r="F47" s="41">
        <v>11</v>
      </c>
      <c r="G47" s="46">
        <v>0</v>
      </c>
      <c r="M47" s="21">
        <v>1</v>
      </c>
      <c r="O47" s="21">
        <v>33</v>
      </c>
    </row>
    <row r="48" spans="2:15" ht="18">
      <c r="B48" s="41">
        <v>12</v>
      </c>
      <c r="C48" s="41">
        <v>27</v>
      </c>
      <c r="D48" s="41">
        <v>3</v>
      </c>
      <c r="E48" s="41">
        <v>11</v>
      </c>
      <c r="F48" s="41">
        <v>5</v>
      </c>
      <c r="G48" s="46">
        <v>0</v>
      </c>
      <c r="M48" s="21">
        <v>1</v>
      </c>
      <c r="O48" s="21">
        <v>34</v>
      </c>
    </row>
    <row r="49" spans="2:15" ht="18">
      <c r="B49" s="41">
        <v>12</v>
      </c>
      <c r="C49" s="41">
        <v>25</v>
      </c>
      <c r="D49" s="41">
        <v>3</v>
      </c>
      <c r="E49" s="41">
        <v>9</v>
      </c>
      <c r="F49" s="41">
        <v>12</v>
      </c>
      <c r="G49" s="46">
        <v>5</v>
      </c>
      <c r="M49" s="21">
        <v>1</v>
      </c>
      <c r="O49" s="21">
        <v>35</v>
      </c>
    </row>
    <row r="50" spans="2:15" ht="18">
      <c r="B50" s="41">
        <v>12</v>
      </c>
      <c r="C50" s="41">
        <v>28</v>
      </c>
      <c r="D50" s="41">
        <v>3</v>
      </c>
      <c r="E50" s="41">
        <v>1</v>
      </c>
      <c r="F50" s="41">
        <v>24</v>
      </c>
      <c r="G50" s="46">
        <v>0</v>
      </c>
      <c r="M50" s="21">
        <v>1</v>
      </c>
      <c r="O50" s="21">
        <v>36</v>
      </c>
    </row>
    <row r="51" spans="2:15" ht="18">
      <c r="B51" s="41">
        <v>12</v>
      </c>
      <c r="C51" s="41">
        <v>28</v>
      </c>
      <c r="D51" s="41">
        <v>5</v>
      </c>
      <c r="E51" s="41">
        <v>1</v>
      </c>
      <c r="F51" s="41">
        <v>18</v>
      </c>
      <c r="G51" s="46">
        <v>1</v>
      </c>
      <c r="M51" s="21">
        <v>1</v>
      </c>
      <c r="O51" s="21">
        <v>37</v>
      </c>
    </row>
    <row r="52" spans="2:15" ht="18">
      <c r="B52" s="41">
        <v>12</v>
      </c>
      <c r="C52" s="41">
        <v>31</v>
      </c>
      <c r="D52" s="41">
        <v>1</v>
      </c>
      <c r="E52" s="41">
        <v>17</v>
      </c>
      <c r="F52" s="41">
        <v>8</v>
      </c>
      <c r="G52" s="46">
        <v>0</v>
      </c>
      <c r="M52" s="21">
        <v>1</v>
      </c>
    </row>
    <row r="53" spans="2:15" ht="18">
      <c r="B53" s="41">
        <v>12</v>
      </c>
      <c r="C53" s="41">
        <v>35</v>
      </c>
      <c r="D53" s="41">
        <v>5</v>
      </c>
      <c r="E53" s="41">
        <v>13</v>
      </c>
      <c r="F53" s="41">
        <v>12</v>
      </c>
      <c r="G53" s="46">
        <v>0</v>
      </c>
      <c r="M53" s="21">
        <v>1</v>
      </c>
    </row>
    <row r="54" spans="2:15" ht="18">
      <c r="B54" s="41">
        <v>12</v>
      </c>
      <c r="C54" s="41">
        <v>35</v>
      </c>
      <c r="D54" s="41">
        <v>4</v>
      </c>
      <c r="E54" s="41">
        <v>16</v>
      </c>
      <c r="F54" s="41">
        <v>9</v>
      </c>
      <c r="G54" s="46">
        <v>0</v>
      </c>
      <c r="M54" s="21">
        <v>1</v>
      </c>
    </row>
    <row r="55" spans="2:15" ht="18">
      <c r="B55" s="41">
        <v>12</v>
      </c>
      <c r="C55" s="41">
        <v>35</v>
      </c>
      <c r="D55" s="41">
        <v>3</v>
      </c>
      <c r="E55" s="41">
        <v>13</v>
      </c>
      <c r="F55" s="41">
        <v>2</v>
      </c>
      <c r="G55" s="46">
        <v>0</v>
      </c>
      <c r="M55" s="21">
        <v>1</v>
      </c>
    </row>
    <row r="56" spans="2:15" ht="18">
      <c r="B56" s="41">
        <v>12</v>
      </c>
      <c r="C56" s="41">
        <v>26</v>
      </c>
      <c r="D56" s="41">
        <v>5</v>
      </c>
      <c r="E56" s="41">
        <v>18</v>
      </c>
      <c r="F56" s="41">
        <v>79</v>
      </c>
      <c r="G56" s="46">
        <v>3</v>
      </c>
      <c r="M56" s="21">
        <v>1</v>
      </c>
    </row>
    <row r="57" spans="2:15" ht="18">
      <c r="B57" s="41">
        <v>12</v>
      </c>
      <c r="C57" s="41">
        <v>32</v>
      </c>
      <c r="D57" s="41">
        <v>1</v>
      </c>
      <c r="E57" s="41">
        <v>12</v>
      </c>
      <c r="F57" s="41">
        <v>7</v>
      </c>
      <c r="G57" s="46">
        <v>8</v>
      </c>
      <c r="M57" s="21">
        <v>1</v>
      </c>
    </row>
    <row r="58" spans="2:15" ht="18">
      <c r="B58" s="41">
        <v>12</v>
      </c>
      <c r="C58" s="41">
        <v>32</v>
      </c>
      <c r="D58" s="41">
        <v>2</v>
      </c>
      <c r="E58" s="41">
        <v>32</v>
      </c>
      <c r="F58" s="41">
        <v>16</v>
      </c>
      <c r="G58" s="46">
        <v>12</v>
      </c>
      <c r="M58" s="21">
        <v>1</v>
      </c>
    </row>
    <row r="59" spans="2:15" ht="18">
      <c r="B59" s="41">
        <v>12</v>
      </c>
      <c r="C59" s="41">
        <v>26</v>
      </c>
      <c r="D59" s="41">
        <v>2</v>
      </c>
      <c r="E59" s="41">
        <v>3</v>
      </c>
      <c r="F59" s="41">
        <v>22</v>
      </c>
      <c r="G59" s="46">
        <v>0</v>
      </c>
      <c r="M59" s="21">
        <v>1</v>
      </c>
    </row>
    <row r="60" spans="2:15" ht="18">
      <c r="B60" s="41">
        <v>12</v>
      </c>
      <c r="C60" s="41">
        <v>26</v>
      </c>
      <c r="D60" s="41">
        <v>1</v>
      </c>
      <c r="E60" s="41">
        <v>8</v>
      </c>
      <c r="F60" s="41">
        <v>18</v>
      </c>
      <c r="G60" s="46">
        <v>0</v>
      </c>
      <c r="M60" s="21">
        <v>1</v>
      </c>
    </row>
    <row r="61" spans="2:15" ht="18">
      <c r="B61" s="41">
        <v>12</v>
      </c>
      <c r="C61" s="41">
        <v>34</v>
      </c>
      <c r="D61" s="41">
        <v>5</v>
      </c>
      <c r="E61" s="41">
        <v>4</v>
      </c>
      <c r="F61" s="41">
        <v>19</v>
      </c>
      <c r="G61" s="46">
        <v>0</v>
      </c>
      <c r="M61" s="21">
        <v>1</v>
      </c>
    </row>
    <row r="62" spans="2:15" ht="18">
      <c r="B62" s="41">
        <v>12</v>
      </c>
      <c r="C62" s="41">
        <v>29</v>
      </c>
      <c r="D62" s="41">
        <v>6</v>
      </c>
      <c r="E62" s="41">
        <v>11</v>
      </c>
      <c r="F62" s="41">
        <v>14</v>
      </c>
      <c r="G62" s="46">
        <v>0</v>
      </c>
      <c r="M62" s="21">
        <v>1</v>
      </c>
    </row>
    <row r="63" spans="2:15" ht="18">
      <c r="B63" s="41">
        <v>12</v>
      </c>
      <c r="C63" s="41">
        <v>29</v>
      </c>
      <c r="D63" s="41">
        <v>5</v>
      </c>
      <c r="E63" s="41">
        <v>13</v>
      </c>
      <c r="F63" s="41">
        <v>12</v>
      </c>
      <c r="G63" s="46">
        <v>0</v>
      </c>
      <c r="M63" s="21">
        <v>1</v>
      </c>
    </row>
    <row r="64" spans="2:15" ht="18">
      <c r="B64" s="41">
        <v>12</v>
      </c>
      <c r="C64" s="41">
        <v>30</v>
      </c>
      <c r="D64" s="41">
        <v>5</v>
      </c>
      <c r="E64" s="41">
        <v>8</v>
      </c>
      <c r="F64" s="41">
        <v>13</v>
      </c>
      <c r="G64" s="46">
        <v>0</v>
      </c>
      <c r="M64" s="21">
        <v>1</v>
      </c>
    </row>
    <row r="65" spans="2:13" ht="18">
      <c r="B65" s="41">
        <v>12</v>
      </c>
      <c r="C65" s="41">
        <v>19</v>
      </c>
      <c r="D65" s="41">
        <v>7</v>
      </c>
      <c r="E65" s="41">
        <v>6</v>
      </c>
      <c r="F65" s="41">
        <v>4</v>
      </c>
      <c r="G65" s="46">
        <v>0</v>
      </c>
      <c r="M65" s="21">
        <v>1</v>
      </c>
    </row>
    <row r="66" spans="2:13" ht="18">
      <c r="B66" s="41">
        <v>12</v>
      </c>
      <c r="C66" s="41">
        <v>23</v>
      </c>
      <c r="D66" s="41">
        <v>7</v>
      </c>
      <c r="E66" s="41">
        <v>11</v>
      </c>
      <c r="F66" s="41">
        <v>11</v>
      </c>
      <c r="G66" s="46">
        <v>3</v>
      </c>
      <c r="M66" s="21">
        <v>1</v>
      </c>
    </row>
    <row r="67" spans="2:13" ht="18">
      <c r="B67" s="41">
        <v>12</v>
      </c>
      <c r="C67" s="41">
        <v>32</v>
      </c>
      <c r="D67" s="41">
        <v>3</v>
      </c>
      <c r="E67" s="41">
        <v>25</v>
      </c>
      <c r="F67" s="41">
        <v>23</v>
      </c>
      <c r="G67" s="46">
        <v>2</v>
      </c>
      <c r="M67" s="21">
        <v>1</v>
      </c>
    </row>
    <row r="68" spans="2:13" ht="18">
      <c r="B68" s="41">
        <v>12</v>
      </c>
      <c r="C68" s="41">
        <v>26</v>
      </c>
      <c r="D68" s="41">
        <v>6</v>
      </c>
      <c r="E68" s="41">
        <v>11</v>
      </c>
      <c r="F68" s="41">
        <v>28</v>
      </c>
      <c r="G68" s="46">
        <v>0</v>
      </c>
      <c r="M68" s="21">
        <v>1</v>
      </c>
    </row>
    <row r="69" spans="2:13" ht="18">
      <c r="B69" s="41">
        <v>12</v>
      </c>
      <c r="C69" s="41">
        <v>27</v>
      </c>
      <c r="D69" s="41">
        <v>5</v>
      </c>
      <c r="E69" s="41">
        <v>4</v>
      </c>
      <c r="F69" s="41">
        <v>5</v>
      </c>
      <c r="G69" s="46">
        <v>0</v>
      </c>
      <c r="M69" s="21">
        <v>1</v>
      </c>
    </row>
    <row r="70" spans="2:13" ht="18">
      <c r="B70" s="41">
        <v>12</v>
      </c>
      <c r="C70" s="41">
        <v>27</v>
      </c>
      <c r="D70" s="41">
        <v>4</v>
      </c>
      <c r="E70" s="41">
        <v>5</v>
      </c>
      <c r="F70" s="41">
        <v>3</v>
      </c>
      <c r="G70" s="46">
        <v>0</v>
      </c>
      <c r="M70" s="21">
        <v>1</v>
      </c>
    </row>
    <row r="71" spans="2:13" ht="18">
      <c r="B71" s="41">
        <v>12</v>
      </c>
      <c r="C71" s="41">
        <v>25</v>
      </c>
      <c r="D71" s="41">
        <v>4</v>
      </c>
      <c r="E71" s="41">
        <v>8</v>
      </c>
      <c r="F71" s="41">
        <v>11</v>
      </c>
      <c r="G71" s="46">
        <v>4</v>
      </c>
      <c r="M71" s="21">
        <v>1</v>
      </c>
    </row>
    <row r="72" spans="2:13" ht="18">
      <c r="B72" s="41">
        <v>12</v>
      </c>
      <c r="C72" s="41">
        <v>18</v>
      </c>
      <c r="D72" s="41">
        <v>6</v>
      </c>
      <c r="E72" s="41">
        <v>10</v>
      </c>
      <c r="F72" s="41">
        <v>8</v>
      </c>
      <c r="G72" s="46">
        <v>0</v>
      </c>
      <c r="M72" s="21">
        <v>1</v>
      </c>
    </row>
    <row r="73" spans="2:13" ht="18">
      <c r="B73" s="41">
        <v>12</v>
      </c>
      <c r="C73" s="41">
        <v>34</v>
      </c>
      <c r="D73" s="41">
        <v>6</v>
      </c>
      <c r="E73" s="41">
        <v>11</v>
      </c>
      <c r="F73" s="41">
        <v>34</v>
      </c>
      <c r="G73" s="46">
        <v>0</v>
      </c>
      <c r="M73" s="21">
        <v>1</v>
      </c>
    </row>
    <row r="74" spans="2:13" ht="18">
      <c r="B74" s="41">
        <v>12</v>
      </c>
      <c r="C74" s="41">
        <v>21</v>
      </c>
      <c r="D74" s="41">
        <v>6</v>
      </c>
      <c r="E74" s="41">
        <v>4</v>
      </c>
      <c r="F74" s="41">
        <v>12</v>
      </c>
      <c r="G74" s="46">
        <v>1</v>
      </c>
      <c r="M74" s="21">
        <v>1</v>
      </c>
    </row>
    <row r="75" spans="2:13" ht="18">
      <c r="B75" s="41">
        <v>12</v>
      </c>
      <c r="C75" s="41">
        <v>24</v>
      </c>
      <c r="D75" s="41">
        <v>7</v>
      </c>
      <c r="E75" s="41">
        <v>14</v>
      </c>
      <c r="F75" s="41">
        <v>11</v>
      </c>
      <c r="G75" s="46">
        <v>0</v>
      </c>
      <c r="M75" s="21">
        <v>1</v>
      </c>
    </row>
    <row r="76" spans="2:13" ht="18">
      <c r="B76" s="41">
        <v>12</v>
      </c>
      <c r="C76" s="41">
        <v>32</v>
      </c>
      <c r="D76" s="41">
        <v>4</v>
      </c>
      <c r="E76" s="41">
        <v>6</v>
      </c>
      <c r="F76" s="41">
        <v>3</v>
      </c>
      <c r="G76" s="46">
        <v>1</v>
      </c>
      <c r="M76" s="21">
        <v>1</v>
      </c>
    </row>
    <row r="77" spans="2:13" ht="18">
      <c r="B77" s="41">
        <v>12</v>
      </c>
      <c r="C77" s="41">
        <v>28</v>
      </c>
      <c r="D77" s="41">
        <v>6</v>
      </c>
      <c r="E77" s="41">
        <v>2</v>
      </c>
      <c r="F77" s="41">
        <v>20</v>
      </c>
      <c r="G77" s="46">
        <v>0</v>
      </c>
      <c r="M77" s="21">
        <v>1</v>
      </c>
    </row>
    <row r="78" spans="2:13" ht="18">
      <c r="B78" s="41">
        <v>12</v>
      </c>
      <c r="C78" s="41">
        <v>18</v>
      </c>
      <c r="D78" s="41">
        <v>7</v>
      </c>
      <c r="E78" s="41">
        <v>3</v>
      </c>
      <c r="F78" s="41">
        <v>10</v>
      </c>
      <c r="G78" s="46">
        <v>0</v>
      </c>
      <c r="M78" s="21">
        <v>1</v>
      </c>
    </row>
    <row r="79" spans="2:13" ht="18">
      <c r="B79" s="41">
        <v>12</v>
      </c>
      <c r="C79" s="41">
        <v>32</v>
      </c>
      <c r="D79" s="41">
        <v>5</v>
      </c>
      <c r="E79" s="41">
        <v>20</v>
      </c>
      <c r="F79" s="41">
        <v>22</v>
      </c>
      <c r="G79" s="46">
        <v>0</v>
      </c>
      <c r="M79" s="21">
        <v>1</v>
      </c>
    </row>
    <row r="80" spans="2:13" ht="18">
      <c r="B80" s="41">
        <v>12</v>
      </c>
      <c r="C80" s="41">
        <v>33</v>
      </c>
      <c r="D80" s="41">
        <v>8</v>
      </c>
      <c r="E80" s="41">
        <v>6</v>
      </c>
      <c r="F80" s="41">
        <v>13</v>
      </c>
      <c r="G80" s="46">
        <v>1</v>
      </c>
      <c r="M80" s="21">
        <v>1</v>
      </c>
    </row>
    <row r="81" spans="2:13" ht="18">
      <c r="B81" s="41">
        <v>12</v>
      </c>
      <c r="C81" s="41">
        <v>19</v>
      </c>
      <c r="D81" s="41">
        <v>8</v>
      </c>
      <c r="E81" s="41">
        <v>5</v>
      </c>
      <c r="F81" s="41">
        <v>4</v>
      </c>
      <c r="G81" s="46">
        <v>0</v>
      </c>
      <c r="M81" s="21">
        <v>1</v>
      </c>
    </row>
    <row r="82" spans="2:13" ht="18">
      <c r="B82" s="41">
        <v>12</v>
      </c>
      <c r="C82" s="41">
        <v>23</v>
      </c>
      <c r="D82" s="41">
        <v>8</v>
      </c>
      <c r="E82" s="41">
        <v>13</v>
      </c>
      <c r="F82" s="41">
        <v>10</v>
      </c>
      <c r="G82" s="46">
        <v>2</v>
      </c>
      <c r="M82" s="21">
        <v>1</v>
      </c>
    </row>
    <row r="83" spans="2:13" ht="18">
      <c r="B83" s="41">
        <v>12</v>
      </c>
      <c r="C83" s="41">
        <v>27</v>
      </c>
      <c r="D83" s="41">
        <v>6</v>
      </c>
      <c r="E83" s="41">
        <v>17</v>
      </c>
      <c r="F83" s="41">
        <v>15</v>
      </c>
      <c r="G83" s="46">
        <v>0</v>
      </c>
      <c r="M83" s="21">
        <v>1</v>
      </c>
    </row>
    <row r="84" spans="2:13" ht="18">
      <c r="B84" s="41">
        <v>12</v>
      </c>
      <c r="C84" s="41">
        <v>25</v>
      </c>
      <c r="D84" s="41">
        <v>5</v>
      </c>
      <c r="E84" s="41">
        <v>12</v>
      </c>
      <c r="F84" s="41">
        <v>13</v>
      </c>
      <c r="G84" s="46">
        <v>0</v>
      </c>
      <c r="M84" s="21">
        <v>1</v>
      </c>
    </row>
    <row r="85" spans="2:13" ht="18">
      <c r="B85" s="41">
        <v>12</v>
      </c>
      <c r="C85" s="41">
        <v>30</v>
      </c>
      <c r="D85" s="41">
        <v>6</v>
      </c>
      <c r="E85" s="41">
        <v>5</v>
      </c>
      <c r="F85" s="41">
        <v>41</v>
      </c>
      <c r="G85" s="46">
        <v>0</v>
      </c>
      <c r="M85" s="21">
        <v>1</v>
      </c>
    </row>
    <row r="86" spans="2:13" ht="18">
      <c r="B86" s="41">
        <v>12</v>
      </c>
      <c r="C86" s="41">
        <v>26</v>
      </c>
      <c r="D86" s="41">
        <v>7</v>
      </c>
      <c r="E86" s="41">
        <v>15</v>
      </c>
      <c r="F86" s="41">
        <v>56</v>
      </c>
      <c r="G86" s="46">
        <v>1</v>
      </c>
      <c r="M86" s="21">
        <v>1</v>
      </c>
    </row>
    <row r="87" spans="2:13" ht="18">
      <c r="B87" s="41">
        <v>12</v>
      </c>
      <c r="C87" s="41">
        <v>24</v>
      </c>
      <c r="D87" s="41">
        <v>8</v>
      </c>
      <c r="E87" s="41">
        <v>11</v>
      </c>
      <c r="F87" s="41">
        <v>14</v>
      </c>
      <c r="G87" s="46">
        <v>0</v>
      </c>
      <c r="M87" s="21">
        <v>1</v>
      </c>
    </row>
    <row r="88" spans="2:13" ht="18">
      <c r="B88" s="41">
        <v>12</v>
      </c>
      <c r="C88" s="41">
        <v>21</v>
      </c>
      <c r="D88" s="41">
        <v>7</v>
      </c>
      <c r="E88" s="41">
        <v>6</v>
      </c>
      <c r="F88" s="41">
        <v>14</v>
      </c>
      <c r="G88" s="46">
        <v>5</v>
      </c>
      <c r="M88" s="21">
        <v>1</v>
      </c>
    </row>
    <row r="89" spans="2:13" ht="18">
      <c r="B89" s="41">
        <v>12</v>
      </c>
      <c r="C89" s="41">
        <v>22</v>
      </c>
      <c r="D89" s="41">
        <v>8</v>
      </c>
      <c r="E89" s="41">
        <v>9</v>
      </c>
      <c r="F89" s="41">
        <v>12</v>
      </c>
      <c r="G89" s="46">
        <v>4</v>
      </c>
      <c r="M89" s="21">
        <v>1</v>
      </c>
    </row>
    <row r="90" spans="2:13" ht="18">
      <c r="B90" s="41">
        <v>12</v>
      </c>
      <c r="C90" s="41">
        <v>32</v>
      </c>
      <c r="D90" s="41">
        <v>6</v>
      </c>
      <c r="E90" s="41">
        <v>12</v>
      </c>
      <c r="F90" s="41">
        <v>5</v>
      </c>
      <c r="G90" s="46">
        <v>0</v>
      </c>
      <c r="M90" s="21">
        <v>1</v>
      </c>
    </row>
    <row r="91" spans="2:13" ht="18">
      <c r="B91" s="41">
        <v>12</v>
      </c>
      <c r="C91" s="41">
        <v>31</v>
      </c>
      <c r="D91" s="41">
        <v>2</v>
      </c>
      <c r="E91" s="41">
        <v>13</v>
      </c>
      <c r="F91" s="41">
        <v>11</v>
      </c>
      <c r="G91" s="46">
        <v>1</v>
      </c>
      <c r="M91" s="21">
        <v>1</v>
      </c>
    </row>
    <row r="92" spans="2:13" ht="18">
      <c r="B92" s="41">
        <v>12</v>
      </c>
      <c r="C92" s="41">
        <v>28</v>
      </c>
      <c r="D92" s="41">
        <v>7</v>
      </c>
      <c r="E92" s="41">
        <v>2</v>
      </c>
      <c r="F92" s="41">
        <v>24</v>
      </c>
      <c r="G92" s="46">
        <v>0</v>
      </c>
      <c r="M92" s="21">
        <v>1</v>
      </c>
    </row>
    <row r="93" spans="2:13" ht="18">
      <c r="B93" s="41">
        <v>12</v>
      </c>
      <c r="C93" s="41">
        <v>34</v>
      </c>
      <c r="D93" s="41">
        <v>7</v>
      </c>
      <c r="E93" s="41">
        <v>7</v>
      </c>
      <c r="F93" s="41">
        <v>17</v>
      </c>
      <c r="G93" s="46">
        <v>0</v>
      </c>
      <c r="M93" s="21">
        <v>1</v>
      </c>
    </row>
    <row r="94" spans="2:13" ht="18">
      <c r="B94" s="41">
        <v>12</v>
      </c>
      <c r="C94" s="41">
        <v>18</v>
      </c>
      <c r="D94" s="41">
        <v>8</v>
      </c>
      <c r="E94" s="41">
        <v>4</v>
      </c>
      <c r="F94" s="41">
        <v>4</v>
      </c>
      <c r="G94" s="46">
        <v>0</v>
      </c>
      <c r="M94" s="21">
        <v>1</v>
      </c>
    </row>
    <row r="95" spans="2:13" ht="18">
      <c r="B95" s="41">
        <v>12</v>
      </c>
      <c r="C95" s="41">
        <v>21</v>
      </c>
      <c r="D95" s="41">
        <v>3</v>
      </c>
      <c r="E95" s="41">
        <v>7</v>
      </c>
      <c r="F95" s="41">
        <v>16</v>
      </c>
      <c r="G95" s="46">
        <v>2</v>
      </c>
      <c r="M95" s="21">
        <v>1</v>
      </c>
    </row>
    <row r="96" spans="2:13" ht="18">
      <c r="B96" s="41">
        <v>12</v>
      </c>
      <c r="C96" s="41">
        <v>19</v>
      </c>
      <c r="D96" s="41">
        <v>9</v>
      </c>
      <c r="E96" s="41">
        <v>4</v>
      </c>
      <c r="F96" s="41">
        <v>10</v>
      </c>
      <c r="G96" s="46">
        <v>0</v>
      </c>
      <c r="M96" s="21">
        <v>1</v>
      </c>
    </row>
    <row r="97" spans="2:13" ht="18">
      <c r="B97" s="41">
        <v>12</v>
      </c>
      <c r="C97" s="41">
        <v>30</v>
      </c>
      <c r="D97" s="41">
        <v>7</v>
      </c>
      <c r="E97" s="41">
        <v>6</v>
      </c>
      <c r="F97" s="41">
        <v>26</v>
      </c>
      <c r="G97" s="46">
        <v>0</v>
      </c>
      <c r="M97" s="21">
        <v>1</v>
      </c>
    </row>
    <row r="98" spans="2:13" ht="18">
      <c r="B98" s="41">
        <v>12</v>
      </c>
      <c r="C98" s="41">
        <v>23</v>
      </c>
      <c r="D98" s="41">
        <v>9</v>
      </c>
      <c r="E98" s="41">
        <v>9</v>
      </c>
      <c r="F98" s="41">
        <v>10</v>
      </c>
      <c r="G98" s="46">
        <v>7</v>
      </c>
      <c r="M98" s="21">
        <v>1</v>
      </c>
    </row>
    <row r="99" spans="2:13" ht="18">
      <c r="B99" s="41">
        <v>12</v>
      </c>
      <c r="C99" s="41">
        <v>25</v>
      </c>
      <c r="D99" s="41">
        <v>5</v>
      </c>
      <c r="E99" s="41">
        <v>8</v>
      </c>
      <c r="F99" s="41">
        <v>10</v>
      </c>
      <c r="G99" s="46">
        <v>6</v>
      </c>
      <c r="M99" s="21">
        <v>1</v>
      </c>
    </row>
    <row r="100" spans="2:13" ht="18">
      <c r="B100" s="41">
        <v>12</v>
      </c>
      <c r="C100" s="41">
        <v>32</v>
      </c>
      <c r="D100" s="41">
        <v>6</v>
      </c>
      <c r="E100" s="41">
        <v>0</v>
      </c>
      <c r="F100" s="41">
        <v>3</v>
      </c>
      <c r="G100" s="46">
        <v>0</v>
      </c>
      <c r="M100" s="21">
        <v>1</v>
      </c>
    </row>
    <row r="101" spans="2:13" ht="18">
      <c r="B101" s="41">
        <v>12</v>
      </c>
      <c r="C101" s="41">
        <v>28</v>
      </c>
      <c r="D101" s="41">
        <v>8</v>
      </c>
      <c r="E101" s="41">
        <v>1</v>
      </c>
      <c r="F101" s="41">
        <v>22</v>
      </c>
      <c r="G101" s="46">
        <v>0</v>
      </c>
      <c r="M101" s="21">
        <v>1</v>
      </c>
    </row>
    <row r="102" spans="2:13" ht="18">
      <c r="B102" s="41">
        <v>12</v>
      </c>
      <c r="C102" s="41">
        <v>26</v>
      </c>
      <c r="D102" s="41">
        <v>8</v>
      </c>
      <c r="E102" s="41">
        <v>15</v>
      </c>
      <c r="F102" s="41">
        <v>39</v>
      </c>
      <c r="G102" s="46">
        <v>0</v>
      </c>
      <c r="M102" s="21">
        <v>1</v>
      </c>
    </row>
    <row r="103" spans="2:13" ht="18">
      <c r="B103" s="41">
        <v>12</v>
      </c>
      <c r="C103" s="41">
        <v>24</v>
      </c>
      <c r="D103" s="41">
        <v>10</v>
      </c>
      <c r="E103" s="41">
        <v>9</v>
      </c>
      <c r="F103" s="41">
        <v>10</v>
      </c>
      <c r="G103" s="46">
        <v>0</v>
      </c>
      <c r="M103" s="21">
        <v>1</v>
      </c>
    </row>
    <row r="104" spans="2:13" ht="18">
      <c r="B104" s="41">
        <v>12</v>
      </c>
      <c r="C104" s="41">
        <v>34</v>
      </c>
      <c r="D104" s="41">
        <v>8</v>
      </c>
      <c r="E104" s="41">
        <v>5</v>
      </c>
      <c r="F104" s="41">
        <v>15</v>
      </c>
      <c r="G104" s="46">
        <v>0</v>
      </c>
      <c r="M104" s="21">
        <v>1</v>
      </c>
    </row>
    <row r="105" spans="2:13" ht="18">
      <c r="B105" s="41">
        <v>12</v>
      </c>
      <c r="C105" s="41">
        <v>21</v>
      </c>
      <c r="D105" s="41">
        <v>9</v>
      </c>
      <c r="E105" s="41">
        <v>12</v>
      </c>
      <c r="F105" s="41">
        <v>12</v>
      </c>
      <c r="G105" s="46">
        <v>1</v>
      </c>
      <c r="M105" s="21">
        <v>1</v>
      </c>
    </row>
    <row r="106" spans="2:13" ht="18">
      <c r="B106" s="41">
        <v>12</v>
      </c>
      <c r="C106" s="41">
        <v>31</v>
      </c>
      <c r="D106" s="41">
        <v>3</v>
      </c>
      <c r="E106" s="41">
        <v>16</v>
      </c>
      <c r="F106" s="41">
        <v>9</v>
      </c>
      <c r="G106" s="46">
        <v>0</v>
      </c>
      <c r="M106" s="21">
        <v>1</v>
      </c>
    </row>
    <row r="107" spans="2:13" ht="18">
      <c r="B107" s="41">
        <v>12</v>
      </c>
      <c r="C107" s="41">
        <v>37</v>
      </c>
      <c r="D107" s="41">
        <v>1</v>
      </c>
      <c r="E107" s="41">
        <v>5</v>
      </c>
      <c r="F107" s="41">
        <v>19</v>
      </c>
      <c r="G107" s="46">
        <v>0</v>
      </c>
      <c r="M107" s="21">
        <v>1</v>
      </c>
    </row>
    <row r="108" spans="2:13" ht="18">
      <c r="B108" s="41">
        <v>12</v>
      </c>
      <c r="C108" s="41">
        <v>32</v>
      </c>
      <c r="D108" s="41">
        <v>8</v>
      </c>
      <c r="E108" s="41">
        <v>21</v>
      </c>
      <c r="F108" s="41">
        <v>24</v>
      </c>
      <c r="G108" s="46">
        <v>0</v>
      </c>
      <c r="M108" s="21">
        <v>1</v>
      </c>
    </row>
    <row r="109" spans="2:13" ht="18">
      <c r="B109" s="41">
        <v>12</v>
      </c>
      <c r="C109" s="41">
        <v>29</v>
      </c>
      <c r="D109" s="41">
        <v>7</v>
      </c>
      <c r="E109" s="41">
        <v>10</v>
      </c>
      <c r="F109" s="41">
        <v>7</v>
      </c>
      <c r="G109" s="46">
        <v>3</v>
      </c>
      <c r="M109" s="21">
        <v>1</v>
      </c>
    </row>
    <row r="110" spans="2:13" ht="18">
      <c r="B110" s="41">
        <v>12</v>
      </c>
      <c r="C110" s="41">
        <v>29</v>
      </c>
      <c r="D110" s="41">
        <v>6</v>
      </c>
      <c r="E110" s="41">
        <v>12</v>
      </c>
      <c r="F110" s="41">
        <v>12</v>
      </c>
      <c r="G110" s="46">
        <v>0</v>
      </c>
      <c r="M110" s="21">
        <v>1</v>
      </c>
    </row>
    <row r="111" spans="2:13" ht="18">
      <c r="B111" s="41">
        <v>12</v>
      </c>
      <c r="C111" s="41">
        <v>29</v>
      </c>
      <c r="D111" s="41">
        <v>5</v>
      </c>
      <c r="E111" s="41">
        <v>17</v>
      </c>
      <c r="F111" s="41">
        <v>8</v>
      </c>
      <c r="G111" s="46">
        <v>0</v>
      </c>
      <c r="M111" s="21">
        <v>1</v>
      </c>
    </row>
    <row r="112" spans="2:13" ht="18">
      <c r="B112" s="41">
        <v>12</v>
      </c>
      <c r="C112" s="41">
        <v>37</v>
      </c>
      <c r="D112" s="41">
        <v>2</v>
      </c>
      <c r="E112" s="41">
        <v>3</v>
      </c>
      <c r="F112" s="41">
        <v>2</v>
      </c>
      <c r="G112" s="46">
        <v>0</v>
      </c>
      <c r="M112" s="21">
        <v>1</v>
      </c>
    </row>
    <row r="113" spans="2:13" ht="18">
      <c r="B113" s="41">
        <v>12</v>
      </c>
      <c r="C113" s="41">
        <v>27</v>
      </c>
      <c r="D113" s="41">
        <v>7</v>
      </c>
      <c r="E113" s="41">
        <v>5</v>
      </c>
      <c r="F113" s="41">
        <v>13</v>
      </c>
      <c r="G113" s="46">
        <v>0</v>
      </c>
      <c r="M113" s="21">
        <v>1</v>
      </c>
    </row>
    <row r="114" spans="2:13" ht="18">
      <c r="B114" s="41">
        <v>12</v>
      </c>
      <c r="C114" s="41">
        <v>27</v>
      </c>
      <c r="D114" s="41">
        <v>8</v>
      </c>
      <c r="E114" s="41">
        <v>15</v>
      </c>
      <c r="F114" s="41">
        <v>18</v>
      </c>
      <c r="G114" s="46">
        <v>2</v>
      </c>
      <c r="M114" s="21">
        <v>1</v>
      </c>
    </row>
    <row r="115" spans="2:13" ht="18">
      <c r="B115" s="41">
        <v>12</v>
      </c>
      <c r="C115" s="41">
        <v>27</v>
      </c>
      <c r="D115" s="41">
        <v>6</v>
      </c>
      <c r="E115" s="41">
        <v>14</v>
      </c>
      <c r="F115" s="41">
        <v>15</v>
      </c>
      <c r="G115" s="46">
        <v>0</v>
      </c>
      <c r="M115" s="21">
        <v>1</v>
      </c>
    </row>
    <row r="116" spans="2:13" ht="18">
      <c r="B116" s="41">
        <v>12</v>
      </c>
      <c r="C116" s="41">
        <v>28</v>
      </c>
      <c r="D116" s="41">
        <v>9</v>
      </c>
      <c r="E116" s="41">
        <v>0</v>
      </c>
      <c r="F116" s="41">
        <v>13</v>
      </c>
      <c r="G116" s="46">
        <v>0</v>
      </c>
      <c r="M116" s="21">
        <v>1</v>
      </c>
    </row>
    <row r="117" spans="2:13" ht="18">
      <c r="B117" s="41">
        <v>12</v>
      </c>
      <c r="C117" s="41">
        <v>26</v>
      </c>
      <c r="D117" s="41">
        <v>9</v>
      </c>
      <c r="E117" s="41">
        <v>8</v>
      </c>
      <c r="F117" s="41">
        <v>35</v>
      </c>
      <c r="G117" s="46">
        <v>1</v>
      </c>
      <c r="M117" s="21">
        <v>1</v>
      </c>
    </row>
    <row r="118" spans="2:13" ht="18">
      <c r="B118" s="41">
        <v>12</v>
      </c>
      <c r="C118" s="41">
        <v>31</v>
      </c>
      <c r="D118" s="41">
        <v>4</v>
      </c>
      <c r="E118" s="41">
        <v>13</v>
      </c>
      <c r="F118" s="41">
        <v>12</v>
      </c>
      <c r="G118" s="46">
        <v>0</v>
      </c>
      <c r="M118" s="21">
        <v>1</v>
      </c>
    </row>
    <row r="119" spans="2:13" ht="18">
      <c r="B119" s="41">
        <v>12</v>
      </c>
      <c r="C119" s="41">
        <v>24</v>
      </c>
      <c r="D119" s="41">
        <v>10</v>
      </c>
      <c r="E119" s="41">
        <v>15</v>
      </c>
      <c r="F119" s="41">
        <v>0</v>
      </c>
      <c r="G119" s="46">
        <v>0</v>
      </c>
      <c r="M119" s="21">
        <v>1</v>
      </c>
    </row>
    <row r="120" spans="2:13" ht="18">
      <c r="B120" s="41">
        <v>12</v>
      </c>
      <c r="C120" s="41">
        <v>24</v>
      </c>
      <c r="D120" s="41">
        <v>10</v>
      </c>
      <c r="E120" s="41">
        <v>15</v>
      </c>
      <c r="F120" s="41">
        <v>10</v>
      </c>
      <c r="G120" s="46">
        <v>0</v>
      </c>
      <c r="M120" s="21">
        <v>1</v>
      </c>
    </row>
    <row r="121" spans="2:13" ht="18">
      <c r="B121" s="41">
        <v>12</v>
      </c>
      <c r="C121" s="41">
        <v>23</v>
      </c>
      <c r="D121" s="41">
        <v>10</v>
      </c>
      <c r="E121" s="41">
        <v>10</v>
      </c>
      <c r="F121" s="41">
        <v>15</v>
      </c>
      <c r="G121" s="46">
        <v>0</v>
      </c>
      <c r="M121" s="21">
        <v>1</v>
      </c>
    </row>
    <row r="122" spans="2:13" ht="18">
      <c r="B122" s="41">
        <v>12</v>
      </c>
      <c r="C122" s="41">
        <v>19</v>
      </c>
      <c r="D122" s="41">
        <v>10</v>
      </c>
      <c r="E122" s="41">
        <v>1</v>
      </c>
      <c r="F122" s="41">
        <v>6</v>
      </c>
      <c r="G122" s="46">
        <v>0</v>
      </c>
      <c r="M122" s="21">
        <v>1</v>
      </c>
    </row>
    <row r="123" spans="2:13" ht="18">
      <c r="B123" s="41">
        <v>12</v>
      </c>
      <c r="C123" s="41">
        <v>18</v>
      </c>
      <c r="D123" s="41">
        <v>9</v>
      </c>
      <c r="E123" s="41">
        <v>1</v>
      </c>
      <c r="F123" s="41">
        <v>7</v>
      </c>
      <c r="G123" s="46">
        <v>0</v>
      </c>
      <c r="M123" s="21">
        <v>1</v>
      </c>
    </row>
    <row r="124" spans="2:13" ht="18">
      <c r="B124" s="41">
        <v>12</v>
      </c>
      <c r="C124" s="41">
        <v>34</v>
      </c>
      <c r="D124" s="41">
        <v>9</v>
      </c>
      <c r="E124" s="41">
        <v>4</v>
      </c>
      <c r="F124" s="41">
        <v>7</v>
      </c>
      <c r="G124" s="46">
        <v>0</v>
      </c>
      <c r="M124" s="21">
        <v>1</v>
      </c>
    </row>
    <row r="125" spans="2:13" ht="18">
      <c r="B125" s="41">
        <v>12</v>
      </c>
      <c r="C125" s="41">
        <v>25</v>
      </c>
      <c r="D125" s="41">
        <v>7</v>
      </c>
      <c r="E125" s="41">
        <v>9</v>
      </c>
      <c r="F125" s="41">
        <v>13</v>
      </c>
      <c r="G125" s="46">
        <v>2</v>
      </c>
      <c r="M125" s="21">
        <v>1</v>
      </c>
    </row>
    <row r="126" spans="2:13" ht="18">
      <c r="B126" s="41">
        <v>12</v>
      </c>
      <c r="C126" s="41">
        <v>25</v>
      </c>
      <c r="D126" s="41">
        <v>6</v>
      </c>
      <c r="E126" s="41">
        <v>8</v>
      </c>
      <c r="F126" s="41">
        <v>10</v>
      </c>
      <c r="G126" s="46">
        <v>6</v>
      </c>
      <c r="M126" s="21">
        <v>1</v>
      </c>
    </row>
    <row r="127" spans="2:13" ht="18">
      <c r="B127" s="41">
        <v>12</v>
      </c>
      <c r="C127" s="41">
        <v>21</v>
      </c>
      <c r="D127" s="41">
        <v>10</v>
      </c>
      <c r="E127" s="41">
        <v>11</v>
      </c>
      <c r="F127" s="41">
        <v>13</v>
      </c>
      <c r="G127" s="46">
        <v>1</v>
      </c>
      <c r="M127" s="21">
        <v>1</v>
      </c>
    </row>
    <row r="128" spans="2:13" ht="18">
      <c r="B128" s="41">
        <v>12</v>
      </c>
      <c r="C128" s="41">
        <v>34</v>
      </c>
      <c r="D128" s="41">
        <v>10</v>
      </c>
      <c r="E128" s="41">
        <v>1</v>
      </c>
      <c r="F128" s="41">
        <v>9</v>
      </c>
      <c r="G128" s="46">
        <v>0</v>
      </c>
      <c r="M128" s="21">
        <v>1</v>
      </c>
    </row>
    <row r="129" spans="2:13" ht="18">
      <c r="B129" s="41">
        <v>12</v>
      </c>
      <c r="C129" s="41">
        <v>30</v>
      </c>
      <c r="D129" s="41">
        <v>7</v>
      </c>
      <c r="E129" s="41">
        <v>3</v>
      </c>
      <c r="F129" s="41">
        <v>16</v>
      </c>
      <c r="G129" s="46">
        <v>0</v>
      </c>
      <c r="M129" s="21">
        <v>1</v>
      </c>
    </row>
    <row r="130" spans="2:13" ht="18">
      <c r="B130" s="41">
        <v>12</v>
      </c>
      <c r="C130" s="41">
        <v>28</v>
      </c>
      <c r="D130" s="41">
        <v>10</v>
      </c>
      <c r="E130" s="41">
        <v>5</v>
      </c>
      <c r="F130" s="41">
        <v>14</v>
      </c>
      <c r="G130" s="46">
        <v>1</v>
      </c>
      <c r="M130" s="21">
        <v>1</v>
      </c>
    </row>
    <row r="131" spans="2:13" ht="18">
      <c r="B131" s="41">
        <v>12</v>
      </c>
      <c r="C131" s="41">
        <v>33</v>
      </c>
      <c r="D131" s="41">
        <v>10</v>
      </c>
      <c r="E131" s="41">
        <v>4</v>
      </c>
      <c r="F131" s="41">
        <v>20</v>
      </c>
      <c r="G131" s="46">
        <v>1</v>
      </c>
      <c r="M131" s="21">
        <v>1</v>
      </c>
    </row>
    <row r="132" spans="2:13" ht="18">
      <c r="B132" s="41">
        <v>12</v>
      </c>
      <c r="C132" s="41">
        <v>32</v>
      </c>
      <c r="D132" s="41">
        <v>8</v>
      </c>
      <c r="E132" s="41">
        <v>18</v>
      </c>
      <c r="F132" s="41">
        <v>17</v>
      </c>
      <c r="G132" s="46">
        <v>0</v>
      </c>
      <c r="M132" s="21">
        <v>1</v>
      </c>
    </row>
    <row r="133" spans="2:13" ht="18">
      <c r="B133" s="41">
        <v>12</v>
      </c>
      <c r="C133" s="41">
        <v>35</v>
      </c>
      <c r="D133" s="41">
        <v>8</v>
      </c>
      <c r="E133" s="41">
        <v>22</v>
      </c>
      <c r="F133" s="41">
        <v>28</v>
      </c>
      <c r="G133" s="46">
        <v>0</v>
      </c>
      <c r="M133" s="21">
        <v>1</v>
      </c>
    </row>
    <row r="134" spans="2:13" ht="18">
      <c r="B134" s="41">
        <v>12</v>
      </c>
      <c r="C134" s="41">
        <v>35</v>
      </c>
      <c r="D134" s="41">
        <v>7</v>
      </c>
      <c r="E134" s="41">
        <v>12</v>
      </c>
      <c r="F134" s="41">
        <v>12</v>
      </c>
      <c r="G134" s="46">
        <v>1</v>
      </c>
      <c r="M134" s="21">
        <v>1</v>
      </c>
    </row>
    <row r="135" spans="2:13" ht="18">
      <c r="B135" s="41">
        <v>12</v>
      </c>
      <c r="C135" s="41">
        <v>35</v>
      </c>
      <c r="D135" s="41">
        <v>6</v>
      </c>
      <c r="E135" s="41">
        <v>10</v>
      </c>
      <c r="F135" s="41">
        <v>15</v>
      </c>
      <c r="G135" s="46">
        <v>0</v>
      </c>
      <c r="M135" s="21">
        <v>1</v>
      </c>
    </row>
    <row r="136" spans="2:13" ht="18">
      <c r="B136" s="41">
        <v>12</v>
      </c>
      <c r="C136" s="41">
        <v>35</v>
      </c>
      <c r="D136" s="41">
        <v>5</v>
      </c>
      <c r="E136" s="41">
        <v>13</v>
      </c>
      <c r="F136" s="41">
        <v>12</v>
      </c>
      <c r="G136" s="46">
        <v>0</v>
      </c>
      <c r="M136" s="21">
        <v>1</v>
      </c>
    </row>
    <row r="137" spans="2:13" ht="18">
      <c r="B137" s="41">
        <v>12</v>
      </c>
      <c r="C137" s="41">
        <v>21</v>
      </c>
      <c r="D137" s="41">
        <v>4</v>
      </c>
      <c r="E137" s="41">
        <v>4</v>
      </c>
      <c r="F137" s="41">
        <v>20</v>
      </c>
      <c r="G137" s="46">
        <v>1</v>
      </c>
      <c r="M137" s="21">
        <v>1</v>
      </c>
    </row>
    <row r="138" spans="2:13" ht="18">
      <c r="B138" s="41">
        <v>12</v>
      </c>
      <c r="C138" s="41">
        <v>26</v>
      </c>
      <c r="D138" s="41">
        <v>10</v>
      </c>
      <c r="E138" s="41">
        <v>7</v>
      </c>
      <c r="F138" s="41">
        <v>45</v>
      </c>
      <c r="G138" s="46">
        <v>1</v>
      </c>
      <c r="M138" s="21">
        <v>1</v>
      </c>
    </row>
    <row r="139" spans="2:13" ht="18">
      <c r="B139" s="41">
        <v>12</v>
      </c>
      <c r="C139" s="41">
        <v>37</v>
      </c>
      <c r="D139" s="41">
        <v>3</v>
      </c>
      <c r="E139" s="41">
        <v>10</v>
      </c>
      <c r="F139" s="41">
        <v>11</v>
      </c>
      <c r="G139" s="46">
        <v>0</v>
      </c>
      <c r="M139" s="21">
        <v>1</v>
      </c>
    </row>
    <row r="140" spans="2:13" ht="18">
      <c r="B140" s="41">
        <v>12</v>
      </c>
      <c r="C140" s="41">
        <v>29</v>
      </c>
      <c r="D140" s="41">
        <v>10</v>
      </c>
      <c r="E140" s="41">
        <v>10</v>
      </c>
      <c r="F140" s="41">
        <v>15</v>
      </c>
      <c r="G140" s="46">
        <v>0</v>
      </c>
      <c r="M140" s="21">
        <v>1</v>
      </c>
    </row>
    <row r="141" spans="2:13" ht="18">
      <c r="B141" s="41">
        <v>12</v>
      </c>
      <c r="C141" s="41">
        <v>29</v>
      </c>
      <c r="D141" s="41">
        <v>9</v>
      </c>
      <c r="E141" s="41">
        <v>10</v>
      </c>
      <c r="F141" s="41">
        <v>12</v>
      </c>
      <c r="G141" s="46">
        <v>3</v>
      </c>
      <c r="M141" s="21">
        <v>1</v>
      </c>
    </row>
    <row r="142" spans="2:13" ht="18">
      <c r="B142" s="41">
        <v>12</v>
      </c>
      <c r="C142" s="41">
        <v>29</v>
      </c>
      <c r="D142" s="41">
        <v>8</v>
      </c>
      <c r="E142" s="41">
        <v>13</v>
      </c>
      <c r="F142" s="41">
        <v>12</v>
      </c>
      <c r="G142" s="46">
        <v>0</v>
      </c>
      <c r="M142" s="21">
        <v>1</v>
      </c>
    </row>
    <row r="143" spans="2:13" ht="18">
      <c r="B143" s="41">
        <v>12</v>
      </c>
      <c r="C143" s="41">
        <v>32</v>
      </c>
      <c r="D143" s="41">
        <v>9</v>
      </c>
      <c r="E143" s="41">
        <v>19</v>
      </c>
      <c r="F143" s="41">
        <v>15</v>
      </c>
      <c r="G143" s="46">
        <v>3</v>
      </c>
      <c r="M143" s="21">
        <v>1</v>
      </c>
    </row>
    <row r="144" spans="2:13" ht="18">
      <c r="B144" s="41">
        <v>12</v>
      </c>
      <c r="C144" s="41">
        <v>30</v>
      </c>
      <c r="D144" s="41">
        <v>8</v>
      </c>
      <c r="E144" s="41">
        <v>5</v>
      </c>
      <c r="F144" s="41">
        <v>24</v>
      </c>
      <c r="G144" s="46">
        <v>0</v>
      </c>
      <c r="M144" s="21">
        <v>1</v>
      </c>
    </row>
    <row r="145" spans="2:13" ht="18">
      <c r="B145" s="41">
        <v>12</v>
      </c>
      <c r="C145" s="41">
        <v>30</v>
      </c>
      <c r="D145" s="41">
        <v>9</v>
      </c>
      <c r="E145" s="41">
        <v>6</v>
      </c>
      <c r="F145" s="41">
        <v>27</v>
      </c>
      <c r="G145" s="46">
        <v>0</v>
      </c>
      <c r="M145" s="21">
        <v>1</v>
      </c>
    </row>
    <row r="146" spans="2:13" ht="18">
      <c r="B146" s="41">
        <v>12</v>
      </c>
      <c r="C146" s="41">
        <v>37</v>
      </c>
      <c r="D146" s="41">
        <v>4</v>
      </c>
      <c r="E146" s="41">
        <v>3</v>
      </c>
      <c r="F146" s="41">
        <v>8</v>
      </c>
      <c r="G146" s="46">
        <v>0</v>
      </c>
      <c r="M146" s="21">
        <v>1</v>
      </c>
    </row>
    <row r="147" spans="2:13" ht="18">
      <c r="B147" s="41">
        <v>12</v>
      </c>
      <c r="C147" s="41">
        <v>27</v>
      </c>
      <c r="D147" s="41">
        <v>9</v>
      </c>
      <c r="E147" s="41">
        <v>7</v>
      </c>
      <c r="F147" s="41">
        <v>21</v>
      </c>
      <c r="G147" s="46">
        <v>0</v>
      </c>
      <c r="M147" s="21">
        <v>1</v>
      </c>
    </row>
    <row r="148" spans="2:13" ht="18">
      <c r="B148" s="41">
        <v>12</v>
      </c>
      <c r="C148" s="41">
        <v>27</v>
      </c>
      <c r="D148" s="41">
        <v>10</v>
      </c>
      <c r="E148" s="41">
        <v>9</v>
      </c>
      <c r="F148" s="41">
        <v>20</v>
      </c>
      <c r="G148" s="46">
        <v>0</v>
      </c>
      <c r="M148" s="21">
        <v>1</v>
      </c>
    </row>
    <row r="149" spans="2:13" ht="18">
      <c r="B149" s="41">
        <v>12</v>
      </c>
      <c r="C149" s="41">
        <v>31</v>
      </c>
      <c r="D149" s="41">
        <v>6</v>
      </c>
      <c r="E149" s="41">
        <v>15</v>
      </c>
      <c r="F149" s="41">
        <v>10</v>
      </c>
      <c r="G149" s="46">
        <v>0</v>
      </c>
      <c r="M149" s="21">
        <v>1</v>
      </c>
    </row>
    <row r="150" spans="2:13" ht="18">
      <c r="B150" s="41">
        <v>12</v>
      </c>
      <c r="C150" s="41">
        <v>31</v>
      </c>
      <c r="D150" s="41">
        <v>7</v>
      </c>
      <c r="E150" s="41">
        <v>11</v>
      </c>
      <c r="F150" s="41">
        <v>14</v>
      </c>
      <c r="G150" s="46">
        <v>0</v>
      </c>
      <c r="M150" s="21">
        <v>1</v>
      </c>
    </row>
    <row r="151" spans="2:13" ht="18">
      <c r="B151" s="41">
        <v>12</v>
      </c>
      <c r="C151" s="41">
        <v>25</v>
      </c>
      <c r="D151" s="41">
        <v>8</v>
      </c>
      <c r="E151" s="41">
        <v>8</v>
      </c>
      <c r="F151" s="41">
        <v>15</v>
      </c>
      <c r="G151" s="46">
        <v>2</v>
      </c>
      <c r="M151" s="21">
        <v>1</v>
      </c>
    </row>
    <row r="152" spans="2:13" ht="18">
      <c r="B152" s="41">
        <v>12</v>
      </c>
      <c r="C152" s="41">
        <v>21</v>
      </c>
      <c r="D152" s="41">
        <v>1</v>
      </c>
      <c r="E152" s="41">
        <v>9</v>
      </c>
      <c r="F152" s="41">
        <v>12</v>
      </c>
      <c r="G152" s="46">
        <v>4</v>
      </c>
      <c r="M152" s="21">
        <v>1</v>
      </c>
    </row>
    <row r="153" spans="2:13" ht="18">
      <c r="B153" s="41">
        <v>12</v>
      </c>
      <c r="C153" s="41">
        <v>26</v>
      </c>
      <c r="D153" s="41">
        <v>11</v>
      </c>
      <c r="E153" s="41">
        <v>11</v>
      </c>
      <c r="F153" s="41">
        <v>59</v>
      </c>
      <c r="G153" s="46">
        <v>1</v>
      </c>
      <c r="M153" s="21">
        <v>1</v>
      </c>
    </row>
    <row r="154" spans="2:13" ht="18">
      <c r="B154" s="41">
        <v>12</v>
      </c>
      <c r="C154" s="41">
        <v>18</v>
      </c>
      <c r="D154" s="41">
        <v>11</v>
      </c>
      <c r="E154" s="41">
        <v>7</v>
      </c>
      <c r="F154" s="41">
        <v>8</v>
      </c>
      <c r="G154" s="46">
        <v>0</v>
      </c>
      <c r="M154" s="21">
        <v>1</v>
      </c>
    </row>
    <row r="155" spans="2:13" ht="18">
      <c r="B155" s="41">
        <v>12</v>
      </c>
      <c r="C155" s="41">
        <v>33</v>
      </c>
      <c r="D155" s="41">
        <v>11</v>
      </c>
      <c r="E155" s="41">
        <v>1</v>
      </c>
      <c r="F155" s="41">
        <v>23</v>
      </c>
      <c r="G155" s="46">
        <v>1</v>
      </c>
      <c r="M155" s="21">
        <v>1</v>
      </c>
    </row>
    <row r="156" spans="2:13" ht="18">
      <c r="B156" s="41">
        <v>12</v>
      </c>
      <c r="C156" s="41">
        <v>19</v>
      </c>
      <c r="D156" s="41">
        <v>11</v>
      </c>
      <c r="E156" s="41">
        <v>4</v>
      </c>
      <c r="F156" s="41">
        <v>8</v>
      </c>
      <c r="G156" s="46">
        <v>0</v>
      </c>
      <c r="M156" s="21">
        <v>1</v>
      </c>
    </row>
    <row r="157" spans="2:13" ht="18">
      <c r="B157" s="41">
        <v>12</v>
      </c>
      <c r="C157" s="41">
        <v>23</v>
      </c>
      <c r="D157" s="41">
        <v>11</v>
      </c>
      <c r="E157" s="41">
        <v>14</v>
      </c>
      <c r="F157" s="41">
        <v>10</v>
      </c>
      <c r="G157" s="46">
        <v>1</v>
      </c>
      <c r="M157" s="21">
        <v>1</v>
      </c>
    </row>
    <row r="158" spans="2:13" ht="18">
      <c r="B158" s="41">
        <v>12</v>
      </c>
      <c r="C158" s="41">
        <v>25</v>
      </c>
      <c r="D158" s="41">
        <v>9</v>
      </c>
      <c r="E158" s="41">
        <v>8</v>
      </c>
      <c r="F158" s="41">
        <v>13</v>
      </c>
      <c r="G158" s="46">
        <v>2</v>
      </c>
      <c r="M158" s="21">
        <v>1</v>
      </c>
    </row>
    <row r="159" spans="2:13" ht="18">
      <c r="B159" s="41">
        <v>12</v>
      </c>
      <c r="C159" s="41">
        <v>24</v>
      </c>
      <c r="D159" s="41">
        <v>10</v>
      </c>
      <c r="E159" s="41">
        <v>13</v>
      </c>
      <c r="F159" s="41">
        <v>12</v>
      </c>
      <c r="G159" s="46">
        <v>0</v>
      </c>
      <c r="M159" s="21">
        <v>1</v>
      </c>
    </row>
    <row r="160" spans="2:13" ht="18">
      <c r="B160" s="41">
        <v>12</v>
      </c>
      <c r="C160" s="41">
        <v>24</v>
      </c>
      <c r="D160" s="41">
        <v>11</v>
      </c>
      <c r="E160" s="41">
        <v>11</v>
      </c>
      <c r="F160" s="41">
        <v>14</v>
      </c>
      <c r="G160" s="46">
        <v>0</v>
      </c>
      <c r="M160" s="21">
        <v>1</v>
      </c>
    </row>
    <row r="161" spans="2:13" ht="18">
      <c r="B161" s="41">
        <v>12</v>
      </c>
      <c r="C161" s="41">
        <v>21</v>
      </c>
      <c r="D161" s="41">
        <v>5</v>
      </c>
      <c r="E161" s="41">
        <v>4</v>
      </c>
      <c r="F161" s="41">
        <v>20</v>
      </c>
      <c r="G161" s="46">
        <v>0</v>
      </c>
      <c r="M161" s="21">
        <v>1</v>
      </c>
    </row>
    <row r="162" spans="2:13" ht="18">
      <c r="B162" s="41">
        <v>12</v>
      </c>
      <c r="C162" s="41">
        <v>32</v>
      </c>
      <c r="D162" s="41">
        <v>11</v>
      </c>
      <c r="E162" s="41">
        <v>22</v>
      </c>
      <c r="F162" s="41">
        <v>20</v>
      </c>
      <c r="G162" s="46">
        <v>0</v>
      </c>
      <c r="M162" s="21">
        <v>1</v>
      </c>
    </row>
    <row r="163" spans="2:13" ht="18">
      <c r="B163" s="41">
        <v>12</v>
      </c>
      <c r="C163" s="41">
        <v>34</v>
      </c>
      <c r="D163" s="41">
        <v>12</v>
      </c>
      <c r="E163" s="41">
        <v>11</v>
      </c>
      <c r="F163" s="41">
        <v>10</v>
      </c>
      <c r="G163" s="46">
        <v>0</v>
      </c>
      <c r="M163" s="21">
        <v>1</v>
      </c>
    </row>
    <row r="164" spans="2:13" ht="18">
      <c r="B164" s="41">
        <v>12</v>
      </c>
      <c r="C164" s="41">
        <v>34</v>
      </c>
      <c r="D164" s="41">
        <v>11</v>
      </c>
      <c r="E164" s="41">
        <v>9</v>
      </c>
      <c r="F164" s="41">
        <v>10</v>
      </c>
      <c r="G164" s="46">
        <v>0</v>
      </c>
      <c r="M164" s="21">
        <v>1</v>
      </c>
    </row>
    <row r="165" spans="2:13" ht="18">
      <c r="B165" s="41">
        <v>12</v>
      </c>
      <c r="C165" s="41">
        <v>28</v>
      </c>
      <c r="D165" s="41">
        <v>11</v>
      </c>
      <c r="E165" s="41">
        <v>0</v>
      </c>
      <c r="F165" s="41">
        <v>25</v>
      </c>
      <c r="G165" s="46">
        <v>0</v>
      </c>
      <c r="M165" s="21">
        <v>1</v>
      </c>
    </row>
    <row r="166" spans="2:13" ht="18">
      <c r="B166" s="41">
        <v>12</v>
      </c>
      <c r="C166" s="41">
        <v>26</v>
      </c>
      <c r="D166" s="41">
        <v>12</v>
      </c>
      <c r="E166" s="41">
        <v>7</v>
      </c>
      <c r="F166" s="41">
        <v>64</v>
      </c>
      <c r="G166" s="46">
        <v>2</v>
      </c>
      <c r="M166" s="21">
        <v>1</v>
      </c>
    </row>
    <row r="167" spans="2:13" ht="18">
      <c r="B167" s="41">
        <v>12</v>
      </c>
      <c r="C167" s="41">
        <v>21</v>
      </c>
      <c r="D167" s="41">
        <v>11</v>
      </c>
      <c r="E167" s="41">
        <v>9</v>
      </c>
      <c r="F167" s="41">
        <v>12</v>
      </c>
      <c r="G167" s="46">
        <v>4</v>
      </c>
      <c r="M167" s="21">
        <v>1</v>
      </c>
    </row>
    <row r="168" spans="2:13" ht="18">
      <c r="B168" s="41">
        <v>12</v>
      </c>
      <c r="C168" s="41">
        <v>21</v>
      </c>
      <c r="D168" s="41">
        <v>12</v>
      </c>
      <c r="E168" s="41">
        <v>12</v>
      </c>
      <c r="F168" s="41">
        <v>12</v>
      </c>
      <c r="G168" s="46">
        <v>1</v>
      </c>
      <c r="M168" s="21">
        <v>1</v>
      </c>
    </row>
    <row r="169" spans="2:13" ht="18">
      <c r="B169" s="41">
        <v>12</v>
      </c>
      <c r="C169" s="41">
        <v>33</v>
      </c>
      <c r="D169" s="41">
        <v>12</v>
      </c>
      <c r="E169" s="41">
        <v>1</v>
      </c>
      <c r="F169" s="41">
        <v>24</v>
      </c>
      <c r="G169" s="46">
        <v>0</v>
      </c>
      <c r="M169" s="21">
        <v>1</v>
      </c>
    </row>
    <row r="170" spans="2:13" ht="18">
      <c r="B170" s="41">
        <v>12</v>
      </c>
      <c r="C170" s="41">
        <v>32</v>
      </c>
      <c r="D170" s="41">
        <v>12</v>
      </c>
      <c r="E170" s="41">
        <v>25</v>
      </c>
      <c r="F170" s="41">
        <v>22</v>
      </c>
      <c r="G170" s="46">
        <v>0</v>
      </c>
      <c r="M170" s="21">
        <v>1</v>
      </c>
    </row>
    <row r="171" spans="2:13" ht="18">
      <c r="B171" s="41">
        <v>12</v>
      </c>
      <c r="C171" s="41">
        <v>32</v>
      </c>
      <c r="D171" s="41">
        <v>11</v>
      </c>
      <c r="E171" s="41">
        <v>22</v>
      </c>
      <c r="F171" s="41">
        <v>20</v>
      </c>
      <c r="G171" s="46">
        <v>0</v>
      </c>
      <c r="M171" s="21">
        <v>1</v>
      </c>
    </row>
    <row r="172" spans="2:13" ht="18">
      <c r="B172" s="41">
        <v>12</v>
      </c>
      <c r="C172" s="41">
        <v>18</v>
      </c>
      <c r="D172" s="41">
        <v>12</v>
      </c>
      <c r="E172" s="41">
        <v>8</v>
      </c>
      <c r="F172" s="41">
        <v>12</v>
      </c>
      <c r="G172" s="46">
        <v>0</v>
      </c>
      <c r="M172" s="21">
        <v>1</v>
      </c>
    </row>
    <row r="173" spans="2:13" ht="18">
      <c r="B173" s="41">
        <v>12</v>
      </c>
      <c r="C173" s="41">
        <v>29</v>
      </c>
      <c r="D173" s="41">
        <v>13</v>
      </c>
      <c r="E173" s="41">
        <v>15</v>
      </c>
      <c r="F173" s="41">
        <v>9</v>
      </c>
      <c r="G173" s="46">
        <v>1</v>
      </c>
      <c r="M173" s="21">
        <v>1</v>
      </c>
    </row>
    <row r="174" spans="2:13" ht="18">
      <c r="B174" s="41">
        <v>12</v>
      </c>
      <c r="C174" s="41">
        <v>29</v>
      </c>
      <c r="D174" s="41">
        <v>12</v>
      </c>
      <c r="E174" s="41">
        <v>12</v>
      </c>
      <c r="F174" s="41">
        <v>13</v>
      </c>
      <c r="G174" s="46">
        <v>1</v>
      </c>
      <c r="M174" s="21">
        <v>1</v>
      </c>
    </row>
    <row r="175" spans="2:13" ht="18">
      <c r="B175" s="41">
        <v>12</v>
      </c>
      <c r="C175" s="41">
        <v>29</v>
      </c>
      <c r="D175" s="41">
        <v>11</v>
      </c>
      <c r="E175" s="41">
        <v>14</v>
      </c>
      <c r="F175" s="41">
        <v>10</v>
      </c>
      <c r="G175" s="46">
        <v>9</v>
      </c>
      <c r="M175" s="21">
        <v>1</v>
      </c>
    </row>
    <row r="176" spans="2:13" ht="18">
      <c r="B176" s="41">
        <v>12</v>
      </c>
      <c r="C176" s="41">
        <v>28</v>
      </c>
      <c r="D176" s="41">
        <v>13</v>
      </c>
      <c r="E176" s="41">
        <v>0</v>
      </c>
      <c r="F176" s="41">
        <v>12</v>
      </c>
      <c r="G176" s="46">
        <v>1</v>
      </c>
      <c r="M176" s="21">
        <v>1</v>
      </c>
    </row>
    <row r="177" spans="2:13" ht="18">
      <c r="B177" s="41">
        <v>12</v>
      </c>
      <c r="C177" s="41">
        <v>28</v>
      </c>
      <c r="D177" s="41">
        <v>12</v>
      </c>
      <c r="E177" s="41">
        <v>2</v>
      </c>
      <c r="F177" s="41">
        <v>21</v>
      </c>
      <c r="G177" s="46">
        <v>1</v>
      </c>
      <c r="M177" s="21">
        <v>1</v>
      </c>
    </row>
    <row r="178" spans="2:13" ht="18">
      <c r="B178" s="41">
        <v>12</v>
      </c>
      <c r="C178" s="41">
        <v>26</v>
      </c>
      <c r="D178" s="41">
        <v>13</v>
      </c>
      <c r="E178" s="41">
        <v>4</v>
      </c>
      <c r="F178" s="41">
        <v>28</v>
      </c>
      <c r="G178" s="46">
        <v>0</v>
      </c>
      <c r="M178" s="21">
        <v>1</v>
      </c>
    </row>
    <row r="179" spans="2:13" ht="18">
      <c r="B179" s="41">
        <v>12</v>
      </c>
      <c r="C179" s="41">
        <v>24</v>
      </c>
      <c r="D179" s="41">
        <v>12</v>
      </c>
      <c r="E179" s="41">
        <v>14</v>
      </c>
      <c r="F179" s="41">
        <v>11</v>
      </c>
      <c r="G179" s="46">
        <v>0</v>
      </c>
      <c r="M179" s="21">
        <v>1</v>
      </c>
    </row>
    <row r="180" spans="2:13" ht="18">
      <c r="B180" s="41">
        <v>12</v>
      </c>
      <c r="C180" s="41">
        <v>24</v>
      </c>
      <c r="D180" s="41">
        <v>11</v>
      </c>
      <c r="E180" s="41">
        <v>11</v>
      </c>
      <c r="F180" s="41">
        <v>14</v>
      </c>
      <c r="G180" s="46">
        <v>0</v>
      </c>
      <c r="M180" s="21">
        <v>1</v>
      </c>
    </row>
    <row r="181" spans="2:13" ht="18">
      <c r="B181" s="41">
        <v>12</v>
      </c>
      <c r="C181" s="41">
        <v>27</v>
      </c>
      <c r="D181" s="41">
        <v>12</v>
      </c>
      <c r="E181" s="41">
        <v>4</v>
      </c>
      <c r="F181" s="41">
        <v>20</v>
      </c>
      <c r="G181" s="46">
        <v>1</v>
      </c>
      <c r="M181" s="21">
        <v>1</v>
      </c>
    </row>
    <row r="182" spans="2:13" ht="18">
      <c r="B182" s="41">
        <v>12</v>
      </c>
      <c r="C182" s="41">
        <v>27</v>
      </c>
      <c r="D182" s="41">
        <v>11</v>
      </c>
      <c r="E182" s="41">
        <v>9</v>
      </c>
      <c r="F182" s="41">
        <v>18</v>
      </c>
      <c r="G182" s="46">
        <v>0</v>
      </c>
      <c r="M182" s="21">
        <v>1</v>
      </c>
    </row>
    <row r="183" spans="2:13" ht="18">
      <c r="B183" s="41">
        <v>12</v>
      </c>
      <c r="C183" s="41">
        <v>34</v>
      </c>
      <c r="D183" s="41">
        <v>13</v>
      </c>
      <c r="E183" s="41">
        <v>9</v>
      </c>
      <c r="F183" s="41">
        <v>22</v>
      </c>
      <c r="G183" s="46">
        <v>0</v>
      </c>
      <c r="M183" s="21">
        <v>1</v>
      </c>
    </row>
    <row r="184" spans="2:13" ht="18">
      <c r="B184" s="41">
        <v>12</v>
      </c>
      <c r="C184" s="41">
        <v>23</v>
      </c>
      <c r="D184" s="41">
        <v>12</v>
      </c>
      <c r="E184" s="41">
        <v>10</v>
      </c>
      <c r="F184" s="41">
        <v>13</v>
      </c>
      <c r="G184" s="46">
        <v>0</v>
      </c>
      <c r="M184" s="21">
        <v>1</v>
      </c>
    </row>
    <row r="185" spans="2:13" ht="18">
      <c r="B185" s="41">
        <v>12</v>
      </c>
      <c r="C185" s="41">
        <v>21</v>
      </c>
      <c r="D185" s="41">
        <v>13</v>
      </c>
      <c r="E185" s="41">
        <v>11</v>
      </c>
      <c r="F185" s="41">
        <v>13</v>
      </c>
      <c r="G185" s="46">
        <v>1</v>
      </c>
      <c r="M185" s="21">
        <v>1</v>
      </c>
    </row>
    <row r="186" spans="2:13" ht="18">
      <c r="B186" s="41">
        <v>12</v>
      </c>
      <c r="C186" s="41">
        <v>37</v>
      </c>
      <c r="D186" s="41">
        <v>9</v>
      </c>
      <c r="E186" s="41">
        <v>0</v>
      </c>
      <c r="F186" s="41">
        <v>7</v>
      </c>
      <c r="G186" s="46">
        <v>0</v>
      </c>
      <c r="M186" s="21">
        <v>1</v>
      </c>
    </row>
    <row r="187" spans="2:13" ht="18">
      <c r="B187" s="41">
        <v>12</v>
      </c>
      <c r="C187" s="41">
        <v>37</v>
      </c>
      <c r="D187" s="41">
        <v>8</v>
      </c>
      <c r="E187" s="41">
        <v>12</v>
      </c>
      <c r="F187" s="41">
        <v>2</v>
      </c>
      <c r="G187" s="46">
        <v>0</v>
      </c>
      <c r="M187" s="21">
        <v>1</v>
      </c>
    </row>
    <row r="188" spans="2:13" ht="18">
      <c r="B188" s="41">
        <v>12</v>
      </c>
      <c r="C188" s="41">
        <v>37</v>
      </c>
      <c r="D188" s="41">
        <v>10</v>
      </c>
      <c r="E188" s="41">
        <v>7</v>
      </c>
      <c r="F188" s="41">
        <v>7</v>
      </c>
      <c r="G188" s="46">
        <v>0</v>
      </c>
      <c r="M188" s="21">
        <v>1</v>
      </c>
    </row>
    <row r="189" spans="2:13" ht="18">
      <c r="B189" s="41">
        <v>12</v>
      </c>
      <c r="C189" s="41">
        <v>37</v>
      </c>
      <c r="D189" s="41">
        <v>7</v>
      </c>
      <c r="E189" s="41">
        <v>10</v>
      </c>
      <c r="F189" s="41">
        <v>6</v>
      </c>
      <c r="G189" s="46">
        <v>0</v>
      </c>
      <c r="M189" s="21">
        <v>1</v>
      </c>
    </row>
    <row r="190" spans="2:13" ht="18">
      <c r="B190" s="41">
        <v>12</v>
      </c>
      <c r="C190" s="41">
        <v>37</v>
      </c>
      <c r="D190" s="41">
        <v>6</v>
      </c>
      <c r="E190" s="41">
        <v>11</v>
      </c>
      <c r="F190" s="41">
        <v>10</v>
      </c>
      <c r="G190" s="46">
        <v>0</v>
      </c>
      <c r="M190" s="21">
        <v>1</v>
      </c>
    </row>
    <row r="191" spans="2:13" ht="18">
      <c r="B191" s="41">
        <v>12</v>
      </c>
      <c r="C191" s="41">
        <v>37</v>
      </c>
      <c r="D191" s="41">
        <v>5</v>
      </c>
      <c r="E191" s="41">
        <v>10</v>
      </c>
      <c r="F191" s="41">
        <v>9</v>
      </c>
      <c r="G191" s="46">
        <v>0</v>
      </c>
      <c r="M191" s="21">
        <v>1</v>
      </c>
    </row>
    <row r="192" spans="2:13" ht="18">
      <c r="B192" s="41">
        <v>12</v>
      </c>
      <c r="C192" s="41">
        <v>30</v>
      </c>
      <c r="D192" s="41">
        <v>11</v>
      </c>
      <c r="E192" s="41">
        <v>4</v>
      </c>
      <c r="F192" s="41">
        <v>44</v>
      </c>
      <c r="G192" s="46">
        <v>0</v>
      </c>
      <c r="M192" s="21">
        <v>1</v>
      </c>
    </row>
    <row r="193" spans="2:13" ht="18">
      <c r="B193" s="41">
        <v>12</v>
      </c>
      <c r="C193" s="41">
        <v>30</v>
      </c>
      <c r="D193" s="41">
        <v>10</v>
      </c>
      <c r="E193" s="41">
        <v>10</v>
      </c>
      <c r="F193" s="41">
        <v>23</v>
      </c>
      <c r="G193" s="46">
        <v>0</v>
      </c>
      <c r="M193" s="21">
        <v>1</v>
      </c>
    </row>
    <row r="194" spans="2:13" ht="18">
      <c r="B194" s="41">
        <v>12</v>
      </c>
      <c r="C194" s="41">
        <v>25</v>
      </c>
      <c r="D194" s="41">
        <v>10</v>
      </c>
      <c r="E194" s="41">
        <v>8</v>
      </c>
      <c r="F194" s="41">
        <v>13</v>
      </c>
      <c r="G194" s="46">
        <v>2</v>
      </c>
      <c r="M194" s="21">
        <v>1</v>
      </c>
    </row>
    <row r="195" spans="2:13" ht="18">
      <c r="B195" s="41">
        <v>12</v>
      </c>
      <c r="C195" s="41">
        <v>25</v>
      </c>
      <c r="D195" s="41">
        <v>11</v>
      </c>
      <c r="E195" s="41">
        <v>9</v>
      </c>
      <c r="F195" s="41">
        <v>26</v>
      </c>
      <c r="G195" s="46">
        <v>2</v>
      </c>
      <c r="M195" s="21">
        <v>1</v>
      </c>
    </row>
    <row r="196" spans="2:13" ht="18">
      <c r="B196" s="41">
        <v>12</v>
      </c>
      <c r="C196" s="41">
        <v>31</v>
      </c>
      <c r="D196" s="41">
        <v>8</v>
      </c>
      <c r="E196" s="41">
        <v>13</v>
      </c>
      <c r="F196" s="41">
        <v>12</v>
      </c>
      <c r="G196" s="46">
        <v>0</v>
      </c>
      <c r="M196" s="21">
        <v>1</v>
      </c>
    </row>
    <row r="197" spans="2:13" ht="18">
      <c r="B197" s="41">
        <v>12</v>
      </c>
      <c r="C197" s="41">
        <v>31</v>
      </c>
      <c r="D197" s="41">
        <v>7</v>
      </c>
      <c r="E197" s="41">
        <v>13</v>
      </c>
      <c r="F197" s="41">
        <v>12</v>
      </c>
      <c r="G197" s="46">
        <v>0</v>
      </c>
      <c r="M197" s="21">
        <v>1</v>
      </c>
    </row>
    <row r="198" spans="2:13" ht="18">
      <c r="B198" s="41">
        <v>12</v>
      </c>
      <c r="C198" s="41">
        <v>21</v>
      </c>
      <c r="D198" s="41">
        <v>14</v>
      </c>
      <c r="E198" s="41">
        <v>6</v>
      </c>
      <c r="F198" s="41">
        <v>19</v>
      </c>
      <c r="G198" s="46">
        <v>0</v>
      </c>
      <c r="M198" s="21">
        <v>1</v>
      </c>
    </row>
    <row r="199" spans="2:13" ht="18">
      <c r="B199" s="41">
        <v>12</v>
      </c>
      <c r="C199" s="41">
        <v>26</v>
      </c>
      <c r="D199" s="41">
        <v>14</v>
      </c>
      <c r="E199" s="41">
        <v>4</v>
      </c>
      <c r="F199" s="41">
        <v>24</v>
      </c>
      <c r="G199" s="46">
        <v>0</v>
      </c>
      <c r="M199" s="21">
        <v>1</v>
      </c>
    </row>
    <row r="200" spans="2:13" ht="18">
      <c r="B200" s="41">
        <v>12</v>
      </c>
      <c r="C200" s="41">
        <v>32</v>
      </c>
      <c r="D200" s="41">
        <v>13</v>
      </c>
      <c r="E200" s="41">
        <v>23</v>
      </c>
      <c r="F200" s="41">
        <v>25</v>
      </c>
      <c r="G200" s="46">
        <v>0</v>
      </c>
      <c r="M200" s="21">
        <v>1</v>
      </c>
    </row>
    <row r="201" spans="2:13" ht="18">
      <c r="B201" s="41">
        <v>12</v>
      </c>
      <c r="C201" s="41">
        <v>28</v>
      </c>
      <c r="D201" s="41">
        <v>14</v>
      </c>
      <c r="E201" s="41">
        <v>2</v>
      </c>
      <c r="F201" s="41">
        <v>15</v>
      </c>
      <c r="G201" s="46">
        <v>0</v>
      </c>
      <c r="M201" s="21">
        <v>1</v>
      </c>
    </row>
    <row r="202" spans="2:13" ht="18">
      <c r="B202" s="41">
        <v>12</v>
      </c>
      <c r="C202" s="41">
        <v>28</v>
      </c>
      <c r="D202" s="41">
        <v>15</v>
      </c>
      <c r="E202" s="41">
        <v>1</v>
      </c>
      <c r="F202" s="41">
        <v>20</v>
      </c>
      <c r="G202" s="46">
        <v>0</v>
      </c>
      <c r="M202" s="21">
        <v>1</v>
      </c>
    </row>
    <row r="203" spans="2:13" ht="18">
      <c r="B203" s="41">
        <v>12</v>
      </c>
      <c r="C203" s="41">
        <v>34</v>
      </c>
      <c r="D203" s="41">
        <v>14</v>
      </c>
      <c r="E203" s="41">
        <v>5</v>
      </c>
      <c r="F203" s="41">
        <v>20</v>
      </c>
      <c r="G203" s="46">
        <v>0</v>
      </c>
      <c r="M203" s="21">
        <v>1</v>
      </c>
    </row>
    <row r="204" spans="2:13" ht="18">
      <c r="B204" s="41">
        <v>12</v>
      </c>
      <c r="C204" s="41">
        <v>30</v>
      </c>
      <c r="D204" s="41">
        <v>12</v>
      </c>
      <c r="E204" s="41">
        <v>8</v>
      </c>
      <c r="F204" s="41">
        <v>36</v>
      </c>
      <c r="G204" s="46">
        <v>0</v>
      </c>
      <c r="M204" s="21">
        <v>1</v>
      </c>
    </row>
    <row r="205" spans="2:13" ht="18">
      <c r="B205" s="41">
        <v>12</v>
      </c>
      <c r="C205" s="41">
        <v>33</v>
      </c>
      <c r="D205" s="41">
        <v>13</v>
      </c>
      <c r="E205" s="41">
        <v>0</v>
      </c>
      <c r="F205" s="41">
        <v>23</v>
      </c>
      <c r="G205" s="46">
        <v>2</v>
      </c>
      <c r="M205" s="21">
        <v>1</v>
      </c>
    </row>
    <row r="206" spans="2:13" ht="18">
      <c r="B206" s="41">
        <v>12</v>
      </c>
      <c r="C206" s="41">
        <v>34</v>
      </c>
      <c r="D206" s="41">
        <v>15</v>
      </c>
      <c r="E206" s="41">
        <v>5</v>
      </c>
      <c r="F206" s="41">
        <v>20</v>
      </c>
      <c r="G206" s="46">
        <v>0</v>
      </c>
      <c r="M206" s="21">
        <v>1</v>
      </c>
    </row>
    <row r="207" spans="2:13" ht="18">
      <c r="B207" s="41">
        <v>12</v>
      </c>
      <c r="C207" s="41">
        <v>21</v>
      </c>
      <c r="D207" s="41">
        <v>10</v>
      </c>
      <c r="E207" s="41">
        <v>7</v>
      </c>
      <c r="F207" s="41">
        <v>18</v>
      </c>
      <c r="G207" s="46">
        <v>0</v>
      </c>
      <c r="M207" s="21">
        <v>1</v>
      </c>
    </row>
    <row r="208" spans="2:13" ht="18">
      <c r="B208" s="41">
        <v>12</v>
      </c>
      <c r="C208" s="41">
        <v>21</v>
      </c>
      <c r="D208" s="41">
        <v>9</v>
      </c>
      <c r="E208" s="41">
        <v>9</v>
      </c>
      <c r="F208" s="41">
        <v>16</v>
      </c>
      <c r="G208" s="46">
        <v>0</v>
      </c>
      <c r="M208" s="21">
        <v>1</v>
      </c>
    </row>
    <row r="209" spans="2:13" ht="18">
      <c r="B209" s="41">
        <v>12</v>
      </c>
      <c r="C209" s="41">
        <v>21</v>
      </c>
      <c r="D209" s="41">
        <v>8</v>
      </c>
      <c r="E209" s="41">
        <v>6</v>
      </c>
      <c r="F209" s="41">
        <v>19</v>
      </c>
      <c r="G209" s="46">
        <v>0</v>
      </c>
      <c r="M209" s="21">
        <v>1</v>
      </c>
    </row>
    <row r="210" spans="2:13" ht="18">
      <c r="B210" s="41">
        <v>12</v>
      </c>
      <c r="C210" s="41">
        <v>21</v>
      </c>
      <c r="D210" s="41">
        <v>7</v>
      </c>
      <c r="E210" s="41">
        <v>1</v>
      </c>
      <c r="F210" s="41">
        <v>24</v>
      </c>
      <c r="G210" s="46">
        <v>0</v>
      </c>
      <c r="M210" s="21">
        <v>1</v>
      </c>
    </row>
    <row r="211" spans="2:13" ht="18">
      <c r="B211" s="41">
        <v>12</v>
      </c>
      <c r="C211" s="41">
        <v>21</v>
      </c>
      <c r="D211" s="41">
        <v>6</v>
      </c>
      <c r="E211" s="41">
        <v>3</v>
      </c>
      <c r="F211" s="41">
        <v>22</v>
      </c>
      <c r="G211" s="46">
        <v>0</v>
      </c>
      <c r="M211" s="21">
        <v>1</v>
      </c>
    </row>
    <row r="212" spans="2:13" ht="18">
      <c r="B212" s="41">
        <v>12</v>
      </c>
      <c r="C212" s="41">
        <v>26</v>
      </c>
      <c r="D212" s="41">
        <v>15</v>
      </c>
      <c r="E212" s="41">
        <v>2</v>
      </c>
      <c r="F212" s="41">
        <v>26</v>
      </c>
      <c r="G212" s="46">
        <v>0</v>
      </c>
      <c r="M212" s="21">
        <v>1</v>
      </c>
    </row>
    <row r="213" spans="2:13" ht="18">
      <c r="B213" s="41">
        <v>12</v>
      </c>
      <c r="C213" s="41">
        <v>21</v>
      </c>
      <c r="D213" s="41">
        <v>15</v>
      </c>
      <c r="E213" s="41">
        <v>8</v>
      </c>
      <c r="F213" s="41">
        <v>17</v>
      </c>
      <c r="G213" s="46">
        <v>0</v>
      </c>
      <c r="M213" s="21">
        <v>1</v>
      </c>
    </row>
    <row r="214" spans="2:13" ht="18">
      <c r="B214" s="41">
        <v>12</v>
      </c>
      <c r="C214" s="41">
        <v>25</v>
      </c>
      <c r="D214" s="41">
        <v>12</v>
      </c>
      <c r="E214" s="41">
        <v>11</v>
      </c>
      <c r="F214" s="41">
        <v>14</v>
      </c>
      <c r="G214" s="46">
        <v>0</v>
      </c>
      <c r="M214" s="21">
        <v>1</v>
      </c>
    </row>
    <row r="215" spans="2:13" ht="18">
      <c r="B215" s="41">
        <v>12</v>
      </c>
      <c r="C215" s="41">
        <v>30</v>
      </c>
      <c r="D215" s="41">
        <v>12</v>
      </c>
      <c r="E215" s="41">
        <v>9</v>
      </c>
      <c r="F215" s="41">
        <v>24</v>
      </c>
      <c r="G215" s="46">
        <v>0</v>
      </c>
      <c r="M215" s="21">
        <v>1</v>
      </c>
    </row>
    <row r="216" spans="2:13" ht="18">
      <c r="B216" s="41">
        <v>12</v>
      </c>
      <c r="C216" s="41">
        <v>21</v>
      </c>
      <c r="D216" s="41">
        <v>16</v>
      </c>
      <c r="E216" s="41">
        <v>4</v>
      </c>
      <c r="F216" s="41">
        <v>20</v>
      </c>
      <c r="G216" s="46">
        <v>1</v>
      </c>
      <c r="M216" s="21">
        <v>1</v>
      </c>
    </row>
    <row r="217" spans="2:13" ht="18">
      <c r="B217" s="41">
        <v>12</v>
      </c>
      <c r="C217" s="41">
        <v>33</v>
      </c>
      <c r="D217" s="41">
        <v>14</v>
      </c>
      <c r="E217" s="41">
        <v>4</v>
      </c>
      <c r="F217" s="41">
        <v>21</v>
      </c>
      <c r="G217" s="46">
        <v>0</v>
      </c>
      <c r="M217" s="21">
        <v>1</v>
      </c>
    </row>
    <row r="218" spans="2:13" ht="18">
      <c r="B218" s="41">
        <v>12</v>
      </c>
      <c r="C218" s="41">
        <v>32</v>
      </c>
      <c r="D218" s="41">
        <v>14</v>
      </c>
      <c r="E218" s="41">
        <v>14</v>
      </c>
      <c r="F218" s="41">
        <v>28</v>
      </c>
      <c r="G218" s="46">
        <v>4</v>
      </c>
      <c r="M218" s="21">
        <v>1</v>
      </c>
    </row>
    <row r="219" spans="2:13" ht="18">
      <c r="B219" s="41">
        <v>12</v>
      </c>
      <c r="C219" s="41">
        <v>29</v>
      </c>
      <c r="D219" s="41">
        <v>16</v>
      </c>
      <c r="E219" s="41">
        <v>15</v>
      </c>
      <c r="F219" s="41">
        <v>10</v>
      </c>
      <c r="G219" s="46">
        <v>0</v>
      </c>
      <c r="M219" s="21">
        <v>1</v>
      </c>
    </row>
    <row r="220" spans="2:13" ht="18">
      <c r="B220" s="41">
        <v>12</v>
      </c>
      <c r="C220" s="41">
        <v>34</v>
      </c>
      <c r="D220" s="41">
        <v>16</v>
      </c>
      <c r="E220" s="41">
        <v>11</v>
      </c>
      <c r="F220" s="41">
        <v>32</v>
      </c>
      <c r="G220" s="46">
        <v>0</v>
      </c>
      <c r="M220" s="21">
        <v>1</v>
      </c>
    </row>
    <row r="221" spans="2:13" ht="18">
      <c r="B221" s="41">
        <v>12</v>
      </c>
      <c r="C221" s="41">
        <v>29</v>
      </c>
      <c r="D221" s="41">
        <v>15</v>
      </c>
      <c r="E221" s="41">
        <v>10</v>
      </c>
      <c r="F221" s="41">
        <v>14</v>
      </c>
      <c r="G221" s="46">
        <v>9</v>
      </c>
      <c r="M221" s="21">
        <v>1</v>
      </c>
    </row>
    <row r="222" spans="2:13" ht="18">
      <c r="B222" s="41">
        <v>12</v>
      </c>
      <c r="C222" s="41">
        <v>29</v>
      </c>
      <c r="D222" s="41">
        <v>14</v>
      </c>
      <c r="E222" s="41">
        <v>9</v>
      </c>
      <c r="F222" s="41">
        <v>16</v>
      </c>
      <c r="G222" s="46">
        <v>1</v>
      </c>
      <c r="M222" s="21">
        <v>1</v>
      </c>
    </row>
    <row r="223" spans="2:13" ht="18">
      <c r="B223" s="41">
        <v>12</v>
      </c>
      <c r="C223" s="41">
        <v>21</v>
      </c>
      <c r="D223" s="41">
        <v>17</v>
      </c>
      <c r="E223" s="41">
        <v>1</v>
      </c>
      <c r="F223" s="41">
        <v>23</v>
      </c>
      <c r="G223" s="46">
        <v>1</v>
      </c>
      <c r="M223" s="21">
        <v>1</v>
      </c>
    </row>
    <row r="224" spans="2:13" ht="18">
      <c r="B224" s="41">
        <v>12</v>
      </c>
      <c r="C224" s="41">
        <v>27</v>
      </c>
      <c r="D224" s="41">
        <v>14</v>
      </c>
      <c r="E224" s="41">
        <v>6</v>
      </c>
      <c r="F224" s="41">
        <v>23</v>
      </c>
      <c r="G224" s="46">
        <v>3</v>
      </c>
      <c r="M224" s="21">
        <v>1</v>
      </c>
    </row>
    <row r="225" spans="2:13" ht="18">
      <c r="B225" s="41">
        <v>12</v>
      </c>
      <c r="C225" s="41">
        <v>27</v>
      </c>
      <c r="D225" s="41">
        <v>13</v>
      </c>
      <c r="E225" s="41">
        <v>13</v>
      </c>
      <c r="F225" s="41">
        <v>17</v>
      </c>
      <c r="G225" s="46">
        <v>1</v>
      </c>
      <c r="M225" s="21">
        <v>1</v>
      </c>
    </row>
    <row r="226" spans="2:13" ht="18">
      <c r="B226" s="41">
        <v>12</v>
      </c>
      <c r="C226" s="41">
        <v>21</v>
      </c>
      <c r="D226" s="41">
        <v>1</v>
      </c>
      <c r="E226" s="41">
        <v>11</v>
      </c>
      <c r="F226" s="41">
        <v>57</v>
      </c>
      <c r="G226" s="46">
        <v>7</v>
      </c>
      <c r="M226" s="21">
        <v>1</v>
      </c>
    </row>
    <row r="227" spans="2:13" ht="18">
      <c r="B227" s="41">
        <v>12</v>
      </c>
      <c r="C227" s="41">
        <v>37</v>
      </c>
      <c r="D227" s="41">
        <v>11</v>
      </c>
      <c r="E227" s="41">
        <v>9</v>
      </c>
      <c r="F227" s="41">
        <v>14</v>
      </c>
      <c r="G227" s="46">
        <v>0</v>
      </c>
      <c r="M227" s="21">
        <v>1</v>
      </c>
    </row>
    <row r="228" spans="2:13" ht="18">
      <c r="B228" s="41">
        <v>12</v>
      </c>
      <c r="C228" s="41">
        <v>37</v>
      </c>
      <c r="D228" s="41">
        <v>13</v>
      </c>
      <c r="E228" s="41">
        <v>11</v>
      </c>
      <c r="F228" s="41">
        <v>16</v>
      </c>
      <c r="G228" s="46">
        <v>0</v>
      </c>
      <c r="M228" s="21">
        <v>1</v>
      </c>
    </row>
    <row r="229" spans="2:13" ht="18">
      <c r="B229" s="41">
        <v>12</v>
      </c>
      <c r="C229" s="41">
        <v>37</v>
      </c>
      <c r="D229" s="41">
        <v>12</v>
      </c>
      <c r="E229" s="41">
        <v>17</v>
      </c>
      <c r="F229" s="41">
        <v>12</v>
      </c>
      <c r="G229" s="46">
        <v>0</v>
      </c>
      <c r="M229" s="21">
        <v>1</v>
      </c>
    </row>
    <row r="230" spans="2:13" ht="18">
      <c r="B230" s="41">
        <v>12</v>
      </c>
      <c r="C230" s="41"/>
      <c r="D230" s="41"/>
      <c r="E230" s="41"/>
      <c r="F230" s="41"/>
      <c r="G230" s="46"/>
      <c r="M230" s="21">
        <v>1</v>
      </c>
    </row>
    <row r="231" spans="2:13" ht="18">
      <c r="B231" s="41">
        <v>12</v>
      </c>
      <c r="C231" s="41"/>
      <c r="D231" s="41"/>
      <c r="E231" s="41"/>
      <c r="F231" s="41"/>
      <c r="G231" s="46"/>
      <c r="M231" s="21">
        <v>1</v>
      </c>
    </row>
    <row r="232" spans="2:13" ht="18">
      <c r="B232" s="41">
        <v>12</v>
      </c>
      <c r="C232" s="41"/>
      <c r="D232" s="41"/>
      <c r="E232" s="41"/>
      <c r="F232" s="41"/>
      <c r="G232" s="46"/>
      <c r="M232" s="21">
        <v>1</v>
      </c>
    </row>
    <row r="233" spans="2:13" ht="18">
      <c r="B233" s="41">
        <v>12</v>
      </c>
      <c r="C233" s="41"/>
      <c r="D233" s="41"/>
      <c r="E233" s="41"/>
      <c r="F233" s="41"/>
      <c r="G233" s="46"/>
      <c r="M233" s="21">
        <v>1</v>
      </c>
    </row>
    <row r="234" spans="2:13" ht="18">
      <c r="B234" s="41">
        <v>12</v>
      </c>
      <c r="C234" s="41"/>
      <c r="D234" s="41"/>
      <c r="E234" s="41"/>
      <c r="F234" s="41"/>
      <c r="G234" s="46"/>
      <c r="M234" s="21">
        <v>1</v>
      </c>
    </row>
    <row r="235" spans="2:13" ht="18">
      <c r="B235" s="41">
        <v>12</v>
      </c>
      <c r="C235" s="41"/>
      <c r="D235" s="41"/>
      <c r="E235" s="41"/>
      <c r="F235" s="41"/>
      <c r="G235" s="46"/>
      <c r="M235" s="21">
        <v>1</v>
      </c>
    </row>
    <row r="236" spans="2:13" ht="18">
      <c r="B236" s="41">
        <v>12</v>
      </c>
      <c r="C236" s="41"/>
      <c r="D236" s="41"/>
      <c r="E236" s="41"/>
      <c r="F236" s="41"/>
      <c r="G236" s="46"/>
      <c r="M236" s="21">
        <v>1</v>
      </c>
    </row>
    <row r="237" spans="2:13" ht="18">
      <c r="B237" s="41">
        <v>12</v>
      </c>
      <c r="C237" s="41"/>
      <c r="D237" s="41"/>
      <c r="E237" s="41"/>
      <c r="F237" s="41"/>
      <c r="G237" s="46"/>
      <c r="M237" s="21">
        <v>1</v>
      </c>
    </row>
    <row r="238" spans="2:13" ht="18">
      <c r="B238" s="41">
        <v>12</v>
      </c>
      <c r="C238" s="41"/>
      <c r="D238" s="41"/>
      <c r="E238" s="41"/>
      <c r="F238" s="41"/>
      <c r="G238" s="46"/>
      <c r="M238" s="21">
        <v>1</v>
      </c>
    </row>
    <row r="239" spans="2:13" ht="18">
      <c r="B239" s="41">
        <v>12</v>
      </c>
      <c r="C239" s="41"/>
      <c r="D239" s="41"/>
      <c r="E239" s="41"/>
      <c r="F239" s="41"/>
      <c r="G239" s="46"/>
      <c r="M239" s="21">
        <v>1</v>
      </c>
    </row>
    <row r="240" spans="2:13" ht="18">
      <c r="B240" s="41">
        <v>12</v>
      </c>
      <c r="C240" s="41"/>
      <c r="D240" s="41"/>
      <c r="E240" s="41"/>
      <c r="F240" s="41"/>
      <c r="G240" s="46"/>
      <c r="M240" s="21">
        <v>1</v>
      </c>
    </row>
    <row r="241" spans="2:13" ht="18">
      <c r="B241" s="41">
        <v>12</v>
      </c>
      <c r="C241" s="41"/>
      <c r="D241" s="41"/>
      <c r="E241" s="41"/>
      <c r="F241" s="41"/>
      <c r="G241" s="46"/>
      <c r="M241" s="21">
        <v>1</v>
      </c>
    </row>
    <row r="242" spans="2:13" ht="18">
      <c r="B242" s="41">
        <v>12</v>
      </c>
      <c r="C242" s="41"/>
      <c r="D242" s="41"/>
      <c r="E242" s="41"/>
      <c r="F242" s="41"/>
      <c r="G242" s="46"/>
      <c r="M242" s="21">
        <v>1</v>
      </c>
    </row>
    <row r="243" spans="2:13" ht="18">
      <c r="B243" s="41">
        <v>12</v>
      </c>
      <c r="C243" s="41"/>
      <c r="D243" s="41"/>
      <c r="E243" s="41"/>
      <c r="F243" s="41"/>
      <c r="G243" s="46"/>
      <c r="M243" s="21">
        <v>1</v>
      </c>
    </row>
    <row r="244" spans="2:13" ht="18">
      <c r="B244" s="41">
        <v>12</v>
      </c>
      <c r="C244" s="41"/>
      <c r="D244" s="41"/>
      <c r="E244" s="41"/>
      <c r="F244" s="41"/>
      <c r="G244" s="46"/>
      <c r="M244" s="21">
        <v>1</v>
      </c>
    </row>
    <row r="245" spans="2:13" ht="18">
      <c r="B245" s="41">
        <v>12</v>
      </c>
      <c r="C245" s="41"/>
      <c r="D245" s="41"/>
      <c r="E245" s="41"/>
      <c r="F245" s="41"/>
      <c r="G245" s="46"/>
      <c r="M245" s="21">
        <v>1</v>
      </c>
    </row>
    <row r="246" spans="2:13" ht="18">
      <c r="B246" s="41">
        <v>12</v>
      </c>
      <c r="C246" s="41"/>
      <c r="D246" s="41"/>
      <c r="E246" s="41"/>
      <c r="F246" s="41"/>
      <c r="G246" s="46"/>
      <c r="M246" s="21">
        <v>1</v>
      </c>
    </row>
    <row r="247" spans="2:13" ht="18">
      <c r="B247" s="41">
        <v>12</v>
      </c>
      <c r="C247" s="41"/>
      <c r="D247" s="41"/>
      <c r="E247" s="41"/>
      <c r="F247" s="41"/>
      <c r="G247" s="46"/>
      <c r="M247" s="21">
        <v>1</v>
      </c>
    </row>
    <row r="248" spans="2:13" ht="18">
      <c r="B248" s="41">
        <v>12</v>
      </c>
      <c r="C248" s="41"/>
      <c r="D248" s="41"/>
      <c r="E248" s="41"/>
      <c r="F248" s="41"/>
      <c r="G248" s="46"/>
      <c r="M248" s="21">
        <v>1</v>
      </c>
    </row>
    <row r="249" spans="2:13" ht="18">
      <c r="B249" s="41">
        <v>12</v>
      </c>
      <c r="C249" s="41"/>
      <c r="D249" s="41"/>
      <c r="E249" s="41"/>
      <c r="F249" s="41"/>
      <c r="G249" s="46"/>
      <c r="M249" s="21">
        <v>1</v>
      </c>
    </row>
    <row r="250" spans="2:13" ht="18">
      <c r="B250" s="41">
        <v>12</v>
      </c>
      <c r="C250" s="41"/>
      <c r="D250" s="41"/>
      <c r="E250" s="41"/>
      <c r="F250" s="41"/>
      <c r="G250" s="46"/>
      <c r="M250" s="21">
        <v>1</v>
      </c>
    </row>
    <row r="251" spans="2:13" ht="18">
      <c r="B251" s="41">
        <v>12</v>
      </c>
      <c r="C251" s="41"/>
      <c r="D251" s="41"/>
      <c r="E251" s="41"/>
      <c r="F251" s="41"/>
      <c r="G251" s="46"/>
      <c r="M251" s="21">
        <v>1</v>
      </c>
    </row>
    <row r="252" spans="2:13" ht="18">
      <c r="B252" s="41">
        <v>12</v>
      </c>
      <c r="C252" s="41"/>
      <c r="D252" s="41"/>
      <c r="E252" s="41"/>
      <c r="F252" s="41"/>
      <c r="G252" s="46"/>
      <c r="M252" s="21">
        <v>1</v>
      </c>
    </row>
    <row r="253" spans="2:13" ht="18">
      <c r="B253" s="41">
        <v>12</v>
      </c>
      <c r="C253" s="41"/>
      <c r="D253" s="41"/>
      <c r="E253" s="41"/>
      <c r="F253" s="41"/>
      <c r="G253" s="46"/>
      <c r="M253" s="21">
        <v>1</v>
      </c>
    </row>
    <row r="254" spans="2:13" ht="18">
      <c r="B254" s="41">
        <v>12</v>
      </c>
      <c r="C254" s="41"/>
      <c r="D254" s="41"/>
      <c r="E254" s="41"/>
      <c r="F254" s="41"/>
      <c r="G254" s="46"/>
      <c r="M254" s="21">
        <v>1</v>
      </c>
    </row>
    <row r="255" spans="2:13" ht="18">
      <c r="B255" s="41">
        <v>12</v>
      </c>
      <c r="C255" s="41"/>
      <c r="D255" s="41"/>
      <c r="E255" s="41"/>
      <c r="F255" s="41"/>
      <c r="G255" s="46"/>
      <c r="M255" s="21">
        <v>1</v>
      </c>
    </row>
    <row r="256" spans="2:13" ht="18">
      <c r="B256" s="41">
        <v>12</v>
      </c>
      <c r="C256" s="41"/>
      <c r="D256" s="41"/>
      <c r="E256" s="41"/>
      <c r="F256" s="41"/>
      <c r="G256" s="46"/>
      <c r="M256" s="21">
        <v>1</v>
      </c>
    </row>
    <row r="257" spans="2:13" ht="18">
      <c r="B257" s="41">
        <v>12</v>
      </c>
      <c r="C257" s="41"/>
      <c r="D257" s="41"/>
      <c r="E257" s="41"/>
      <c r="F257" s="41"/>
      <c r="G257" s="46"/>
      <c r="M257" s="21">
        <v>1</v>
      </c>
    </row>
    <row r="258" spans="2:13" ht="18">
      <c r="B258" s="41">
        <v>12</v>
      </c>
      <c r="C258" s="41"/>
      <c r="D258" s="41"/>
      <c r="E258" s="41"/>
      <c r="F258" s="41"/>
      <c r="G258" s="46"/>
      <c r="M258" s="21">
        <v>1</v>
      </c>
    </row>
    <row r="259" spans="2:13" ht="18">
      <c r="B259" s="41">
        <v>12</v>
      </c>
      <c r="C259" s="41"/>
      <c r="D259" s="41"/>
      <c r="E259" s="41"/>
      <c r="F259" s="41"/>
      <c r="G259" s="46"/>
      <c r="M259" s="21">
        <v>1</v>
      </c>
    </row>
    <row r="260" spans="2:13" ht="18">
      <c r="B260" s="41">
        <v>12</v>
      </c>
      <c r="C260" s="41"/>
      <c r="D260" s="41"/>
      <c r="E260" s="41"/>
      <c r="F260" s="41"/>
      <c r="G260" s="46"/>
      <c r="M260" s="21">
        <v>1</v>
      </c>
    </row>
    <row r="261" spans="2:13" ht="18">
      <c r="B261" s="41">
        <v>12</v>
      </c>
      <c r="C261" s="41"/>
      <c r="D261" s="41"/>
      <c r="E261" s="41"/>
      <c r="F261" s="41"/>
      <c r="G261" s="46"/>
      <c r="M261" s="21">
        <v>1</v>
      </c>
    </row>
    <row r="262" spans="2:13" ht="18">
      <c r="B262" s="41">
        <v>12</v>
      </c>
      <c r="C262" s="41"/>
      <c r="D262" s="41"/>
      <c r="E262" s="41"/>
      <c r="F262" s="41"/>
      <c r="G262" s="46"/>
      <c r="M262" s="21">
        <v>1</v>
      </c>
    </row>
    <row r="263" spans="2:13" ht="18">
      <c r="B263" s="41">
        <v>12</v>
      </c>
      <c r="C263" s="41"/>
      <c r="D263" s="41"/>
      <c r="E263" s="41"/>
      <c r="F263" s="41"/>
      <c r="G263" s="46"/>
      <c r="M263" s="21">
        <v>1</v>
      </c>
    </row>
    <row r="264" spans="2:13" ht="18">
      <c r="B264" s="41">
        <v>12</v>
      </c>
      <c r="C264" s="41"/>
      <c r="D264" s="41"/>
      <c r="E264" s="41"/>
      <c r="F264" s="41"/>
      <c r="G264" s="46"/>
      <c r="M264" s="21">
        <v>1</v>
      </c>
    </row>
    <row r="265" spans="2:13" ht="18">
      <c r="B265" s="41">
        <v>12</v>
      </c>
      <c r="C265" s="41"/>
      <c r="D265" s="41"/>
      <c r="E265" s="41"/>
      <c r="F265" s="41"/>
      <c r="G265" s="46"/>
      <c r="M265" s="21">
        <v>1</v>
      </c>
    </row>
    <row r="266" spans="2:13" ht="18">
      <c r="B266" s="41">
        <v>12</v>
      </c>
      <c r="C266" s="41"/>
      <c r="D266" s="41"/>
      <c r="E266" s="41"/>
      <c r="F266" s="41"/>
      <c r="G266" s="46"/>
      <c r="M266" s="21">
        <v>1</v>
      </c>
    </row>
    <row r="267" spans="2:13" ht="18">
      <c r="B267" s="41">
        <v>12</v>
      </c>
      <c r="C267" s="41"/>
      <c r="D267" s="41"/>
      <c r="E267" s="41"/>
      <c r="F267" s="41"/>
      <c r="G267" s="46"/>
      <c r="M267" s="21">
        <v>1</v>
      </c>
    </row>
    <row r="268" spans="2:13" ht="18">
      <c r="B268" s="41">
        <v>12</v>
      </c>
      <c r="C268" s="41"/>
      <c r="D268" s="41"/>
      <c r="E268" s="41"/>
      <c r="F268" s="41"/>
      <c r="G268" s="46"/>
      <c r="M268" s="21">
        <v>1</v>
      </c>
    </row>
    <row r="269" spans="2:13" ht="18">
      <c r="B269" s="41">
        <v>12</v>
      </c>
      <c r="C269" s="41"/>
      <c r="D269" s="41"/>
      <c r="E269" s="41"/>
      <c r="F269" s="41"/>
      <c r="G269" s="46"/>
      <c r="M269" s="21">
        <v>1</v>
      </c>
    </row>
    <row r="270" spans="2:13" ht="18">
      <c r="B270" s="41">
        <v>12</v>
      </c>
      <c r="C270" s="41"/>
      <c r="D270" s="41"/>
      <c r="E270" s="41"/>
      <c r="F270" s="41"/>
      <c r="G270" s="46"/>
      <c r="M270" s="21">
        <v>1</v>
      </c>
    </row>
    <row r="271" spans="2:13" ht="18">
      <c r="B271" s="41">
        <v>12</v>
      </c>
      <c r="C271" s="41"/>
      <c r="D271" s="41"/>
      <c r="E271" s="41"/>
      <c r="F271" s="41"/>
      <c r="G271" s="46"/>
      <c r="M271" s="21">
        <v>1</v>
      </c>
    </row>
    <row r="272" spans="2:13" ht="18">
      <c r="B272" s="41">
        <v>12</v>
      </c>
      <c r="C272" s="41"/>
      <c r="D272" s="41"/>
      <c r="E272" s="41"/>
      <c r="F272" s="41"/>
      <c r="G272" s="46"/>
      <c r="M272" s="21">
        <v>1</v>
      </c>
    </row>
    <row r="273" spans="2:13" ht="18">
      <c r="B273" s="41">
        <v>12</v>
      </c>
      <c r="C273" s="41"/>
      <c r="D273" s="41"/>
      <c r="E273" s="41"/>
      <c r="F273" s="41"/>
      <c r="G273" s="46"/>
      <c r="M273" s="21">
        <v>1</v>
      </c>
    </row>
    <row r="274" spans="2:13" ht="18">
      <c r="B274" s="41">
        <v>12</v>
      </c>
      <c r="C274" s="41"/>
      <c r="D274" s="41"/>
      <c r="E274" s="41"/>
      <c r="F274" s="41"/>
      <c r="G274" s="46"/>
      <c r="M274" s="21">
        <v>1</v>
      </c>
    </row>
    <row r="275" spans="2:13" ht="18">
      <c r="B275" s="41">
        <v>12</v>
      </c>
      <c r="C275" s="41"/>
      <c r="D275" s="41"/>
      <c r="E275" s="41"/>
      <c r="F275" s="41"/>
      <c r="G275" s="46"/>
      <c r="M275" s="21">
        <v>1</v>
      </c>
    </row>
    <row r="276" spans="2:13" ht="18">
      <c r="B276" s="41">
        <v>12</v>
      </c>
      <c r="C276" s="41"/>
      <c r="D276" s="41"/>
      <c r="E276" s="41"/>
      <c r="F276" s="41"/>
      <c r="G276" s="46"/>
      <c r="M276" s="21">
        <v>1</v>
      </c>
    </row>
    <row r="277" spans="2:13" ht="18">
      <c r="B277" s="41">
        <v>12</v>
      </c>
      <c r="C277" s="41"/>
      <c r="D277" s="41"/>
      <c r="E277" s="41"/>
      <c r="F277" s="41"/>
      <c r="G277" s="46"/>
      <c r="M277" s="21">
        <v>1</v>
      </c>
    </row>
    <row r="278" spans="2:13" ht="18">
      <c r="B278" s="41">
        <v>12</v>
      </c>
      <c r="C278" s="41"/>
      <c r="D278" s="41"/>
      <c r="E278" s="41"/>
      <c r="F278" s="41"/>
      <c r="G278" s="46"/>
      <c r="M278" s="21">
        <v>1</v>
      </c>
    </row>
    <row r="279" spans="2:13" ht="18">
      <c r="B279" s="41">
        <v>12</v>
      </c>
      <c r="C279" s="41"/>
      <c r="D279" s="41"/>
      <c r="E279" s="41"/>
      <c r="F279" s="41"/>
      <c r="G279" s="46"/>
      <c r="M279" s="21">
        <v>1</v>
      </c>
    </row>
    <row r="280" spans="2:13" ht="18">
      <c r="B280" s="41">
        <v>12</v>
      </c>
      <c r="C280" s="41"/>
      <c r="D280" s="41"/>
      <c r="E280" s="41"/>
      <c r="F280" s="41"/>
      <c r="G280" s="46"/>
      <c r="M280" s="21">
        <v>1</v>
      </c>
    </row>
    <row r="281" spans="2:13" ht="18">
      <c r="B281" s="41">
        <v>12</v>
      </c>
      <c r="C281" s="41"/>
      <c r="D281" s="41"/>
      <c r="E281" s="41"/>
      <c r="F281" s="41"/>
      <c r="G281" s="46"/>
      <c r="M281" s="21">
        <v>1</v>
      </c>
    </row>
    <row r="282" spans="2:13" ht="18">
      <c r="B282" s="41">
        <v>12</v>
      </c>
      <c r="C282" s="41"/>
      <c r="D282" s="41"/>
      <c r="E282" s="41"/>
      <c r="F282" s="41"/>
      <c r="G282" s="46"/>
      <c r="M282" s="21">
        <v>1</v>
      </c>
    </row>
    <row r="283" spans="2:13" ht="18">
      <c r="B283" s="41">
        <v>12</v>
      </c>
      <c r="C283" s="41"/>
      <c r="D283" s="41"/>
      <c r="E283" s="41"/>
      <c r="F283" s="41"/>
      <c r="G283" s="46"/>
      <c r="M283" s="21">
        <v>1</v>
      </c>
    </row>
    <row r="284" spans="2:13" ht="18">
      <c r="B284" s="41">
        <v>12</v>
      </c>
      <c r="C284" s="41"/>
      <c r="D284" s="41"/>
      <c r="E284" s="41"/>
      <c r="F284" s="41"/>
      <c r="G284" s="46"/>
      <c r="M284" s="21">
        <v>1</v>
      </c>
    </row>
    <row r="285" spans="2:13" ht="18">
      <c r="B285" s="41">
        <v>12</v>
      </c>
      <c r="C285" s="41"/>
      <c r="D285" s="41"/>
      <c r="E285" s="41"/>
      <c r="F285" s="41"/>
      <c r="G285" s="46"/>
      <c r="M285" s="21">
        <v>1</v>
      </c>
    </row>
    <row r="286" spans="2:13" ht="18">
      <c r="B286" s="41">
        <v>12</v>
      </c>
      <c r="C286" s="41"/>
      <c r="D286" s="41"/>
      <c r="E286" s="41"/>
      <c r="F286" s="41"/>
      <c r="G286" s="46"/>
      <c r="M286" s="21">
        <v>1</v>
      </c>
    </row>
    <row r="287" spans="2:13" ht="18">
      <c r="B287" s="41">
        <v>12</v>
      </c>
      <c r="C287" s="41"/>
      <c r="D287" s="41"/>
      <c r="E287" s="41"/>
      <c r="F287" s="41"/>
      <c r="G287" s="46"/>
      <c r="M287" s="21">
        <v>1</v>
      </c>
    </row>
    <row r="288" spans="2:13" ht="18">
      <c r="B288" s="41">
        <v>12</v>
      </c>
      <c r="C288" s="41"/>
      <c r="D288" s="41"/>
      <c r="E288" s="41"/>
      <c r="F288" s="41"/>
      <c r="G288" s="46"/>
      <c r="M288" s="21">
        <v>1</v>
      </c>
    </row>
    <row r="289" spans="2:13" ht="18">
      <c r="B289" s="41">
        <v>12</v>
      </c>
      <c r="C289" s="41"/>
      <c r="D289" s="41"/>
      <c r="E289" s="41"/>
      <c r="F289" s="41"/>
      <c r="G289" s="46"/>
      <c r="M289" s="21">
        <v>1</v>
      </c>
    </row>
    <row r="290" spans="2:13" ht="18">
      <c r="B290" s="41">
        <v>12</v>
      </c>
      <c r="C290" s="41"/>
      <c r="D290" s="41"/>
      <c r="E290" s="41"/>
      <c r="F290" s="41"/>
      <c r="G290" s="46"/>
      <c r="M290" s="21">
        <v>1</v>
      </c>
    </row>
    <row r="291" spans="2:13" ht="18">
      <c r="B291" s="41">
        <v>12</v>
      </c>
      <c r="C291" s="41"/>
      <c r="D291" s="41"/>
      <c r="E291" s="41"/>
      <c r="F291" s="41"/>
      <c r="G291" s="46"/>
      <c r="M291" s="21">
        <v>1</v>
      </c>
    </row>
    <row r="292" spans="2:13" ht="18">
      <c r="B292" s="41">
        <v>12</v>
      </c>
      <c r="C292" s="41"/>
      <c r="D292" s="41"/>
      <c r="E292" s="41"/>
      <c r="F292" s="41"/>
      <c r="G292" s="46"/>
      <c r="M292" s="21">
        <v>1</v>
      </c>
    </row>
    <row r="293" spans="2:13" ht="18">
      <c r="B293" s="41">
        <v>12</v>
      </c>
      <c r="C293" s="41"/>
      <c r="D293" s="41"/>
      <c r="E293" s="41"/>
      <c r="F293" s="41"/>
      <c r="G293" s="46"/>
      <c r="M293" s="21">
        <v>1</v>
      </c>
    </row>
    <row r="294" spans="2:13" ht="18">
      <c r="B294" s="41">
        <v>12</v>
      </c>
      <c r="C294" s="41"/>
      <c r="D294" s="41"/>
      <c r="E294" s="41"/>
      <c r="F294" s="41"/>
      <c r="G294" s="46"/>
      <c r="M294" s="21">
        <v>1</v>
      </c>
    </row>
    <row r="295" spans="2:13" ht="18">
      <c r="B295" s="41">
        <v>12</v>
      </c>
      <c r="C295" s="41"/>
      <c r="D295" s="41"/>
      <c r="E295" s="41"/>
      <c r="F295" s="41"/>
      <c r="G295" s="46"/>
      <c r="M295" s="21">
        <v>1</v>
      </c>
    </row>
    <row r="296" spans="2:13" ht="18">
      <c r="B296" s="41">
        <v>12</v>
      </c>
      <c r="C296" s="41"/>
      <c r="D296" s="41"/>
      <c r="E296" s="41"/>
      <c r="F296" s="41"/>
      <c r="G296" s="46"/>
      <c r="M296" s="21">
        <v>1</v>
      </c>
    </row>
    <row r="297" spans="2:13" ht="18">
      <c r="B297" s="41">
        <v>12</v>
      </c>
      <c r="C297" s="41"/>
      <c r="D297" s="41"/>
      <c r="E297" s="41"/>
      <c r="F297" s="41"/>
      <c r="G297" s="46"/>
      <c r="M297" s="21">
        <v>1</v>
      </c>
    </row>
    <row r="298" spans="2:13" ht="18">
      <c r="B298" s="41">
        <v>12</v>
      </c>
      <c r="C298" s="41"/>
      <c r="D298" s="41"/>
      <c r="E298" s="41"/>
      <c r="F298" s="41"/>
      <c r="G298" s="46"/>
      <c r="M298" s="21">
        <v>1</v>
      </c>
    </row>
    <row r="299" spans="2:13" ht="18">
      <c r="B299" s="41">
        <v>12</v>
      </c>
      <c r="C299" s="41"/>
      <c r="D299" s="41"/>
      <c r="E299" s="41"/>
      <c r="F299" s="41"/>
      <c r="G299" s="46"/>
      <c r="M299" s="21">
        <v>1</v>
      </c>
    </row>
    <row r="300" spans="2:13" ht="18">
      <c r="B300" s="41">
        <v>12</v>
      </c>
      <c r="C300" s="41"/>
      <c r="D300" s="41"/>
      <c r="E300" s="41"/>
      <c r="F300" s="41"/>
      <c r="G300" s="46"/>
      <c r="M300" s="21">
        <v>1</v>
      </c>
    </row>
    <row r="301" spans="2:13" ht="18">
      <c r="B301" s="41">
        <v>12</v>
      </c>
      <c r="C301" s="41"/>
      <c r="D301" s="41"/>
      <c r="E301" s="41"/>
      <c r="F301" s="41"/>
      <c r="G301" s="46"/>
      <c r="M301" s="21">
        <v>1</v>
      </c>
    </row>
    <row r="302" spans="2:13" ht="18">
      <c r="B302" s="41">
        <v>12</v>
      </c>
      <c r="C302" s="41"/>
      <c r="D302" s="41"/>
      <c r="E302" s="41"/>
      <c r="F302" s="41"/>
      <c r="G302" s="46"/>
      <c r="M302" s="21">
        <v>1</v>
      </c>
    </row>
    <row r="303" spans="2:13" ht="18">
      <c r="B303" s="41">
        <v>12</v>
      </c>
      <c r="C303" s="41"/>
      <c r="D303" s="41"/>
      <c r="E303" s="41"/>
      <c r="F303" s="41"/>
      <c r="G303" s="46"/>
      <c r="M303" s="21">
        <v>1</v>
      </c>
    </row>
    <row r="304" spans="2:13" ht="18">
      <c r="B304" s="41">
        <v>12</v>
      </c>
      <c r="C304" s="41"/>
      <c r="D304" s="41"/>
      <c r="E304" s="41"/>
      <c r="F304" s="41"/>
      <c r="G304" s="46"/>
      <c r="M304" s="21">
        <v>1</v>
      </c>
    </row>
    <row r="305" spans="2:13" ht="18">
      <c r="B305" s="41">
        <v>12</v>
      </c>
      <c r="C305" s="41"/>
      <c r="D305" s="41"/>
      <c r="E305" s="41"/>
      <c r="F305" s="41"/>
      <c r="G305" s="46"/>
      <c r="M305" s="21">
        <v>1</v>
      </c>
    </row>
    <row r="306" spans="2:13" ht="18">
      <c r="B306" s="41">
        <v>12</v>
      </c>
      <c r="C306" s="41"/>
      <c r="D306" s="41"/>
      <c r="E306" s="41"/>
      <c r="F306" s="41"/>
      <c r="G306" s="46"/>
      <c r="M306" s="21">
        <v>1</v>
      </c>
    </row>
    <row r="307" spans="2:13" ht="18">
      <c r="B307" s="41">
        <v>12</v>
      </c>
      <c r="C307" s="41"/>
      <c r="D307" s="41"/>
      <c r="E307" s="41"/>
      <c r="F307" s="41"/>
      <c r="G307" s="46"/>
      <c r="M307" s="21">
        <v>1</v>
      </c>
    </row>
    <row r="308" spans="2:13" ht="18">
      <c r="B308" s="41">
        <v>12</v>
      </c>
      <c r="C308" s="41"/>
      <c r="D308" s="41"/>
      <c r="E308" s="41"/>
      <c r="F308" s="41"/>
      <c r="G308" s="46"/>
      <c r="M308" s="21">
        <v>1</v>
      </c>
    </row>
    <row r="309" spans="2:13" ht="18">
      <c r="B309" s="41">
        <v>12</v>
      </c>
      <c r="C309" s="41"/>
      <c r="D309" s="41"/>
      <c r="E309" s="41"/>
      <c r="F309" s="41"/>
      <c r="G309" s="46"/>
      <c r="M309" s="21">
        <v>1</v>
      </c>
    </row>
    <row r="310" spans="2:13" ht="18">
      <c r="B310" s="41">
        <v>12</v>
      </c>
      <c r="C310" s="41"/>
      <c r="D310" s="41"/>
      <c r="E310" s="41"/>
      <c r="F310" s="41"/>
      <c r="G310" s="46"/>
      <c r="M310" s="21">
        <v>1</v>
      </c>
    </row>
    <row r="311" spans="2:13" ht="18">
      <c r="B311" s="41">
        <v>12</v>
      </c>
      <c r="C311" s="41"/>
      <c r="D311" s="41"/>
      <c r="E311" s="41"/>
      <c r="F311" s="41"/>
      <c r="G311" s="46"/>
      <c r="M311" s="21">
        <v>1</v>
      </c>
    </row>
    <row r="312" spans="2:13" ht="18">
      <c r="B312" s="41">
        <v>12</v>
      </c>
      <c r="C312" s="41"/>
      <c r="D312" s="41"/>
      <c r="E312" s="41"/>
      <c r="F312" s="41"/>
      <c r="G312" s="46"/>
      <c r="M312" s="21">
        <v>1</v>
      </c>
    </row>
    <row r="313" spans="2:13" ht="18">
      <c r="B313" s="41">
        <v>12</v>
      </c>
      <c r="C313" s="41"/>
      <c r="D313" s="41"/>
      <c r="E313" s="41"/>
      <c r="F313" s="41"/>
      <c r="G313" s="46"/>
      <c r="M313" s="21">
        <v>1</v>
      </c>
    </row>
    <row r="314" spans="2:13" ht="18">
      <c r="B314" s="41">
        <v>12</v>
      </c>
      <c r="C314" s="41"/>
      <c r="D314" s="41"/>
      <c r="E314" s="41"/>
      <c r="F314" s="41"/>
      <c r="G314" s="46"/>
      <c r="M314" s="21">
        <v>1</v>
      </c>
    </row>
    <row r="315" spans="2:13" ht="18">
      <c r="B315" s="41">
        <v>12</v>
      </c>
      <c r="C315" s="41"/>
      <c r="D315" s="41"/>
      <c r="E315" s="41"/>
      <c r="F315" s="41"/>
      <c r="G315" s="46"/>
      <c r="M315" s="21">
        <v>1</v>
      </c>
    </row>
    <row r="316" spans="2:13" ht="18">
      <c r="B316" s="41">
        <v>12</v>
      </c>
      <c r="C316" s="41"/>
      <c r="D316" s="41"/>
      <c r="E316" s="41"/>
      <c r="F316" s="41"/>
      <c r="G316" s="46"/>
      <c r="M316" s="21">
        <v>1</v>
      </c>
    </row>
    <row r="317" spans="2:13" ht="18">
      <c r="B317" s="41">
        <v>12</v>
      </c>
      <c r="C317" s="41"/>
      <c r="D317" s="41"/>
      <c r="E317" s="41"/>
      <c r="F317" s="41"/>
      <c r="G317" s="46"/>
      <c r="M317" s="21">
        <v>1</v>
      </c>
    </row>
    <row r="318" spans="2:13" ht="18">
      <c r="B318" s="41">
        <v>12</v>
      </c>
      <c r="C318" s="41"/>
      <c r="D318" s="41"/>
      <c r="E318" s="41"/>
      <c r="F318" s="41"/>
      <c r="G318" s="46"/>
      <c r="M318" s="21">
        <v>1</v>
      </c>
    </row>
    <row r="319" spans="2:13" ht="18">
      <c r="B319" s="41">
        <v>12</v>
      </c>
      <c r="C319" s="41"/>
      <c r="D319" s="41"/>
      <c r="E319" s="41"/>
      <c r="F319" s="41"/>
      <c r="G319" s="46"/>
      <c r="M319" s="21">
        <v>1</v>
      </c>
    </row>
    <row r="320" spans="2:13" ht="18">
      <c r="B320" s="41">
        <v>12</v>
      </c>
      <c r="C320" s="41"/>
      <c r="D320" s="41"/>
      <c r="E320" s="41"/>
      <c r="F320" s="41"/>
      <c r="G320" s="46"/>
      <c r="M320" s="21">
        <v>1</v>
      </c>
    </row>
    <row r="321" spans="2:13" ht="18">
      <c r="B321" s="41">
        <v>12</v>
      </c>
      <c r="C321" s="41"/>
      <c r="D321" s="41"/>
      <c r="E321" s="41"/>
      <c r="F321" s="41"/>
      <c r="G321" s="46"/>
      <c r="M321" s="21">
        <v>1</v>
      </c>
    </row>
    <row r="322" spans="2:13" ht="18">
      <c r="B322" s="41">
        <v>12</v>
      </c>
      <c r="C322" s="41"/>
      <c r="D322" s="41"/>
      <c r="E322" s="41"/>
      <c r="F322" s="41"/>
      <c r="G322" s="46"/>
      <c r="M322" s="21">
        <v>1</v>
      </c>
    </row>
    <row r="323" spans="2:13" ht="18">
      <c r="B323" s="41">
        <v>12</v>
      </c>
      <c r="C323" s="41"/>
      <c r="D323" s="41"/>
      <c r="E323" s="41"/>
      <c r="F323" s="41"/>
      <c r="G323" s="46"/>
      <c r="M323" s="21">
        <v>1</v>
      </c>
    </row>
    <row r="324" spans="2:13" ht="18">
      <c r="B324" s="41">
        <v>12</v>
      </c>
      <c r="C324" s="41"/>
      <c r="D324" s="41"/>
      <c r="E324" s="41"/>
      <c r="F324" s="41"/>
      <c r="G324" s="46"/>
      <c r="M324" s="21">
        <v>1</v>
      </c>
    </row>
    <row r="325" spans="2:13" ht="18">
      <c r="B325" s="41">
        <v>12</v>
      </c>
      <c r="C325" s="41"/>
      <c r="D325" s="41"/>
      <c r="E325" s="41"/>
      <c r="F325" s="41"/>
      <c r="G325" s="46"/>
      <c r="M325" s="21">
        <v>1</v>
      </c>
    </row>
    <row r="326" spans="2:13" ht="18">
      <c r="B326" s="41">
        <v>12</v>
      </c>
      <c r="C326" s="41"/>
      <c r="D326" s="41"/>
      <c r="E326" s="41"/>
      <c r="F326" s="41"/>
      <c r="G326" s="46"/>
      <c r="M326" s="21">
        <v>1</v>
      </c>
    </row>
    <row r="327" spans="2:13" ht="18">
      <c r="B327" s="41">
        <v>12</v>
      </c>
      <c r="C327" s="41"/>
      <c r="D327" s="41"/>
      <c r="E327" s="41"/>
      <c r="F327" s="41"/>
      <c r="G327" s="46"/>
      <c r="M327" s="21">
        <v>1</v>
      </c>
    </row>
    <row r="328" spans="2:13" ht="18">
      <c r="B328" s="41">
        <v>12</v>
      </c>
      <c r="C328" s="41"/>
      <c r="D328" s="41"/>
      <c r="E328" s="41"/>
      <c r="F328" s="41"/>
      <c r="G328" s="46"/>
      <c r="M328" s="21">
        <v>1</v>
      </c>
    </row>
    <row r="329" spans="2:13" ht="18">
      <c r="B329" s="41">
        <v>12</v>
      </c>
      <c r="C329" s="41"/>
      <c r="D329" s="41"/>
      <c r="E329" s="41"/>
      <c r="F329" s="41"/>
      <c r="G329" s="46"/>
      <c r="M329" s="21">
        <v>1</v>
      </c>
    </row>
    <row r="330" spans="2:13" ht="18">
      <c r="B330" s="41">
        <v>12</v>
      </c>
      <c r="C330" s="41"/>
      <c r="D330" s="41"/>
      <c r="E330" s="41"/>
      <c r="F330" s="41"/>
      <c r="G330" s="46"/>
      <c r="M330" s="21">
        <v>1</v>
      </c>
    </row>
    <row r="331" spans="2:13" ht="18">
      <c r="B331" s="41">
        <v>12</v>
      </c>
      <c r="C331" s="41"/>
      <c r="D331" s="41"/>
      <c r="E331" s="41"/>
      <c r="F331" s="41"/>
      <c r="G331" s="46"/>
      <c r="M331" s="21">
        <v>1</v>
      </c>
    </row>
    <row r="332" spans="2:13" ht="18">
      <c r="B332" s="41">
        <v>12</v>
      </c>
      <c r="C332" s="41"/>
      <c r="D332" s="41"/>
      <c r="E332" s="41"/>
      <c r="F332" s="41"/>
      <c r="G332" s="46"/>
      <c r="M332" s="21">
        <v>1</v>
      </c>
    </row>
    <row r="333" spans="2:13" ht="18">
      <c r="B333" s="41">
        <v>12</v>
      </c>
      <c r="C333" s="41"/>
      <c r="D333" s="41"/>
      <c r="E333" s="41"/>
      <c r="F333" s="41"/>
      <c r="G333" s="46"/>
      <c r="M333" s="21">
        <v>1</v>
      </c>
    </row>
    <row r="334" spans="2:13" ht="18">
      <c r="B334" s="41">
        <v>12</v>
      </c>
      <c r="C334" s="41"/>
      <c r="D334" s="41"/>
      <c r="E334" s="41"/>
      <c r="F334" s="41"/>
      <c r="G334" s="46"/>
      <c r="M334" s="21">
        <v>1</v>
      </c>
    </row>
    <row r="335" spans="2:13" ht="18">
      <c r="B335" s="41">
        <v>12</v>
      </c>
      <c r="C335" s="41"/>
      <c r="D335" s="41"/>
      <c r="E335" s="41"/>
      <c r="F335" s="41"/>
      <c r="G335" s="46"/>
      <c r="M335" s="21">
        <v>1</v>
      </c>
    </row>
    <row r="336" spans="2:13" ht="18">
      <c r="B336" s="41">
        <v>12</v>
      </c>
      <c r="C336" s="41"/>
      <c r="D336" s="41"/>
      <c r="E336" s="41"/>
      <c r="F336" s="41"/>
      <c r="G336" s="46"/>
      <c r="M336" s="21">
        <v>1</v>
      </c>
    </row>
    <row r="337" spans="2:13" ht="18">
      <c r="B337" s="41">
        <v>12</v>
      </c>
      <c r="C337" s="41"/>
      <c r="D337" s="41"/>
      <c r="E337" s="41"/>
      <c r="F337" s="41"/>
      <c r="G337" s="46"/>
      <c r="M337" s="21">
        <v>1</v>
      </c>
    </row>
    <row r="338" spans="2:13" ht="18">
      <c r="B338" s="41">
        <v>12</v>
      </c>
      <c r="C338" s="41"/>
      <c r="D338" s="41"/>
      <c r="E338" s="41"/>
      <c r="F338" s="41"/>
      <c r="G338" s="46"/>
      <c r="M338" s="21">
        <v>1</v>
      </c>
    </row>
    <row r="339" spans="2:13" ht="18">
      <c r="B339" s="41">
        <v>12</v>
      </c>
      <c r="C339" s="41"/>
      <c r="D339" s="41"/>
      <c r="E339" s="41"/>
      <c r="F339" s="41"/>
      <c r="G339" s="46"/>
      <c r="M339" s="21">
        <v>1</v>
      </c>
    </row>
    <row r="340" spans="2:13" ht="18">
      <c r="B340" s="41">
        <v>12</v>
      </c>
      <c r="C340" s="41"/>
      <c r="D340" s="41"/>
      <c r="E340" s="41"/>
      <c r="F340" s="41"/>
      <c r="G340" s="46"/>
      <c r="M340" s="21">
        <v>1</v>
      </c>
    </row>
    <row r="341" spans="2:13" ht="18">
      <c r="B341" s="41">
        <v>12</v>
      </c>
      <c r="C341" s="41"/>
      <c r="D341" s="41"/>
      <c r="E341" s="41"/>
      <c r="F341" s="41"/>
      <c r="G341" s="46"/>
      <c r="M341" s="21">
        <v>1</v>
      </c>
    </row>
    <row r="342" spans="2:13" ht="18">
      <c r="B342" s="41">
        <v>12</v>
      </c>
      <c r="C342" s="41"/>
      <c r="D342" s="41"/>
      <c r="E342" s="41"/>
      <c r="F342" s="41"/>
      <c r="G342" s="46"/>
      <c r="M342" s="21">
        <v>1</v>
      </c>
    </row>
    <row r="343" spans="2:13" ht="18">
      <c r="B343" s="41">
        <v>12</v>
      </c>
      <c r="C343" s="41"/>
      <c r="D343" s="41"/>
      <c r="E343" s="41"/>
      <c r="F343" s="41"/>
      <c r="G343" s="46"/>
      <c r="M343" s="21">
        <v>1</v>
      </c>
    </row>
    <row r="344" spans="2:13" ht="18">
      <c r="B344" s="41">
        <v>12</v>
      </c>
      <c r="C344" s="41"/>
      <c r="D344" s="41"/>
      <c r="E344" s="41"/>
      <c r="F344" s="41"/>
      <c r="G344" s="46"/>
      <c r="M344" s="21">
        <v>1</v>
      </c>
    </row>
    <row r="345" spans="2:13" ht="18">
      <c r="B345" s="41">
        <v>12</v>
      </c>
      <c r="C345" s="41"/>
      <c r="D345" s="41"/>
      <c r="E345" s="41"/>
      <c r="F345" s="41"/>
      <c r="G345" s="46"/>
      <c r="M345" s="21">
        <v>1</v>
      </c>
    </row>
    <row r="346" spans="2:13" ht="18">
      <c r="B346" s="41">
        <v>12</v>
      </c>
      <c r="C346" s="41"/>
      <c r="D346" s="41"/>
      <c r="E346" s="41"/>
      <c r="F346" s="41"/>
      <c r="G346" s="46"/>
      <c r="M346" s="21">
        <v>1</v>
      </c>
    </row>
    <row r="347" spans="2:13" ht="18">
      <c r="B347" s="41">
        <v>12</v>
      </c>
      <c r="C347" s="41"/>
      <c r="D347" s="41"/>
      <c r="E347" s="41"/>
      <c r="F347" s="41"/>
      <c r="G347" s="46"/>
      <c r="M347" s="21">
        <v>1</v>
      </c>
    </row>
    <row r="348" spans="2:13" ht="18">
      <c r="B348" s="41">
        <v>12</v>
      </c>
      <c r="C348" s="41"/>
      <c r="D348" s="41"/>
      <c r="E348" s="41"/>
      <c r="F348" s="41"/>
      <c r="G348" s="46"/>
      <c r="M348" s="21">
        <v>1</v>
      </c>
    </row>
    <row r="349" spans="2:13" ht="18">
      <c r="B349" s="41">
        <v>12</v>
      </c>
      <c r="C349" s="41"/>
      <c r="D349" s="41"/>
      <c r="E349" s="41"/>
      <c r="F349" s="41"/>
      <c r="G349" s="46"/>
      <c r="M349" s="21">
        <v>1</v>
      </c>
    </row>
    <row r="350" spans="2:13" ht="18">
      <c r="B350" s="41">
        <v>12</v>
      </c>
      <c r="C350" s="41"/>
      <c r="D350" s="41"/>
      <c r="E350" s="41"/>
      <c r="F350" s="41"/>
      <c r="G350" s="46"/>
      <c r="M350" s="21">
        <v>1</v>
      </c>
    </row>
    <row r="351" spans="2:13" ht="18">
      <c r="B351" s="41">
        <v>12</v>
      </c>
      <c r="C351" s="41"/>
      <c r="D351" s="41"/>
      <c r="E351" s="41"/>
      <c r="F351" s="41"/>
      <c r="G351" s="46"/>
      <c r="M351" s="21">
        <v>1</v>
      </c>
    </row>
    <row r="352" spans="2:13" ht="18">
      <c r="B352" s="41">
        <v>12</v>
      </c>
      <c r="C352" s="41"/>
      <c r="D352" s="41"/>
      <c r="E352" s="41"/>
      <c r="F352" s="41"/>
      <c r="G352" s="46"/>
      <c r="M352" s="21">
        <v>1</v>
      </c>
    </row>
    <row r="353" spans="2:13" ht="18">
      <c r="B353" s="41">
        <v>12</v>
      </c>
      <c r="C353" s="41"/>
      <c r="D353" s="41"/>
      <c r="E353" s="41"/>
      <c r="F353" s="41"/>
      <c r="G353" s="46"/>
      <c r="M353" s="21">
        <v>1</v>
      </c>
    </row>
    <row r="354" spans="2:13" ht="18">
      <c r="B354" s="41">
        <v>12</v>
      </c>
      <c r="C354" s="41"/>
      <c r="D354" s="41"/>
      <c r="E354" s="41"/>
      <c r="F354" s="41"/>
      <c r="G354" s="46"/>
      <c r="M354" s="21">
        <v>1</v>
      </c>
    </row>
    <row r="355" spans="2:13" ht="18">
      <c r="B355" s="41">
        <v>12</v>
      </c>
      <c r="C355" s="41"/>
      <c r="D355" s="41"/>
      <c r="E355" s="41"/>
      <c r="F355" s="41"/>
      <c r="G355" s="46"/>
      <c r="M355" s="21">
        <v>1</v>
      </c>
    </row>
    <row r="356" spans="2:13" ht="18">
      <c r="B356" s="41">
        <v>12</v>
      </c>
      <c r="C356" s="41"/>
      <c r="D356" s="41"/>
      <c r="E356" s="41"/>
      <c r="F356" s="41"/>
      <c r="G356" s="46"/>
      <c r="M356" s="21">
        <v>1</v>
      </c>
    </row>
    <row r="357" spans="2:13" ht="18">
      <c r="B357" s="41">
        <v>12</v>
      </c>
      <c r="C357" s="41"/>
      <c r="D357" s="41"/>
      <c r="E357" s="41"/>
      <c r="F357" s="41"/>
      <c r="G357" s="46"/>
      <c r="M357" s="21">
        <v>1</v>
      </c>
    </row>
    <row r="358" spans="2:13" ht="18">
      <c r="B358" s="41">
        <v>12</v>
      </c>
      <c r="C358" s="41"/>
      <c r="D358" s="41"/>
      <c r="E358" s="41"/>
      <c r="F358" s="41"/>
      <c r="G358" s="46"/>
      <c r="M358" s="21">
        <v>1</v>
      </c>
    </row>
    <row r="359" spans="2:13" ht="18">
      <c r="B359" s="41">
        <v>12</v>
      </c>
      <c r="C359" s="41"/>
      <c r="D359" s="41"/>
      <c r="E359" s="41"/>
      <c r="F359" s="41"/>
      <c r="G359" s="46"/>
      <c r="M359" s="21">
        <v>1</v>
      </c>
    </row>
    <row r="360" spans="2:13" ht="18">
      <c r="B360" s="41">
        <v>12</v>
      </c>
      <c r="C360" s="41"/>
      <c r="D360" s="41"/>
      <c r="E360" s="41"/>
      <c r="F360" s="41"/>
      <c r="G360" s="46"/>
      <c r="M360" s="21">
        <v>1</v>
      </c>
    </row>
    <row r="361" spans="2:13" ht="18">
      <c r="B361" s="41">
        <v>12</v>
      </c>
      <c r="C361" s="41"/>
      <c r="D361" s="41"/>
      <c r="E361" s="41"/>
      <c r="F361" s="41"/>
      <c r="G361" s="46"/>
      <c r="M361" s="21">
        <v>1</v>
      </c>
    </row>
    <row r="362" spans="2:13" ht="18">
      <c r="B362" s="41">
        <v>12</v>
      </c>
      <c r="C362" s="41"/>
      <c r="D362" s="41"/>
      <c r="E362" s="41"/>
      <c r="F362" s="41"/>
      <c r="G362" s="46"/>
      <c r="M362" s="21">
        <v>1</v>
      </c>
    </row>
    <row r="363" spans="2:13" ht="18">
      <c r="B363" s="41">
        <v>12</v>
      </c>
      <c r="C363" s="41"/>
      <c r="D363" s="41"/>
      <c r="E363" s="41"/>
      <c r="F363" s="41"/>
      <c r="G363" s="46"/>
      <c r="M363" s="21">
        <v>1</v>
      </c>
    </row>
    <row r="364" spans="2:13" ht="18">
      <c r="B364" s="41">
        <v>12</v>
      </c>
      <c r="C364" s="41"/>
      <c r="D364" s="41"/>
      <c r="E364" s="41"/>
      <c r="F364" s="41"/>
      <c r="G364" s="46"/>
      <c r="M364" s="21">
        <v>1</v>
      </c>
    </row>
    <row r="365" spans="2:13" ht="18">
      <c r="B365" s="41">
        <v>12</v>
      </c>
      <c r="C365" s="41"/>
      <c r="D365" s="41"/>
      <c r="E365" s="41"/>
      <c r="F365" s="41"/>
      <c r="G365" s="46"/>
      <c r="M365" s="21">
        <v>1</v>
      </c>
    </row>
    <row r="366" spans="2:13" ht="18">
      <c r="B366" s="41">
        <v>12</v>
      </c>
      <c r="C366" s="41"/>
      <c r="D366" s="41"/>
      <c r="E366" s="41"/>
      <c r="F366" s="41"/>
      <c r="G366" s="46"/>
      <c r="M366" s="21">
        <v>1</v>
      </c>
    </row>
    <row r="367" spans="2:13" ht="18">
      <c r="B367" s="41">
        <v>12</v>
      </c>
      <c r="C367" s="41"/>
      <c r="D367" s="41"/>
      <c r="E367" s="41"/>
      <c r="F367" s="41"/>
      <c r="G367" s="46"/>
      <c r="M367" s="21">
        <v>1</v>
      </c>
    </row>
    <row r="368" spans="2:13" ht="18">
      <c r="B368" s="41">
        <v>12</v>
      </c>
      <c r="C368" s="41"/>
      <c r="D368" s="41"/>
      <c r="E368" s="41"/>
      <c r="F368" s="41"/>
      <c r="G368" s="46"/>
      <c r="M368" s="21">
        <v>1</v>
      </c>
    </row>
    <row r="369" spans="2:13" ht="18">
      <c r="B369" s="41">
        <v>12</v>
      </c>
      <c r="C369" s="41"/>
      <c r="D369" s="41"/>
      <c r="E369" s="41"/>
      <c r="F369" s="41"/>
      <c r="G369" s="46"/>
      <c r="M369" s="21">
        <v>1</v>
      </c>
    </row>
    <row r="370" spans="2:13" ht="18">
      <c r="B370" s="41">
        <v>12</v>
      </c>
      <c r="C370" s="41"/>
      <c r="D370" s="41"/>
      <c r="E370" s="41"/>
      <c r="F370" s="41"/>
      <c r="G370" s="46"/>
      <c r="M370" s="21">
        <v>1</v>
      </c>
    </row>
    <row r="371" spans="2:13" ht="18">
      <c r="B371" s="41">
        <v>12</v>
      </c>
      <c r="C371" s="41"/>
      <c r="D371" s="41"/>
      <c r="E371" s="41"/>
      <c r="F371" s="41"/>
      <c r="G371" s="46"/>
      <c r="M371" s="21">
        <v>1</v>
      </c>
    </row>
    <row r="372" spans="2:13" ht="18">
      <c r="B372" s="41">
        <v>12</v>
      </c>
      <c r="C372" s="41"/>
      <c r="D372" s="41"/>
      <c r="E372" s="41"/>
      <c r="F372" s="41"/>
      <c r="G372" s="46"/>
      <c r="M372" s="21">
        <v>1</v>
      </c>
    </row>
    <row r="373" spans="2:13" ht="18">
      <c r="B373" s="41">
        <v>12</v>
      </c>
      <c r="C373" s="41"/>
      <c r="D373" s="41"/>
      <c r="E373" s="41"/>
      <c r="F373" s="41"/>
      <c r="G373" s="46"/>
      <c r="M373" s="21">
        <v>1</v>
      </c>
    </row>
    <row r="374" spans="2:13" ht="18">
      <c r="B374" s="41">
        <v>12</v>
      </c>
      <c r="C374" s="41"/>
      <c r="D374" s="41"/>
      <c r="E374" s="41"/>
      <c r="F374" s="41"/>
      <c r="G374" s="46"/>
      <c r="M374" s="21">
        <v>1</v>
      </c>
    </row>
    <row r="375" spans="2:13" ht="18">
      <c r="B375" s="41">
        <v>12</v>
      </c>
      <c r="C375" s="41"/>
      <c r="D375" s="41"/>
      <c r="E375" s="41"/>
      <c r="F375" s="41"/>
      <c r="G375" s="46"/>
      <c r="M375" s="21">
        <v>1</v>
      </c>
    </row>
    <row r="376" spans="2:13" ht="18">
      <c r="B376" s="41">
        <v>12</v>
      </c>
      <c r="C376" s="41"/>
      <c r="D376" s="41"/>
      <c r="E376" s="41"/>
      <c r="F376" s="41"/>
      <c r="G376" s="46"/>
      <c r="M376" s="21">
        <v>1</v>
      </c>
    </row>
    <row r="377" spans="2:13" ht="18">
      <c r="B377" s="41">
        <v>12</v>
      </c>
      <c r="C377" s="41"/>
      <c r="D377" s="41"/>
      <c r="E377" s="41"/>
      <c r="F377" s="41"/>
      <c r="G377" s="46"/>
      <c r="M377" s="21">
        <v>1</v>
      </c>
    </row>
    <row r="378" spans="2:13" ht="18">
      <c r="B378" s="41">
        <v>12</v>
      </c>
      <c r="C378" s="41"/>
      <c r="D378" s="41"/>
      <c r="E378" s="41"/>
      <c r="F378" s="41"/>
      <c r="G378" s="46"/>
      <c r="M378" s="21">
        <v>1</v>
      </c>
    </row>
    <row r="379" spans="2:13" ht="18">
      <c r="B379" s="41">
        <v>12</v>
      </c>
      <c r="C379" s="41"/>
      <c r="D379" s="41"/>
      <c r="E379" s="41"/>
      <c r="F379" s="41"/>
      <c r="G379" s="46"/>
      <c r="M379" s="21">
        <v>1</v>
      </c>
    </row>
    <row r="380" spans="2:13" ht="18">
      <c r="B380" s="41">
        <v>12</v>
      </c>
      <c r="C380" s="41"/>
      <c r="D380" s="41"/>
      <c r="E380" s="41"/>
      <c r="F380" s="41"/>
      <c r="G380" s="46"/>
      <c r="M380" s="21">
        <v>1</v>
      </c>
    </row>
    <row r="381" spans="2:13" ht="18">
      <c r="B381" s="41">
        <v>12</v>
      </c>
      <c r="C381" s="41"/>
      <c r="D381" s="41"/>
      <c r="E381" s="41"/>
      <c r="F381" s="41"/>
      <c r="G381" s="46"/>
      <c r="M381" s="21">
        <v>1</v>
      </c>
    </row>
    <row r="382" spans="2:13" ht="18">
      <c r="B382" s="41">
        <v>12</v>
      </c>
      <c r="C382" s="41"/>
      <c r="D382" s="41"/>
      <c r="E382" s="41"/>
      <c r="F382" s="41"/>
      <c r="G382" s="46"/>
      <c r="M382" s="21">
        <v>1</v>
      </c>
    </row>
    <row r="383" spans="2:13" ht="18">
      <c r="B383" s="41">
        <v>12</v>
      </c>
      <c r="C383" s="41"/>
      <c r="D383" s="41"/>
      <c r="E383" s="41"/>
      <c r="F383" s="41"/>
      <c r="G383" s="46"/>
      <c r="M383" s="21">
        <v>1</v>
      </c>
    </row>
    <row r="384" spans="2:13" ht="18">
      <c r="B384" s="41">
        <v>12</v>
      </c>
      <c r="C384" s="41"/>
      <c r="D384" s="41"/>
      <c r="E384" s="41"/>
      <c r="F384" s="41"/>
      <c r="G384" s="46"/>
      <c r="M384" s="21">
        <v>1</v>
      </c>
    </row>
    <row r="385" spans="2:13" ht="18">
      <c r="B385" s="41">
        <v>12</v>
      </c>
      <c r="C385" s="41"/>
      <c r="D385" s="41"/>
      <c r="E385" s="41"/>
      <c r="F385" s="41"/>
      <c r="G385" s="46"/>
      <c r="M385" s="21">
        <v>1</v>
      </c>
    </row>
    <row r="386" spans="2:13" ht="18">
      <c r="B386" s="41">
        <v>12</v>
      </c>
      <c r="C386" s="41"/>
      <c r="D386" s="41"/>
      <c r="E386" s="41"/>
      <c r="F386" s="41"/>
      <c r="G386" s="46"/>
      <c r="M386" s="21">
        <v>1</v>
      </c>
    </row>
    <row r="387" spans="2:13" ht="18">
      <c r="B387" s="41">
        <v>12</v>
      </c>
      <c r="C387" s="41"/>
      <c r="D387" s="41"/>
      <c r="E387" s="41"/>
      <c r="F387" s="41"/>
      <c r="G387" s="46"/>
      <c r="M387" s="21">
        <v>1</v>
      </c>
    </row>
    <row r="388" spans="2:13" ht="18">
      <c r="B388" s="41">
        <v>12</v>
      </c>
      <c r="C388" s="41"/>
      <c r="D388" s="41"/>
      <c r="E388" s="41"/>
      <c r="F388" s="41"/>
      <c r="G388" s="46"/>
      <c r="M388" s="21">
        <v>1</v>
      </c>
    </row>
    <row r="389" spans="2:13" ht="18">
      <c r="B389" s="41">
        <v>12</v>
      </c>
      <c r="C389" s="41"/>
      <c r="D389" s="41"/>
      <c r="E389" s="41"/>
      <c r="F389" s="41"/>
      <c r="G389" s="46"/>
      <c r="M389" s="21">
        <v>1</v>
      </c>
    </row>
    <row r="390" spans="2:13" ht="18">
      <c r="B390" s="41">
        <v>12</v>
      </c>
      <c r="C390" s="41"/>
      <c r="D390" s="41"/>
      <c r="E390" s="41"/>
      <c r="F390" s="41"/>
      <c r="G390" s="46"/>
      <c r="M390" s="21">
        <v>1</v>
      </c>
    </row>
    <row r="391" spans="2:13" ht="18">
      <c r="B391" s="41">
        <v>12</v>
      </c>
      <c r="C391" s="41"/>
      <c r="D391" s="41"/>
      <c r="E391" s="41"/>
      <c r="F391" s="41"/>
      <c r="G391" s="46"/>
      <c r="M391" s="21">
        <v>1</v>
      </c>
    </row>
    <row r="392" spans="2:13" ht="18">
      <c r="B392" s="41">
        <v>12</v>
      </c>
      <c r="C392" s="41"/>
      <c r="D392" s="41"/>
      <c r="E392" s="41"/>
      <c r="F392" s="41"/>
      <c r="G392" s="46"/>
      <c r="M392" s="21">
        <v>1</v>
      </c>
    </row>
    <row r="393" spans="2:13" ht="18">
      <c r="B393" s="41">
        <v>12</v>
      </c>
      <c r="C393" s="41"/>
      <c r="D393" s="41"/>
      <c r="E393" s="41"/>
      <c r="F393" s="41"/>
      <c r="G393" s="46"/>
      <c r="M393" s="21">
        <v>1</v>
      </c>
    </row>
    <row r="394" spans="2:13" ht="18">
      <c r="B394" s="41">
        <v>12</v>
      </c>
      <c r="C394" s="41"/>
      <c r="D394" s="41"/>
      <c r="E394" s="41"/>
      <c r="F394" s="41"/>
      <c r="G394" s="46"/>
      <c r="M394" s="21">
        <v>1</v>
      </c>
    </row>
    <row r="395" spans="2:13" ht="18">
      <c r="B395" s="41">
        <v>12</v>
      </c>
      <c r="C395" s="41"/>
      <c r="D395" s="41"/>
      <c r="E395" s="41"/>
      <c r="F395" s="41"/>
      <c r="G395" s="46"/>
      <c r="M395" s="21">
        <v>1</v>
      </c>
    </row>
    <row r="396" spans="2:13" ht="18">
      <c r="B396" s="41">
        <v>12</v>
      </c>
      <c r="C396" s="41"/>
      <c r="D396" s="41"/>
      <c r="E396" s="41"/>
      <c r="F396" s="41"/>
      <c r="G396" s="46"/>
      <c r="M396" s="21">
        <v>1</v>
      </c>
    </row>
    <row r="397" spans="2:13" ht="18">
      <c r="B397" s="41">
        <v>12</v>
      </c>
      <c r="C397" s="41"/>
      <c r="D397" s="41"/>
      <c r="E397" s="41"/>
      <c r="F397" s="41"/>
      <c r="G397" s="46"/>
      <c r="M397" s="21">
        <v>1</v>
      </c>
    </row>
    <row r="398" spans="2:13" ht="18">
      <c r="B398" s="41">
        <v>12</v>
      </c>
      <c r="C398" s="41"/>
      <c r="D398" s="41"/>
      <c r="E398" s="41"/>
      <c r="F398" s="41"/>
      <c r="G398" s="46"/>
      <c r="M398" s="21">
        <v>1</v>
      </c>
    </row>
    <row r="399" spans="2:13" ht="18">
      <c r="B399" s="41">
        <v>12</v>
      </c>
      <c r="C399" s="41"/>
      <c r="D399" s="41"/>
      <c r="E399" s="41"/>
      <c r="F399" s="41"/>
      <c r="G399" s="46"/>
      <c r="M399" s="21">
        <v>1</v>
      </c>
    </row>
    <row r="400" spans="2:13" ht="18">
      <c r="B400" s="41">
        <v>12</v>
      </c>
      <c r="C400" s="41"/>
      <c r="D400" s="41"/>
      <c r="E400" s="41"/>
      <c r="F400" s="41"/>
      <c r="G400" s="46"/>
      <c r="M400" s="21">
        <v>1</v>
      </c>
    </row>
    <row r="401" spans="2:13" ht="18">
      <c r="B401" s="41">
        <v>12</v>
      </c>
      <c r="C401" s="41"/>
      <c r="D401" s="41"/>
      <c r="E401" s="41"/>
      <c r="F401" s="41"/>
      <c r="G401" s="46"/>
      <c r="M401" s="21">
        <v>1</v>
      </c>
    </row>
    <row r="402" spans="2:13" ht="18">
      <c r="B402" s="41">
        <v>12</v>
      </c>
      <c r="C402" s="41"/>
      <c r="D402" s="41"/>
      <c r="E402" s="41"/>
      <c r="F402" s="41"/>
      <c r="G402" s="46"/>
      <c r="M402" s="21">
        <v>1</v>
      </c>
    </row>
    <row r="403" spans="2:13" ht="18">
      <c r="B403" s="41">
        <v>12</v>
      </c>
      <c r="C403" s="41"/>
      <c r="D403" s="41"/>
      <c r="E403" s="41"/>
      <c r="F403" s="41"/>
      <c r="G403" s="46"/>
      <c r="M403" s="21">
        <v>1</v>
      </c>
    </row>
    <row r="404" spans="2:13" ht="18">
      <c r="B404" s="41">
        <v>12</v>
      </c>
      <c r="C404" s="41"/>
      <c r="D404" s="41"/>
      <c r="E404" s="41"/>
      <c r="F404" s="41"/>
      <c r="G404" s="46"/>
      <c r="M404" s="21">
        <v>1</v>
      </c>
    </row>
    <row r="405" spans="2:13" ht="18">
      <c r="B405" s="41">
        <v>12</v>
      </c>
      <c r="C405" s="41"/>
      <c r="D405" s="41"/>
      <c r="E405" s="41"/>
      <c r="F405" s="41"/>
      <c r="G405" s="46"/>
      <c r="M405" s="21">
        <v>1</v>
      </c>
    </row>
    <row r="406" spans="2:13" ht="18">
      <c r="B406" s="41">
        <v>12</v>
      </c>
      <c r="C406" s="41"/>
      <c r="D406" s="41"/>
      <c r="E406" s="41"/>
      <c r="F406" s="41"/>
      <c r="G406" s="46"/>
      <c r="M406" s="21">
        <v>1</v>
      </c>
    </row>
    <row r="407" spans="2:13" ht="18">
      <c r="B407" s="41"/>
      <c r="C407" s="41"/>
      <c r="D407" s="41"/>
      <c r="E407" s="41"/>
      <c r="F407" s="41"/>
      <c r="G407" s="46"/>
      <c r="M407" s="21">
        <v>1</v>
      </c>
    </row>
    <row r="408" spans="2:13" ht="18">
      <c r="B408" s="41"/>
      <c r="C408" s="41"/>
      <c r="D408" s="41"/>
      <c r="E408" s="41"/>
      <c r="F408" s="41"/>
      <c r="G408" s="46"/>
      <c r="M408" s="21">
        <v>1</v>
      </c>
    </row>
    <row r="409" spans="2:13" ht="27.75" thickBot="1">
      <c r="B409" s="42" t="s">
        <v>3</v>
      </c>
      <c r="C409" s="42" t="s">
        <v>3</v>
      </c>
      <c r="D409" s="42" t="s">
        <v>3</v>
      </c>
      <c r="E409" s="43" t="s">
        <v>3</v>
      </c>
      <c r="F409" s="43" t="s">
        <v>3</v>
      </c>
      <c r="G409" s="44" t="s">
        <v>3</v>
      </c>
      <c r="M409" s="21" t="s">
        <v>3</v>
      </c>
    </row>
    <row r="410" spans="2:13" ht="13.5" thickTop="1"/>
  </sheetData>
  <sheetProtection sheet="1" objects="1" scenarios="1" selectLockedCells="1"/>
  <customSheetViews>
    <customSheetView guid="{2EA3A6B8-61D5-4EF1-87B1-B14945A241CD}" showGridLines="0" showRowCol="0">
      <pane ySplit="8" topLeftCell="A209" activePane="bottomLeft" state="frozen"/>
      <selection pane="bottomLeft" activeCell="I4" sqref="I4"/>
      <pageMargins left="0.7" right="0.7" top="0.75" bottom="0.75" header="0.3" footer="0.3"/>
    </customSheetView>
    <customSheetView guid="{242CE75B-5318-4B80-8985-D15BFA50C3F5}" showGridLines="0" showRowCol="0">
      <pane ySplit="7" topLeftCell="A9" activePane="bottomLeft" state="frozen"/>
      <selection pane="bottomLeft" activeCell="G13" sqref="G13"/>
      <pageMargins left="0.7" right="0.7" top="0.75" bottom="0.75" header="0.3" footer="0.3"/>
    </customSheetView>
    <customSheetView guid="{CA30A091-FDE4-4C31-B428-76E484062E02}" showGridLines="0" showRowCol="0">
      <pane ySplit="8" topLeftCell="A9" activePane="bottomLeft" state="frozen"/>
      <selection pane="bottomLeft" activeCell="I4" sqref="I4"/>
      <pageMargins left="0.7" right="0.7" top="0.75" bottom="0.75" header="0.3" footer="0.3"/>
    </customSheetView>
  </customSheetViews>
  <mergeCells count="4">
    <mergeCell ref="N9:O9"/>
    <mergeCell ref="P8:R8"/>
    <mergeCell ref="S8:U8"/>
    <mergeCell ref="V8:X8"/>
  </mergeCells>
  <dataValidations count="4">
    <dataValidation type="list" allowBlank="1" showDropDown="1" showInputMessage="1" showErrorMessage="1" sqref="D9:D408">
      <formula1>$O$10:$O$29</formula1>
    </dataValidation>
    <dataValidation type="list" allowBlank="1" showDropDown="1" showInputMessage="1" showErrorMessage="1" sqref="C13:C408 C9:C11">
      <formula1>$O$32:$O$51</formula1>
    </dataValidation>
    <dataValidation type="list" allowBlank="1" showDropDown="1" showInputMessage="1" showErrorMessage="1" sqref="B9:B408">
      <formula1>$B$6</formula1>
    </dataValidation>
    <dataValidation allowBlank="1" showInputMessage="1" showErrorMessage="1" errorTitle="Dato no valido" error="El valor esta fuera de rango [0,30] o No es un numero" sqref="E9:G408"/>
  </dataValidations>
  <hyperlinks>
    <hyperlink ref="I2" location="PPrincipal!A1" display="* Pagina Principal"/>
    <hyperlink ref="I3" location="Barinas!A1" display="Barinas"/>
    <hyperlink ref="I4" location="Táchira!A1" display="Táchira"/>
    <hyperlink ref="I5" location="Trujillo!A1" display="Trujillo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topLeftCell="A7" workbookViewId="0">
      <selection activeCell="J3" sqref="J3"/>
    </sheetView>
  </sheetViews>
  <sheetFormatPr baseColWidth="10" defaultColWidth="15.7109375" defaultRowHeight="22.5" customHeight="1"/>
  <cols>
    <col min="1" max="16384" width="15.7109375" style="53"/>
  </cols>
  <sheetData>
    <row r="1" spans="1:11" ht="15" customHeight="1">
      <c r="J1" s="86"/>
    </row>
    <row r="2" spans="1:11" ht="15" customHeight="1">
      <c r="J2" s="79" t="s">
        <v>7</v>
      </c>
      <c r="K2" s="108"/>
    </row>
    <row r="3" spans="1:11" ht="15" customHeight="1">
      <c r="J3" s="79" t="s">
        <v>80</v>
      </c>
      <c r="K3" s="108"/>
    </row>
    <row r="4" spans="1:11" ht="15" customHeight="1">
      <c r="J4" s="79" t="s">
        <v>82</v>
      </c>
      <c r="K4" s="108"/>
    </row>
    <row r="5" spans="1:11" ht="15" customHeight="1">
      <c r="G5" s="56"/>
      <c r="J5" s="79" t="s">
        <v>83</v>
      </c>
      <c r="K5" s="108"/>
    </row>
    <row r="6" spans="1:11" ht="15" customHeight="1">
      <c r="A6" s="169" t="s">
        <v>46</v>
      </c>
      <c r="B6" s="169"/>
      <c r="C6" s="169"/>
      <c r="D6" s="169"/>
      <c r="E6" s="169"/>
      <c r="F6" s="169"/>
    </row>
    <row r="25" spans="2:7" ht="22.5" customHeight="1">
      <c r="B25" s="169"/>
      <c r="C25" s="169"/>
      <c r="D25" s="169"/>
      <c r="E25" s="169"/>
      <c r="F25" s="169"/>
      <c r="G25" s="169"/>
    </row>
    <row r="44" spans="7:7" ht="22.5" customHeight="1">
      <c r="G44" s="56"/>
    </row>
  </sheetData>
  <customSheetViews>
    <customSheetView guid="{2EA3A6B8-61D5-4EF1-87B1-B14945A241CD}" showGridLines="0" showRowCol="0" topLeftCell="A7">
      <selection activeCell="J3" sqref="J3"/>
      <pageMargins left="0.7" right="0.7" top="0.75" bottom="0.75" header="0.3" footer="0.3"/>
    </customSheetView>
    <customSheetView guid="{242CE75B-5318-4B80-8985-D15BFA50C3F5}" showPageBreaks="1" showGridLines="0" showRowCol="0" printArea="1" view="pageBreakPreview"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53" orientation="landscape" verticalDpi="0" r:id="rId1"/>
    </customSheetView>
    <customSheetView guid="{CA30A091-FDE4-4C31-B428-76E484062E02}" showGridLines="0" showRowCol="0" topLeftCell="A7">
      <selection activeCell="J3" sqref="J3"/>
      <pageMargins left="0.7" right="0.7" top="0.75" bottom="0.75" header="0.3" footer="0.3"/>
    </customSheetView>
  </customSheetViews>
  <mergeCells count="2">
    <mergeCell ref="A6:F6"/>
    <mergeCell ref="B25:G25"/>
  </mergeCells>
  <hyperlinks>
    <hyperlink ref="J2" location="PPrincipal!A1" display="* Pagina Principal"/>
    <hyperlink ref="J3" location="GBarinas!A1" display="Barinas"/>
    <hyperlink ref="J4" location="GTáchira!A1" display="Táchira"/>
    <hyperlink ref="J5" location="GTrujillo!A1" display="Trujillo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36"/>
  <sheetViews>
    <sheetView showGridLines="0" showRowColHeaders="0" workbookViewId="0">
      <selection activeCell="Y4" sqref="Y4"/>
    </sheetView>
  </sheetViews>
  <sheetFormatPr baseColWidth="10" defaultColWidth="5.85546875" defaultRowHeight="15" customHeight="1"/>
  <cols>
    <col min="1" max="1" width="1.140625" style="67" customWidth="1"/>
    <col min="2" max="2" width="7.28515625" style="67" customWidth="1"/>
    <col min="3" max="13" width="5.5703125" style="67" customWidth="1"/>
    <col min="14" max="14" width="5.5703125" style="68" customWidth="1"/>
    <col min="15" max="22" width="5.5703125" style="67" customWidth="1"/>
    <col min="23" max="23" width="1" style="67" customWidth="1"/>
    <col min="24" max="24" width="17.7109375" style="67" customWidth="1"/>
    <col min="25" max="25" width="12.85546875" style="67" customWidth="1"/>
    <col min="26" max="26" width="12.7109375" style="67" customWidth="1"/>
    <col min="27" max="27" width="10.42578125" style="67" customWidth="1"/>
    <col min="28" max="16384" width="5.85546875" style="67"/>
  </cols>
  <sheetData>
    <row r="1" spans="1:29" ht="31.5" customHeight="1">
      <c r="A1" s="67" t="s">
        <v>14</v>
      </c>
      <c r="B1" s="170" t="s">
        <v>47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</row>
    <row r="2" spans="1:29" ht="15" customHeight="1">
      <c r="C2" s="84"/>
      <c r="I2" s="78"/>
      <c r="J2" s="78"/>
      <c r="Y2" s="79" t="s">
        <v>7</v>
      </c>
      <c r="Z2" s="84"/>
      <c r="AA2" s="85"/>
      <c r="AB2" s="85"/>
      <c r="AC2" s="85"/>
    </row>
    <row r="3" spans="1:29" ht="15" customHeight="1">
      <c r="J3" s="78"/>
      <c r="Y3" s="79" t="s">
        <v>80</v>
      </c>
    </row>
    <row r="4" spans="1:29" ht="15" customHeight="1">
      <c r="C4" s="84"/>
      <c r="I4" s="78"/>
      <c r="J4" s="78"/>
      <c r="Y4" s="79" t="s">
        <v>82</v>
      </c>
      <c r="Z4" s="84"/>
      <c r="AA4" s="85"/>
      <c r="AB4" s="85"/>
      <c r="AC4" s="85"/>
    </row>
    <row r="5" spans="1:29" ht="15" customHeight="1">
      <c r="C5" s="84"/>
      <c r="I5" s="78"/>
      <c r="J5" s="78"/>
      <c r="Y5" s="79" t="s">
        <v>83</v>
      </c>
      <c r="Z5" s="84"/>
      <c r="AA5" s="85"/>
      <c r="AB5" s="85"/>
      <c r="AC5" s="85"/>
    </row>
    <row r="6" spans="1:29" s="1" customFormat="1" ht="30.75" customHeight="1" thickBot="1">
      <c r="A6" s="57"/>
      <c r="B6" s="64"/>
      <c r="C6" s="64"/>
      <c r="D6" s="64"/>
      <c r="E6" s="64"/>
      <c r="F6" s="64"/>
      <c r="G6" s="64"/>
      <c r="H6" s="64"/>
      <c r="I6" s="64"/>
      <c r="J6" s="64"/>
      <c r="K6" s="64"/>
      <c r="L6" s="67"/>
      <c r="M6" s="67"/>
      <c r="N6" s="68"/>
      <c r="O6" s="67"/>
      <c r="P6" s="67"/>
      <c r="Q6" s="67"/>
      <c r="R6" s="67"/>
      <c r="S6" s="67"/>
      <c r="T6" s="67"/>
      <c r="U6" s="67"/>
      <c r="V6" s="67"/>
    </row>
    <row r="7" spans="1:29" s="65" customFormat="1" ht="15" customHeight="1">
      <c r="A7" s="58"/>
      <c r="B7" s="71" t="s">
        <v>0</v>
      </c>
      <c r="C7" s="80">
        <v>0.3125</v>
      </c>
      <c r="D7" s="81">
        <v>0.33333333333333298</v>
      </c>
      <c r="E7" s="81">
        <v>0.35416666666666702</v>
      </c>
      <c r="F7" s="81">
        <v>0.375</v>
      </c>
      <c r="G7" s="81">
        <v>0.39583333333333298</v>
      </c>
      <c r="H7" s="81">
        <v>0.41666666666666702</v>
      </c>
      <c r="I7" s="81">
        <v>0.4375</v>
      </c>
      <c r="J7" s="81">
        <v>0.45833333333333298</v>
      </c>
      <c r="K7" s="81">
        <v>0.47916666666666702</v>
      </c>
      <c r="L7" s="81">
        <v>0.5</v>
      </c>
      <c r="M7" s="81">
        <v>0.52083333333333304</v>
      </c>
      <c r="N7" s="81">
        <v>4.1666666666666664E-2</v>
      </c>
      <c r="O7" s="81">
        <v>6.25E-2</v>
      </c>
      <c r="P7" s="81">
        <v>8.3333333333333329E-2</v>
      </c>
      <c r="Q7" s="81">
        <v>0.104166666666667</v>
      </c>
      <c r="R7" s="81">
        <v>0.125</v>
      </c>
      <c r="S7" s="81">
        <v>0.14583333333333301</v>
      </c>
      <c r="T7" s="81">
        <v>0.16666666666666599</v>
      </c>
      <c r="U7" s="81">
        <v>0.187499999999999</v>
      </c>
      <c r="V7" s="82">
        <v>0.20833333333333201</v>
      </c>
      <c r="X7" s="175" t="s">
        <v>6</v>
      </c>
      <c r="Y7" s="175" t="s">
        <v>43</v>
      </c>
      <c r="Z7" s="175" t="s">
        <v>44</v>
      </c>
      <c r="AA7" s="175" t="s">
        <v>4</v>
      </c>
    </row>
    <row r="8" spans="1:29" ht="15" customHeight="1" thickBot="1">
      <c r="A8" s="66"/>
      <c r="B8" s="148" t="s">
        <v>2</v>
      </c>
      <c r="C8" s="140">
        <v>1</v>
      </c>
      <c r="D8" s="141">
        <v>2</v>
      </c>
      <c r="E8" s="141">
        <v>3</v>
      </c>
      <c r="F8" s="141">
        <v>4</v>
      </c>
      <c r="G8" s="141">
        <v>5</v>
      </c>
      <c r="H8" s="141">
        <v>6</v>
      </c>
      <c r="I8" s="141">
        <v>7</v>
      </c>
      <c r="J8" s="141">
        <v>8</v>
      </c>
      <c r="K8" s="141">
        <v>9</v>
      </c>
      <c r="L8" s="141">
        <v>10</v>
      </c>
      <c r="M8" s="141">
        <v>11</v>
      </c>
      <c r="N8" s="141">
        <v>12</v>
      </c>
      <c r="O8" s="141">
        <v>13</v>
      </c>
      <c r="P8" s="141">
        <v>14</v>
      </c>
      <c r="Q8" s="141">
        <v>15</v>
      </c>
      <c r="R8" s="141">
        <v>16</v>
      </c>
      <c r="S8" s="141">
        <v>17</v>
      </c>
      <c r="T8" s="141">
        <v>18</v>
      </c>
      <c r="U8" s="141">
        <v>19</v>
      </c>
      <c r="V8" s="142">
        <v>20</v>
      </c>
      <c r="X8" s="176"/>
      <c r="Y8" s="176"/>
      <c r="Z8" s="176"/>
      <c r="AA8" s="176"/>
    </row>
    <row r="9" spans="1:29" ht="15" customHeight="1">
      <c r="A9" s="66"/>
      <c r="B9" s="143">
        <v>18</v>
      </c>
      <c r="C9" s="144">
        <f t="shared" ref="C9:L24" si="0">SUMIFS(SumaME,CentroME,$B9,TurnoME,C$8)</f>
        <v>0</v>
      </c>
      <c r="D9" s="144">
        <f t="shared" si="0"/>
        <v>1</v>
      </c>
      <c r="E9" s="144">
        <f t="shared" si="0"/>
        <v>1</v>
      </c>
      <c r="F9" s="144">
        <f t="shared" si="0"/>
        <v>1</v>
      </c>
      <c r="G9" s="144">
        <f t="shared" si="0"/>
        <v>1</v>
      </c>
      <c r="H9" s="144">
        <f t="shared" si="0"/>
        <v>1</v>
      </c>
      <c r="I9" s="144">
        <f t="shared" si="0"/>
        <v>1</v>
      </c>
      <c r="J9" s="144">
        <f t="shared" si="0"/>
        <v>1</v>
      </c>
      <c r="K9" s="144">
        <f t="shared" si="0"/>
        <v>1</v>
      </c>
      <c r="L9" s="144">
        <f t="shared" si="0"/>
        <v>0</v>
      </c>
      <c r="M9" s="144">
        <f t="shared" ref="M9:V24" si="1">SUMIFS(SumaME,CentroME,$B9,TurnoME,M$8)</f>
        <v>1</v>
      </c>
      <c r="N9" s="144">
        <f t="shared" si="1"/>
        <v>1</v>
      </c>
      <c r="O9" s="144">
        <f t="shared" si="1"/>
        <v>0</v>
      </c>
      <c r="P9" s="144">
        <f t="shared" si="1"/>
        <v>0</v>
      </c>
      <c r="Q9" s="144">
        <f t="shared" si="1"/>
        <v>0</v>
      </c>
      <c r="R9" s="144">
        <f t="shared" si="1"/>
        <v>0</v>
      </c>
      <c r="S9" s="144">
        <f t="shared" si="1"/>
        <v>0</v>
      </c>
      <c r="T9" s="144">
        <f t="shared" si="1"/>
        <v>0</v>
      </c>
      <c r="U9" s="144">
        <f t="shared" si="1"/>
        <v>0</v>
      </c>
      <c r="V9" s="145">
        <f t="shared" si="1"/>
        <v>0</v>
      </c>
      <c r="X9" s="97" t="s">
        <v>48</v>
      </c>
      <c r="Y9" s="99">
        <f t="shared" ref="Y9:Y28" si="2">SUMIF(CentroME,$B9,Marcos_Diaz_Orellana)</f>
        <v>52</v>
      </c>
      <c r="Z9" s="99">
        <f t="shared" ref="Z9:Z28" si="3">SUMIF(CentroME,$B9,Williams_Davila)</f>
        <v>80</v>
      </c>
      <c r="AA9" s="99">
        <f t="shared" ref="AA9:AA28" si="4">SUMIF(CentroME,$B9,OtroME)</f>
        <v>0</v>
      </c>
    </row>
    <row r="10" spans="1:29" ht="15" customHeight="1">
      <c r="A10" s="66"/>
      <c r="B10" s="146">
        <v>19</v>
      </c>
      <c r="C10" s="70">
        <f t="shared" si="0"/>
        <v>1</v>
      </c>
      <c r="D10" s="70">
        <f t="shared" si="0"/>
        <v>0</v>
      </c>
      <c r="E10" s="70">
        <f t="shared" si="0"/>
        <v>0</v>
      </c>
      <c r="F10" s="70">
        <f t="shared" si="0"/>
        <v>1</v>
      </c>
      <c r="G10" s="70">
        <f t="shared" si="0"/>
        <v>0</v>
      </c>
      <c r="H10" s="70">
        <f t="shared" si="0"/>
        <v>1</v>
      </c>
      <c r="I10" s="70">
        <f t="shared" si="0"/>
        <v>1</v>
      </c>
      <c r="J10" s="70">
        <f t="shared" si="0"/>
        <v>1</v>
      </c>
      <c r="K10" s="70">
        <f t="shared" si="0"/>
        <v>1</v>
      </c>
      <c r="L10" s="70">
        <f t="shared" si="0"/>
        <v>1</v>
      </c>
      <c r="M10" s="70">
        <f t="shared" si="1"/>
        <v>1</v>
      </c>
      <c r="N10" s="70">
        <f t="shared" si="1"/>
        <v>0</v>
      </c>
      <c r="O10" s="70">
        <f t="shared" si="1"/>
        <v>0</v>
      </c>
      <c r="P10" s="70">
        <f t="shared" si="1"/>
        <v>0</v>
      </c>
      <c r="Q10" s="70">
        <f t="shared" si="1"/>
        <v>0</v>
      </c>
      <c r="R10" s="70">
        <f t="shared" si="1"/>
        <v>0</v>
      </c>
      <c r="S10" s="70">
        <f t="shared" si="1"/>
        <v>0</v>
      </c>
      <c r="T10" s="70">
        <f t="shared" si="1"/>
        <v>0</v>
      </c>
      <c r="U10" s="70">
        <f t="shared" si="1"/>
        <v>0</v>
      </c>
      <c r="V10" s="138">
        <f t="shared" si="1"/>
        <v>0</v>
      </c>
      <c r="X10" s="98" t="s">
        <v>48</v>
      </c>
      <c r="Y10" s="99">
        <f t="shared" si="2"/>
        <v>27</v>
      </c>
      <c r="Z10" s="99">
        <f t="shared" si="3"/>
        <v>53</v>
      </c>
      <c r="AA10" s="99">
        <f t="shared" si="4"/>
        <v>0</v>
      </c>
    </row>
    <row r="11" spans="1:29" ht="15" customHeight="1">
      <c r="A11" s="66"/>
      <c r="B11" s="146">
        <v>20</v>
      </c>
      <c r="C11" s="70">
        <f t="shared" si="0"/>
        <v>0</v>
      </c>
      <c r="D11" s="70">
        <f t="shared" si="0"/>
        <v>0</v>
      </c>
      <c r="E11" s="70">
        <f t="shared" si="0"/>
        <v>0</v>
      </c>
      <c r="F11" s="70">
        <f t="shared" si="0"/>
        <v>0</v>
      </c>
      <c r="G11" s="70">
        <f t="shared" si="0"/>
        <v>0</v>
      </c>
      <c r="H11" s="70">
        <f t="shared" si="0"/>
        <v>0</v>
      </c>
      <c r="I11" s="70">
        <f t="shared" si="0"/>
        <v>0</v>
      </c>
      <c r="J11" s="70">
        <f t="shared" si="0"/>
        <v>0</v>
      </c>
      <c r="K11" s="70">
        <f t="shared" si="0"/>
        <v>0</v>
      </c>
      <c r="L11" s="70">
        <f t="shared" si="0"/>
        <v>0</v>
      </c>
      <c r="M11" s="70">
        <f t="shared" si="1"/>
        <v>0</v>
      </c>
      <c r="N11" s="70">
        <f t="shared" si="1"/>
        <v>0</v>
      </c>
      <c r="O11" s="70">
        <f t="shared" si="1"/>
        <v>0</v>
      </c>
      <c r="P11" s="70">
        <f t="shared" si="1"/>
        <v>0</v>
      </c>
      <c r="Q11" s="70">
        <f t="shared" si="1"/>
        <v>0</v>
      </c>
      <c r="R11" s="70">
        <f t="shared" si="1"/>
        <v>0</v>
      </c>
      <c r="S11" s="70">
        <f t="shared" si="1"/>
        <v>0</v>
      </c>
      <c r="T11" s="70">
        <f t="shared" si="1"/>
        <v>0</v>
      </c>
      <c r="U11" s="70">
        <f t="shared" si="1"/>
        <v>0</v>
      </c>
      <c r="V11" s="138">
        <f t="shared" si="1"/>
        <v>0</v>
      </c>
      <c r="X11" s="98" t="s">
        <v>48</v>
      </c>
      <c r="Y11" s="99">
        <f t="shared" si="2"/>
        <v>0</v>
      </c>
      <c r="Z11" s="99">
        <f t="shared" si="3"/>
        <v>0</v>
      </c>
      <c r="AA11" s="99">
        <f t="shared" si="4"/>
        <v>0</v>
      </c>
    </row>
    <row r="12" spans="1:29" ht="15" customHeight="1">
      <c r="A12" s="66"/>
      <c r="B12" s="146">
        <v>21</v>
      </c>
      <c r="C12" s="70">
        <f t="shared" si="0"/>
        <v>3</v>
      </c>
      <c r="D12" s="70">
        <f t="shared" si="0"/>
        <v>1</v>
      </c>
      <c r="E12" s="70">
        <f t="shared" si="0"/>
        <v>2</v>
      </c>
      <c r="F12" s="70">
        <f t="shared" si="0"/>
        <v>1</v>
      </c>
      <c r="G12" s="70">
        <f t="shared" si="0"/>
        <v>1</v>
      </c>
      <c r="H12" s="70">
        <f t="shared" si="0"/>
        <v>2</v>
      </c>
      <c r="I12" s="70">
        <f t="shared" si="0"/>
        <v>2</v>
      </c>
      <c r="J12" s="70">
        <f t="shared" si="0"/>
        <v>1</v>
      </c>
      <c r="K12" s="70">
        <f t="shared" si="0"/>
        <v>2</v>
      </c>
      <c r="L12" s="70">
        <f t="shared" si="0"/>
        <v>2</v>
      </c>
      <c r="M12" s="70">
        <f t="shared" si="1"/>
        <v>1</v>
      </c>
      <c r="N12" s="70">
        <f t="shared" si="1"/>
        <v>1</v>
      </c>
      <c r="O12" s="70">
        <f t="shared" si="1"/>
        <v>1</v>
      </c>
      <c r="P12" s="70">
        <f t="shared" si="1"/>
        <v>1</v>
      </c>
      <c r="Q12" s="70">
        <f t="shared" si="1"/>
        <v>1</v>
      </c>
      <c r="R12" s="70">
        <f t="shared" si="1"/>
        <v>1</v>
      </c>
      <c r="S12" s="70">
        <f t="shared" si="1"/>
        <v>1</v>
      </c>
      <c r="T12" s="70">
        <f t="shared" si="1"/>
        <v>0</v>
      </c>
      <c r="U12" s="70">
        <f t="shared" si="1"/>
        <v>0</v>
      </c>
      <c r="V12" s="138">
        <f t="shared" si="1"/>
        <v>0</v>
      </c>
      <c r="X12" s="98" t="s">
        <v>48</v>
      </c>
      <c r="Y12" s="99">
        <f t="shared" si="2"/>
        <v>168</v>
      </c>
      <c r="Z12" s="99">
        <f t="shared" si="3"/>
        <v>443</v>
      </c>
      <c r="AA12" s="99">
        <f t="shared" si="4"/>
        <v>30</v>
      </c>
    </row>
    <row r="13" spans="1:29" ht="15" customHeight="1">
      <c r="A13" s="66"/>
      <c r="B13" s="146">
        <v>22</v>
      </c>
      <c r="C13" s="70">
        <f t="shared" si="0"/>
        <v>0</v>
      </c>
      <c r="D13" s="70">
        <f t="shared" si="0"/>
        <v>0</v>
      </c>
      <c r="E13" s="70">
        <f t="shared" si="0"/>
        <v>0</v>
      </c>
      <c r="F13" s="70">
        <f t="shared" si="0"/>
        <v>0</v>
      </c>
      <c r="G13" s="70">
        <f t="shared" si="0"/>
        <v>0</v>
      </c>
      <c r="H13" s="70">
        <f t="shared" si="0"/>
        <v>0</v>
      </c>
      <c r="I13" s="70">
        <f t="shared" si="0"/>
        <v>0</v>
      </c>
      <c r="J13" s="70">
        <f t="shared" si="0"/>
        <v>1</v>
      </c>
      <c r="K13" s="70">
        <f t="shared" si="0"/>
        <v>0</v>
      </c>
      <c r="L13" s="70">
        <f t="shared" si="0"/>
        <v>0</v>
      </c>
      <c r="M13" s="70">
        <f t="shared" si="1"/>
        <v>0</v>
      </c>
      <c r="N13" s="70">
        <f t="shared" si="1"/>
        <v>0</v>
      </c>
      <c r="O13" s="70">
        <f t="shared" si="1"/>
        <v>0</v>
      </c>
      <c r="P13" s="70">
        <f t="shared" si="1"/>
        <v>0</v>
      </c>
      <c r="Q13" s="70">
        <f t="shared" si="1"/>
        <v>0</v>
      </c>
      <c r="R13" s="70">
        <f t="shared" si="1"/>
        <v>0</v>
      </c>
      <c r="S13" s="70">
        <f t="shared" si="1"/>
        <v>0</v>
      </c>
      <c r="T13" s="70">
        <f t="shared" si="1"/>
        <v>0</v>
      </c>
      <c r="U13" s="70">
        <f t="shared" si="1"/>
        <v>0</v>
      </c>
      <c r="V13" s="138">
        <f t="shared" si="1"/>
        <v>0</v>
      </c>
      <c r="X13" s="98" t="s">
        <v>49</v>
      </c>
      <c r="Y13" s="99">
        <f t="shared" si="2"/>
        <v>9</v>
      </c>
      <c r="Z13" s="99">
        <f t="shared" si="3"/>
        <v>12</v>
      </c>
      <c r="AA13" s="99">
        <f t="shared" si="4"/>
        <v>4</v>
      </c>
    </row>
    <row r="14" spans="1:29" ht="15" customHeight="1">
      <c r="B14" s="146">
        <v>23</v>
      </c>
      <c r="C14" s="70">
        <f t="shared" si="0"/>
        <v>0</v>
      </c>
      <c r="D14" s="70">
        <f t="shared" si="0"/>
        <v>0</v>
      </c>
      <c r="E14" s="70">
        <f t="shared" si="0"/>
        <v>1</v>
      </c>
      <c r="F14" s="70">
        <f t="shared" si="0"/>
        <v>1</v>
      </c>
      <c r="G14" s="70">
        <f t="shared" si="0"/>
        <v>1</v>
      </c>
      <c r="H14" s="70">
        <f t="shared" si="0"/>
        <v>1</v>
      </c>
      <c r="I14" s="70">
        <f t="shared" si="0"/>
        <v>1</v>
      </c>
      <c r="J14" s="70">
        <f t="shared" si="0"/>
        <v>1</v>
      </c>
      <c r="K14" s="70">
        <f t="shared" si="0"/>
        <v>1</v>
      </c>
      <c r="L14" s="70">
        <f t="shared" si="0"/>
        <v>1</v>
      </c>
      <c r="M14" s="70">
        <f t="shared" si="1"/>
        <v>1</v>
      </c>
      <c r="N14" s="70">
        <f t="shared" si="1"/>
        <v>1</v>
      </c>
      <c r="O14" s="70">
        <f t="shared" si="1"/>
        <v>0</v>
      </c>
      <c r="P14" s="70">
        <f t="shared" si="1"/>
        <v>0</v>
      </c>
      <c r="Q14" s="70">
        <f t="shared" si="1"/>
        <v>0</v>
      </c>
      <c r="R14" s="70">
        <f t="shared" si="1"/>
        <v>0</v>
      </c>
      <c r="S14" s="70">
        <f t="shared" si="1"/>
        <v>0</v>
      </c>
      <c r="T14" s="70">
        <f t="shared" si="1"/>
        <v>0</v>
      </c>
      <c r="U14" s="70">
        <f t="shared" si="1"/>
        <v>0</v>
      </c>
      <c r="V14" s="138">
        <f t="shared" si="1"/>
        <v>0</v>
      </c>
      <c r="X14" s="98" t="s">
        <v>50</v>
      </c>
      <c r="Y14" s="99">
        <f t="shared" si="2"/>
        <v>123</v>
      </c>
      <c r="Z14" s="99">
        <f t="shared" si="3"/>
        <v>100</v>
      </c>
      <c r="AA14" s="99">
        <f t="shared" si="4"/>
        <v>26</v>
      </c>
    </row>
    <row r="15" spans="1:29" ht="15" customHeight="1">
      <c r="B15" s="146">
        <v>24</v>
      </c>
      <c r="C15" s="70">
        <f t="shared" si="0"/>
        <v>0</v>
      </c>
      <c r="D15" s="70">
        <f t="shared" si="0"/>
        <v>0</v>
      </c>
      <c r="E15" s="70">
        <f t="shared" si="0"/>
        <v>1</v>
      </c>
      <c r="F15" s="70">
        <f t="shared" si="0"/>
        <v>0</v>
      </c>
      <c r="G15" s="70">
        <f t="shared" si="0"/>
        <v>0</v>
      </c>
      <c r="H15" s="70">
        <f t="shared" si="0"/>
        <v>1</v>
      </c>
      <c r="I15" s="70">
        <f t="shared" si="0"/>
        <v>2</v>
      </c>
      <c r="J15" s="70">
        <f t="shared" si="0"/>
        <v>1</v>
      </c>
      <c r="K15" s="70">
        <f t="shared" si="0"/>
        <v>0</v>
      </c>
      <c r="L15" s="70">
        <f t="shared" si="0"/>
        <v>4</v>
      </c>
      <c r="M15" s="70">
        <f t="shared" si="1"/>
        <v>2</v>
      </c>
      <c r="N15" s="70">
        <f t="shared" si="1"/>
        <v>1</v>
      </c>
      <c r="O15" s="70">
        <f t="shared" si="1"/>
        <v>0</v>
      </c>
      <c r="P15" s="70">
        <f t="shared" si="1"/>
        <v>0</v>
      </c>
      <c r="Q15" s="70">
        <f t="shared" si="1"/>
        <v>0</v>
      </c>
      <c r="R15" s="70">
        <f t="shared" si="1"/>
        <v>0</v>
      </c>
      <c r="S15" s="70">
        <f t="shared" si="1"/>
        <v>0</v>
      </c>
      <c r="T15" s="70">
        <f t="shared" si="1"/>
        <v>0</v>
      </c>
      <c r="U15" s="70">
        <f t="shared" si="1"/>
        <v>0</v>
      </c>
      <c r="V15" s="138">
        <f t="shared" si="1"/>
        <v>0</v>
      </c>
      <c r="W15" s="68"/>
      <c r="X15" s="98" t="s">
        <v>50</v>
      </c>
      <c r="Y15" s="99">
        <f t="shared" si="2"/>
        <v>147</v>
      </c>
      <c r="Z15" s="99">
        <f t="shared" si="3"/>
        <v>136</v>
      </c>
      <c r="AA15" s="99">
        <f t="shared" si="4"/>
        <v>2</v>
      </c>
    </row>
    <row r="16" spans="1:29" ht="15" customHeight="1">
      <c r="B16" s="146">
        <v>25</v>
      </c>
      <c r="C16" s="70">
        <f t="shared" si="0"/>
        <v>1</v>
      </c>
      <c r="D16" s="70">
        <f t="shared" si="0"/>
        <v>1</v>
      </c>
      <c r="E16" s="70">
        <f t="shared" si="0"/>
        <v>1</v>
      </c>
      <c r="F16" s="70">
        <f t="shared" si="0"/>
        <v>2</v>
      </c>
      <c r="G16" s="70">
        <f t="shared" si="0"/>
        <v>2</v>
      </c>
      <c r="H16" s="70">
        <f t="shared" si="0"/>
        <v>1</v>
      </c>
      <c r="I16" s="70">
        <f t="shared" si="0"/>
        <v>1</v>
      </c>
      <c r="J16" s="70">
        <f t="shared" si="0"/>
        <v>1</v>
      </c>
      <c r="K16" s="70">
        <f t="shared" si="0"/>
        <v>1</v>
      </c>
      <c r="L16" s="70">
        <f t="shared" si="0"/>
        <v>1</v>
      </c>
      <c r="M16" s="70">
        <f t="shared" si="1"/>
        <v>1</v>
      </c>
      <c r="N16" s="70">
        <f t="shared" si="1"/>
        <v>1</v>
      </c>
      <c r="O16" s="70">
        <f t="shared" si="1"/>
        <v>0</v>
      </c>
      <c r="P16" s="70">
        <f t="shared" si="1"/>
        <v>0</v>
      </c>
      <c r="Q16" s="70">
        <f t="shared" si="1"/>
        <v>0</v>
      </c>
      <c r="R16" s="70">
        <f t="shared" si="1"/>
        <v>0</v>
      </c>
      <c r="S16" s="70">
        <f t="shared" si="1"/>
        <v>0</v>
      </c>
      <c r="T16" s="70">
        <f t="shared" si="1"/>
        <v>0</v>
      </c>
      <c r="U16" s="70">
        <f t="shared" si="1"/>
        <v>0</v>
      </c>
      <c r="V16" s="138">
        <f t="shared" si="1"/>
        <v>0</v>
      </c>
      <c r="W16" s="68"/>
      <c r="X16" s="98" t="s">
        <v>50</v>
      </c>
      <c r="Y16" s="99">
        <f t="shared" si="2"/>
        <v>121</v>
      </c>
      <c r="Z16" s="99">
        <f t="shared" si="3"/>
        <v>183</v>
      </c>
      <c r="AA16" s="99">
        <f t="shared" si="4"/>
        <v>41</v>
      </c>
    </row>
    <row r="17" spans="2:27" ht="15" customHeight="1">
      <c r="B17" s="146">
        <v>26</v>
      </c>
      <c r="C17" s="70">
        <f t="shared" si="0"/>
        <v>1</v>
      </c>
      <c r="D17" s="70">
        <f t="shared" si="0"/>
        <v>1</v>
      </c>
      <c r="E17" s="70">
        <f t="shared" si="0"/>
        <v>0</v>
      </c>
      <c r="F17" s="70">
        <f t="shared" si="0"/>
        <v>1</v>
      </c>
      <c r="G17" s="70">
        <f t="shared" si="0"/>
        <v>1</v>
      </c>
      <c r="H17" s="70">
        <f t="shared" si="0"/>
        <v>1</v>
      </c>
      <c r="I17" s="70">
        <f t="shared" si="0"/>
        <v>1</v>
      </c>
      <c r="J17" s="70">
        <f t="shared" si="0"/>
        <v>1</v>
      </c>
      <c r="K17" s="70">
        <f t="shared" si="0"/>
        <v>1</v>
      </c>
      <c r="L17" s="70">
        <f t="shared" si="0"/>
        <v>1</v>
      </c>
      <c r="M17" s="70">
        <f t="shared" si="1"/>
        <v>1</v>
      </c>
      <c r="N17" s="70">
        <f t="shared" si="1"/>
        <v>1</v>
      </c>
      <c r="O17" s="70">
        <f t="shared" si="1"/>
        <v>1</v>
      </c>
      <c r="P17" s="70">
        <f t="shared" si="1"/>
        <v>1</v>
      </c>
      <c r="Q17" s="70">
        <f t="shared" si="1"/>
        <v>1</v>
      </c>
      <c r="R17" s="70">
        <f t="shared" si="1"/>
        <v>0</v>
      </c>
      <c r="S17" s="70">
        <f t="shared" si="1"/>
        <v>0</v>
      </c>
      <c r="T17" s="70">
        <f t="shared" si="1"/>
        <v>0</v>
      </c>
      <c r="U17" s="70">
        <f t="shared" si="1"/>
        <v>0</v>
      </c>
      <c r="V17" s="138">
        <f t="shared" si="1"/>
        <v>0</v>
      </c>
      <c r="W17" s="68"/>
      <c r="X17" s="98" t="s">
        <v>51</v>
      </c>
      <c r="Y17" s="99">
        <f t="shared" si="2"/>
        <v>120</v>
      </c>
      <c r="Z17" s="99">
        <f t="shared" si="3"/>
        <v>541</v>
      </c>
      <c r="AA17" s="99">
        <f t="shared" si="4"/>
        <v>9</v>
      </c>
    </row>
    <row r="18" spans="2:27" ht="15" customHeight="1">
      <c r="B18" s="146">
        <v>27</v>
      </c>
      <c r="C18" s="70">
        <f t="shared" si="0"/>
        <v>1</v>
      </c>
      <c r="D18" s="70">
        <f t="shared" si="0"/>
        <v>1</v>
      </c>
      <c r="E18" s="70">
        <f t="shared" si="0"/>
        <v>1</v>
      </c>
      <c r="F18" s="70">
        <f t="shared" si="0"/>
        <v>1</v>
      </c>
      <c r="G18" s="70">
        <f t="shared" si="0"/>
        <v>1</v>
      </c>
      <c r="H18" s="70">
        <f t="shared" si="0"/>
        <v>2</v>
      </c>
      <c r="I18" s="70">
        <f t="shared" si="0"/>
        <v>1</v>
      </c>
      <c r="J18" s="70">
        <f t="shared" si="0"/>
        <v>1</v>
      </c>
      <c r="K18" s="70">
        <f t="shared" si="0"/>
        <v>1</v>
      </c>
      <c r="L18" s="70">
        <f t="shared" si="0"/>
        <v>1</v>
      </c>
      <c r="M18" s="70">
        <f t="shared" si="1"/>
        <v>1</v>
      </c>
      <c r="N18" s="70">
        <f t="shared" si="1"/>
        <v>1</v>
      </c>
      <c r="O18" s="70">
        <f t="shared" si="1"/>
        <v>1</v>
      </c>
      <c r="P18" s="70">
        <f t="shared" si="1"/>
        <v>1</v>
      </c>
      <c r="Q18" s="70">
        <f t="shared" si="1"/>
        <v>0</v>
      </c>
      <c r="R18" s="70">
        <f t="shared" si="1"/>
        <v>0</v>
      </c>
      <c r="S18" s="70">
        <f t="shared" si="1"/>
        <v>0</v>
      </c>
      <c r="T18" s="70">
        <f t="shared" si="1"/>
        <v>0</v>
      </c>
      <c r="U18" s="70">
        <f t="shared" si="1"/>
        <v>0</v>
      </c>
      <c r="V18" s="138">
        <f t="shared" si="1"/>
        <v>0</v>
      </c>
      <c r="X18" s="98" t="s">
        <v>51</v>
      </c>
      <c r="Y18" s="99">
        <f t="shared" si="2"/>
        <v>132</v>
      </c>
      <c r="Z18" s="99">
        <f t="shared" si="3"/>
        <v>202</v>
      </c>
      <c r="AA18" s="99">
        <f t="shared" si="4"/>
        <v>7</v>
      </c>
    </row>
    <row r="19" spans="2:27" ht="15" customHeight="1">
      <c r="B19" s="146">
        <v>28</v>
      </c>
      <c r="C19" s="70">
        <f t="shared" si="0"/>
        <v>0</v>
      </c>
      <c r="D19" s="70">
        <f t="shared" si="0"/>
        <v>1</v>
      </c>
      <c r="E19" s="70">
        <f t="shared" si="0"/>
        <v>1</v>
      </c>
      <c r="F19" s="70">
        <f t="shared" si="0"/>
        <v>0</v>
      </c>
      <c r="G19" s="70">
        <f t="shared" si="0"/>
        <v>1</v>
      </c>
      <c r="H19" s="70">
        <f t="shared" si="0"/>
        <v>1</v>
      </c>
      <c r="I19" s="70">
        <f t="shared" si="0"/>
        <v>1</v>
      </c>
      <c r="J19" s="70">
        <f t="shared" si="0"/>
        <v>1</v>
      </c>
      <c r="K19" s="70">
        <f t="shared" si="0"/>
        <v>1</v>
      </c>
      <c r="L19" s="70">
        <f t="shared" si="0"/>
        <v>1</v>
      </c>
      <c r="M19" s="70">
        <f t="shared" si="1"/>
        <v>1</v>
      </c>
      <c r="N19" s="70">
        <f t="shared" si="1"/>
        <v>1</v>
      </c>
      <c r="O19" s="70">
        <f t="shared" si="1"/>
        <v>1</v>
      </c>
      <c r="P19" s="70">
        <f t="shared" si="1"/>
        <v>1</v>
      </c>
      <c r="Q19" s="70">
        <f t="shared" si="1"/>
        <v>1</v>
      </c>
      <c r="R19" s="70">
        <f t="shared" si="1"/>
        <v>0</v>
      </c>
      <c r="S19" s="70">
        <f t="shared" si="1"/>
        <v>0</v>
      </c>
      <c r="T19" s="70">
        <f t="shared" si="1"/>
        <v>0</v>
      </c>
      <c r="U19" s="70">
        <f t="shared" si="1"/>
        <v>0</v>
      </c>
      <c r="V19" s="138">
        <f t="shared" si="1"/>
        <v>0</v>
      </c>
      <c r="X19" s="98" t="s">
        <v>51</v>
      </c>
      <c r="Y19" s="99">
        <f t="shared" si="2"/>
        <v>17</v>
      </c>
      <c r="Z19" s="99">
        <f t="shared" si="3"/>
        <v>253</v>
      </c>
      <c r="AA19" s="99">
        <f t="shared" si="4"/>
        <v>4</v>
      </c>
    </row>
    <row r="20" spans="2:27" ht="15" customHeight="1">
      <c r="B20" s="146">
        <v>29</v>
      </c>
      <c r="C20" s="70">
        <f t="shared" si="0"/>
        <v>1</v>
      </c>
      <c r="D20" s="70">
        <f t="shared" si="0"/>
        <v>0</v>
      </c>
      <c r="E20" s="70">
        <f t="shared" si="0"/>
        <v>1</v>
      </c>
      <c r="F20" s="70">
        <f t="shared" si="0"/>
        <v>1</v>
      </c>
      <c r="G20" s="70">
        <f t="shared" si="0"/>
        <v>2</v>
      </c>
      <c r="H20" s="70">
        <f t="shared" si="0"/>
        <v>2</v>
      </c>
      <c r="I20" s="70">
        <f t="shared" si="0"/>
        <v>1</v>
      </c>
      <c r="J20" s="70">
        <f t="shared" si="0"/>
        <v>1</v>
      </c>
      <c r="K20" s="70">
        <f t="shared" si="0"/>
        <v>1</v>
      </c>
      <c r="L20" s="70">
        <f t="shared" si="0"/>
        <v>1</v>
      </c>
      <c r="M20" s="70">
        <f t="shared" si="1"/>
        <v>1</v>
      </c>
      <c r="N20" s="70">
        <f t="shared" si="1"/>
        <v>1</v>
      </c>
      <c r="O20" s="70">
        <f t="shared" si="1"/>
        <v>1</v>
      </c>
      <c r="P20" s="70">
        <f t="shared" si="1"/>
        <v>1</v>
      </c>
      <c r="Q20" s="70">
        <f t="shared" si="1"/>
        <v>1</v>
      </c>
      <c r="R20" s="70">
        <f t="shared" si="1"/>
        <v>1</v>
      </c>
      <c r="S20" s="70">
        <f t="shared" si="1"/>
        <v>0</v>
      </c>
      <c r="T20" s="70">
        <f t="shared" si="1"/>
        <v>0</v>
      </c>
      <c r="U20" s="70">
        <f t="shared" si="1"/>
        <v>0</v>
      </c>
      <c r="V20" s="138">
        <f t="shared" si="1"/>
        <v>0</v>
      </c>
      <c r="X20" s="98" t="s">
        <v>51</v>
      </c>
      <c r="Y20" s="99">
        <f t="shared" si="2"/>
        <v>199</v>
      </c>
      <c r="Z20" s="99">
        <f t="shared" si="3"/>
        <v>208</v>
      </c>
      <c r="AA20" s="99">
        <f t="shared" si="4"/>
        <v>30</v>
      </c>
    </row>
    <row r="21" spans="2:27" ht="15" customHeight="1">
      <c r="B21" s="146">
        <v>30</v>
      </c>
      <c r="C21" s="70">
        <f t="shared" si="0"/>
        <v>1</v>
      </c>
      <c r="D21" s="70">
        <f t="shared" si="0"/>
        <v>1</v>
      </c>
      <c r="E21" s="70">
        <f t="shared" si="0"/>
        <v>1</v>
      </c>
      <c r="F21" s="70">
        <f t="shared" si="0"/>
        <v>1</v>
      </c>
      <c r="G21" s="70">
        <f t="shared" si="0"/>
        <v>1</v>
      </c>
      <c r="H21" s="70">
        <f t="shared" si="0"/>
        <v>1</v>
      </c>
      <c r="I21" s="70">
        <f t="shared" si="0"/>
        <v>2</v>
      </c>
      <c r="J21" s="70">
        <f t="shared" si="0"/>
        <v>1</v>
      </c>
      <c r="K21" s="70">
        <f t="shared" si="0"/>
        <v>1</v>
      </c>
      <c r="L21" s="70">
        <f t="shared" si="0"/>
        <v>1</v>
      </c>
      <c r="M21" s="70">
        <f t="shared" si="1"/>
        <v>1</v>
      </c>
      <c r="N21" s="70">
        <f t="shared" si="1"/>
        <v>2</v>
      </c>
      <c r="O21" s="70">
        <f t="shared" si="1"/>
        <v>0</v>
      </c>
      <c r="P21" s="70">
        <f t="shared" si="1"/>
        <v>0</v>
      </c>
      <c r="Q21" s="70">
        <f t="shared" si="1"/>
        <v>0</v>
      </c>
      <c r="R21" s="70">
        <f t="shared" si="1"/>
        <v>0</v>
      </c>
      <c r="S21" s="70">
        <f t="shared" si="1"/>
        <v>0</v>
      </c>
      <c r="T21" s="70">
        <f t="shared" si="1"/>
        <v>0</v>
      </c>
      <c r="U21" s="70">
        <f t="shared" si="1"/>
        <v>0</v>
      </c>
      <c r="V21" s="138">
        <f t="shared" si="1"/>
        <v>0</v>
      </c>
      <c r="X21" s="98" t="s">
        <v>51</v>
      </c>
      <c r="Y21" s="99">
        <f t="shared" si="2"/>
        <v>89</v>
      </c>
      <c r="Z21" s="99">
        <f t="shared" si="3"/>
        <v>313</v>
      </c>
      <c r="AA21" s="99">
        <f t="shared" si="4"/>
        <v>8</v>
      </c>
    </row>
    <row r="22" spans="2:27" ht="15" customHeight="1">
      <c r="B22" s="146">
        <v>31</v>
      </c>
      <c r="C22" s="70">
        <f t="shared" si="0"/>
        <v>1</v>
      </c>
      <c r="D22" s="70">
        <f t="shared" si="0"/>
        <v>1</v>
      </c>
      <c r="E22" s="70">
        <f t="shared" si="0"/>
        <v>1</v>
      </c>
      <c r="F22" s="70">
        <f t="shared" si="0"/>
        <v>1</v>
      </c>
      <c r="G22" s="70">
        <f t="shared" si="0"/>
        <v>0</v>
      </c>
      <c r="H22" s="70">
        <f t="shared" si="0"/>
        <v>1</v>
      </c>
      <c r="I22" s="70">
        <f t="shared" si="0"/>
        <v>2</v>
      </c>
      <c r="J22" s="70">
        <f t="shared" si="0"/>
        <v>1</v>
      </c>
      <c r="K22" s="70">
        <f t="shared" si="0"/>
        <v>0</v>
      </c>
      <c r="L22" s="70">
        <f t="shared" si="0"/>
        <v>0</v>
      </c>
      <c r="M22" s="70">
        <f t="shared" si="1"/>
        <v>0</v>
      </c>
      <c r="N22" s="70">
        <f t="shared" si="1"/>
        <v>0</v>
      </c>
      <c r="O22" s="70">
        <f t="shared" si="1"/>
        <v>0</v>
      </c>
      <c r="P22" s="70">
        <f t="shared" si="1"/>
        <v>0</v>
      </c>
      <c r="Q22" s="70">
        <f t="shared" si="1"/>
        <v>0</v>
      </c>
      <c r="R22" s="70">
        <f t="shared" si="1"/>
        <v>0</v>
      </c>
      <c r="S22" s="70">
        <f t="shared" si="1"/>
        <v>0</v>
      </c>
      <c r="T22" s="70">
        <f t="shared" si="1"/>
        <v>0</v>
      </c>
      <c r="U22" s="70">
        <f t="shared" si="1"/>
        <v>0</v>
      </c>
      <c r="V22" s="138">
        <f t="shared" si="1"/>
        <v>0</v>
      </c>
      <c r="X22" s="98" t="s">
        <v>51</v>
      </c>
      <c r="Y22" s="99">
        <f t="shared" si="2"/>
        <v>111</v>
      </c>
      <c r="Z22" s="99">
        <f t="shared" si="3"/>
        <v>88</v>
      </c>
      <c r="AA22" s="99">
        <f t="shared" si="4"/>
        <v>1</v>
      </c>
    </row>
    <row r="23" spans="2:27" ht="15" customHeight="1">
      <c r="B23" s="146">
        <v>32</v>
      </c>
      <c r="C23" s="70">
        <f t="shared" si="0"/>
        <v>1</v>
      </c>
      <c r="D23" s="70">
        <f t="shared" si="0"/>
        <v>1</v>
      </c>
      <c r="E23" s="70">
        <f t="shared" si="0"/>
        <v>1</v>
      </c>
      <c r="F23" s="70">
        <f t="shared" si="0"/>
        <v>1</v>
      </c>
      <c r="G23" s="70">
        <f t="shared" si="0"/>
        <v>1</v>
      </c>
      <c r="H23" s="70">
        <f t="shared" si="0"/>
        <v>2</v>
      </c>
      <c r="I23" s="70">
        <f t="shared" si="0"/>
        <v>0</v>
      </c>
      <c r="J23" s="70">
        <f t="shared" si="0"/>
        <v>2</v>
      </c>
      <c r="K23" s="70">
        <f t="shared" si="0"/>
        <v>1</v>
      </c>
      <c r="L23" s="70">
        <f t="shared" si="0"/>
        <v>0</v>
      </c>
      <c r="M23" s="70">
        <f t="shared" si="1"/>
        <v>2</v>
      </c>
      <c r="N23" s="70">
        <f t="shared" si="1"/>
        <v>1</v>
      </c>
      <c r="O23" s="70">
        <f t="shared" si="1"/>
        <v>1</v>
      </c>
      <c r="P23" s="70">
        <f t="shared" si="1"/>
        <v>1</v>
      </c>
      <c r="Q23" s="70">
        <f t="shared" si="1"/>
        <v>0</v>
      </c>
      <c r="R23" s="70">
        <f t="shared" si="1"/>
        <v>0</v>
      </c>
      <c r="S23" s="70">
        <f t="shared" si="1"/>
        <v>0</v>
      </c>
      <c r="T23" s="70">
        <f t="shared" si="1"/>
        <v>0</v>
      </c>
      <c r="U23" s="70">
        <f t="shared" si="1"/>
        <v>0</v>
      </c>
      <c r="V23" s="138">
        <f t="shared" si="1"/>
        <v>0</v>
      </c>
      <c r="X23" s="98" t="s">
        <v>51</v>
      </c>
      <c r="Y23" s="99">
        <f t="shared" si="2"/>
        <v>271</v>
      </c>
      <c r="Z23" s="99">
        <f t="shared" si="3"/>
        <v>250</v>
      </c>
      <c r="AA23" s="99">
        <f t="shared" si="4"/>
        <v>30</v>
      </c>
    </row>
    <row r="24" spans="2:27" ht="15" customHeight="1">
      <c r="B24" s="146">
        <v>33</v>
      </c>
      <c r="C24" s="70">
        <f t="shared" si="0"/>
        <v>0</v>
      </c>
      <c r="D24" s="70">
        <f t="shared" si="0"/>
        <v>0</v>
      </c>
      <c r="E24" s="70">
        <f t="shared" si="0"/>
        <v>0</v>
      </c>
      <c r="F24" s="70">
        <f t="shared" si="0"/>
        <v>0</v>
      </c>
      <c r="G24" s="70">
        <f t="shared" si="0"/>
        <v>1</v>
      </c>
      <c r="H24" s="70">
        <f t="shared" si="0"/>
        <v>1</v>
      </c>
      <c r="I24" s="70">
        <f t="shared" si="0"/>
        <v>0</v>
      </c>
      <c r="J24" s="70">
        <f t="shared" si="0"/>
        <v>1</v>
      </c>
      <c r="K24" s="70">
        <f t="shared" si="0"/>
        <v>0</v>
      </c>
      <c r="L24" s="70">
        <f t="shared" si="0"/>
        <v>1</v>
      </c>
      <c r="M24" s="70">
        <f t="shared" si="1"/>
        <v>1</v>
      </c>
      <c r="N24" s="70">
        <f t="shared" si="1"/>
        <v>1</v>
      </c>
      <c r="O24" s="70">
        <f t="shared" si="1"/>
        <v>1</v>
      </c>
      <c r="P24" s="70">
        <f t="shared" si="1"/>
        <v>1</v>
      </c>
      <c r="Q24" s="70">
        <f t="shared" si="1"/>
        <v>0</v>
      </c>
      <c r="R24" s="70">
        <f t="shared" si="1"/>
        <v>0</v>
      </c>
      <c r="S24" s="70">
        <f t="shared" si="1"/>
        <v>0</v>
      </c>
      <c r="T24" s="70">
        <f t="shared" si="1"/>
        <v>0</v>
      </c>
      <c r="U24" s="70">
        <f t="shared" si="1"/>
        <v>0</v>
      </c>
      <c r="V24" s="138">
        <f t="shared" si="1"/>
        <v>0</v>
      </c>
      <c r="X24" s="98" t="s">
        <v>51</v>
      </c>
      <c r="Y24" s="99">
        <f t="shared" si="2"/>
        <v>19</v>
      </c>
      <c r="Z24" s="99">
        <f t="shared" si="3"/>
        <v>160</v>
      </c>
      <c r="AA24" s="99">
        <f t="shared" si="4"/>
        <v>8</v>
      </c>
    </row>
    <row r="25" spans="2:27" ht="15" customHeight="1">
      <c r="B25" s="146">
        <v>34</v>
      </c>
      <c r="C25" s="70">
        <f t="shared" ref="C25:R28" si="5">SUMIFS(SumaME,CentroME,$B25,TurnoME,C$8)</f>
        <v>1</v>
      </c>
      <c r="D25" s="70">
        <f t="shared" si="5"/>
        <v>1</v>
      </c>
      <c r="E25" s="70">
        <f t="shared" si="5"/>
        <v>1</v>
      </c>
      <c r="F25" s="70">
        <f t="shared" si="5"/>
        <v>1</v>
      </c>
      <c r="G25" s="70">
        <f t="shared" si="5"/>
        <v>1</v>
      </c>
      <c r="H25" s="70">
        <f t="shared" si="5"/>
        <v>1</v>
      </c>
      <c r="I25" s="70">
        <f t="shared" si="5"/>
        <v>1</v>
      </c>
      <c r="J25" s="70">
        <f t="shared" si="5"/>
        <v>1</v>
      </c>
      <c r="K25" s="70">
        <f t="shared" si="5"/>
        <v>1</v>
      </c>
      <c r="L25" s="70">
        <f t="shared" si="5"/>
        <v>1</v>
      </c>
      <c r="M25" s="70">
        <f t="shared" si="5"/>
        <v>1</v>
      </c>
      <c r="N25" s="70">
        <f t="shared" si="5"/>
        <v>1</v>
      </c>
      <c r="O25" s="70">
        <f t="shared" si="5"/>
        <v>1</v>
      </c>
      <c r="P25" s="70">
        <f t="shared" si="5"/>
        <v>1</v>
      </c>
      <c r="Q25" s="70">
        <f t="shared" si="5"/>
        <v>1</v>
      </c>
      <c r="R25" s="70">
        <f t="shared" si="5"/>
        <v>1</v>
      </c>
      <c r="S25" s="70">
        <f t="shared" ref="M25:V28" si="6">SUMIFS(SumaME,CentroME,$B25,TurnoME,S$8)</f>
        <v>0</v>
      </c>
      <c r="T25" s="70">
        <f t="shared" si="6"/>
        <v>0</v>
      </c>
      <c r="U25" s="70">
        <f t="shared" si="6"/>
        <v>0</v>
      </c>
      <c r="V25" s="138">
        <f t="shared" si="6"/>
        <v>0</v>
      </c>
      <c r="X25" s="98" t="s">
        <v>51</v>
      </c>
      <c r="Y25" s="99">
        <f t="shared" si="2"/>
        <v>105</v>
      </c>
      <c r="Z25" s="99">
        <f t="shared" si="3"/>
        <v>247</v>
      </c>
      <c r="AA25" s="99">
        <f t="shared" si="4"/>
        <v>0</v>
      </c>
    </row>
    <row r="26" spans="2:27" ht="15" customHeight="1">
      <c r="B26" s="146">
        <v>35</v>
      </c>
      <c r="C26" s="70">
        <f t="shared" si="5"/>
        <v>1</v>
      </c>
      <c r="D26" s="70">
        <f t="shared" si="5"/>
        <v>0</v>
      </c>
      <c r="E26" s="70">
        <f t="shared" si="5"/>
        <v>2</v>
      </c>
      <c r="F26" s="70">
        <f t="shared" si="5"/>
        <v>1</v>
      </c>
      <c r="G26" s="70">
        <f t="shared" si="5"/>
        <v>2</v>
      </c>
      <c r="H26" s="70">
        <f t="shared" si="5"/>
        <v>1</v>
      </c>
      <c r="I26" s="70">
        <f t="shared" si="5"/>
        <v>1</v>
      </c>
      <c r="J26" s="70">
        <f t="shared" si="5"/>
        <v>1</v>
      </c>
      <c r="K26" s="70">
        <f t="shared" si="5"/>
        <v>0</v>
      </c>
      <c r="L26" s="70">
        <f t="shared" si="5"/>
        <v>0</v>
      </c>
      <c r="M26" s="70">
        <f t="shared" si="6"/>
        <v>0</v>
      </c>
      <c r="N26" s="70">
        <f t="shared" si="6"/>
        <v>0</v>
      </c>
      <c r="O26" s="70">
        <f t="shared" si="6"/>
        <v>0</v>
      </c>
      <c r="P26" s="70">
        <f t="shared" si="6"/>
        <v>0</v>
      </c>
      <c r="Q26" s="70">
        <f t="shared" si="6"/>
        <v>0</v>
      </c>
      <c r="R26" s="70">
        <f t="shared" si="6"/>
        <v>0</v>
      </c>
      <c r="S26" s="70">
        <f t="shared" si="6"/>
        <v>0</v>
      </c>
      <c r="T26" s="70">
        <f t="shared" si="6"/>
        <v>0</v>
      </c>
      <c r="U26" s="70">
        <f t="shared" si="6"/>
        <v>0</v>
      </c>
      <c r="V26" s="138">
        <f t="shared" si="6"/>
        <v>0</v>
      </c>
      <c r="X26" s="98" t="s">
        <v>51</v>
      </c>
      <c r="Y26" s="99">
        <f t="shared" si="2"/>
        <v>121</v>
      </c>
      <c r="Z26" s="99">
        <f t="shared" si="3"/>
        <v>118</v>
      </c>
      <c r="AA26" s="99">
        <f t="shared" si="4"/>
        <v>6</v>
      </c>
    </row>
    <row r="27" spans="2:27" ht="15" customHeight="1" thickBot="1">
      <c r="B27" s="147">
        <v>36</v>
      </c>
      <c r="C27" s="70">
        <f t="shared" si="5"/>
        <v>0</v>
      </c>
      <c r="D27" s="70">
        <f t="shared" si="5"/>
        <v>0</v>
      </c>
      <c r="E27" s="70">
        <f t="shared" si="5"/>
        <v>0</v>
      </c>
      <c r="F27" s="70">
        <f t="shared" si="5"/>
        <v>0</v>
      </c>
      <c r="G27" s="70">
        <f t="shared" si="5"/>
        <v>0</v>
      </c>
      <c r="H27" s="70">
        <f t="shared" si="5"/>
        <v>0</v>
      </c>
      <c r="I27" s="70">
        <f t="shared" si="5"/>
        <v>0</v>
      </c>
      <c r="J27" s="70">
        <f t="shared" si="5"/>
        <v>0</v>
      </c>
      <c r="K27" s="70">
        <f t="shared" si="5"/>
        <v>0</v>
      </c>
      <c r="L27" s="70">
        <f t="shared" si="5"/>
        <v>0</v>
      </c>
      <c r="M27" s="70">
        <f t="shared" si="6"/>
        <v>0</v>
      </c>
      <c r="N27" s="70">
        <f t="shared" si="6"/>
        <v>0</v>
      </c>
      <c r="O27" s="70">
        <f t="shared" si="6"/>
        <v>0</v>
      </c>
      <c r="P27" s="70">
        <f t="shared" si="6"/>
        <v>0</v>
      </c>
      <c r="Q27" s="70">
        <f t="shared" si="6"/>
        <v>0</v>
      </c>
      <c r="R27" s="70">
        <f t="shared" si="6"/>
        <v>0</v>
      </c>
      <c r="S27" s="70">
        <f t="shared" si="6"/>
        <v>0</v>
      </c>
      <c r="T27" s="70">
        <f t="shared" si="6"/>
        <v>0</v>
      </c>
      <c r="U27" s="70">
        <f t="shared" si="6"/>
        <v>0</v>
      </c>
      <c r="V27" s="138">
        <f t="shared" si="6"/>
        <v>0</v>
      </c>
      <c r="X27" s="98" t="s">
        <v>52</v>
      </c>
      <c r="Y27" s="99">
        <f t="shared" si="2"/>
        <v>0</v>
      </c>
      <c r="Z27" s="99">
        <f t="shared" si="3"/>
        <v>0</v>
      </c>
      <c r="AA27" s="99">
        <f t="shared" si="4"/>
        <v>0</v>
      </c>
    </row>
    <row r="28" spans="2:27" ht="15" customHeight="1">
      <c r="B28" s="67">
        <v>37</v>
      </c>
      <c r="C28" s="70">
        <f t="shared" si="5"/>
        <v>1</v>
      </c>
      <c r="D28" s="70">
        <f t="shared" si="5"/>
        <v>1</v>
      </c>
      <c r="E28" s="70">
        <f t="shared" si="5"/>
        <v>1</v>
      </c>
      <c r="F28" s="70">
        <f t="shared" si="5"/>
        <v>1</v>
      </c>
      <c r="G28" s="70">
        <f t="shared" si="5"/>
        <v>1</v>
      </c>
      <c r="H28" s="70">
        <f t="shared" si="5"/>
        <v>1</v>
      </c>
      <c r="I28" s="70">
        <f t="shared" si="5"/>
        <v>1</v>
      </c>
      <c r="J28" s="70">
        <f t="shared" si="5"/>
        <v>1</v>
      </c>
      <c r="K28" s="70">
        <f t="shared" si="5"/>
        <v>1</v>
      </c>
      <c r="L28" s="70">
        <f t="shared" si="5"/>
        <v>1</v>
      </c>
      <c r="M28" s="70">
        <f t="shared" si="6"/>
        <v>1</v>
      </c>
      <c r="N28" s="70">
        <f t="shared" si="6"/>
        <v>1</v>
      </c>
      <c r="O28" s="70">
        <f t="shared" si="6"/>
        <v>1</v>
      </c>
      <c r="P28" s="70">
        <f t="shared" si="6"/>
        <v>0</v>
      </c>
      <c r="Q28" s="70">
        <f t="shared" si="6"/>
        <v>0</v>
      </c>
      <c r="R28" s="70">
        <f t="shared" si="6"/>
        <v>0</v>
      </c>
      <c r="S28" s="70">
        <f t="shared" si="6"/>
        <v>0</v>
      </c>
      <c r="T28" s="70">
        <f t="shared" si="6"/>
        <v>0</v>
      </c>
      <c r="U28" s="70">
        <f t="shared" si="6"/>
        <v>0</v>
      </c>
      <c r="V28" s="138">
        <f t="shared" si="6"/>
        <v>0</v>
      </c>
      <c r="X28" s="98" t="s">
        <v>8</v>
      </c>
      <c r="Y28" s="99">
        <f t="shared" si="2"/>
        <v>108</v>
      </c>
      <c r="Z28" s="99">
        <f t="shared" si="3"/>
        <v>123</v>
      </c>
      <c r="AA28" s="99">
        <f t="shared" si="4"/>
        <v>0</v>
      </c>
    </row>
    <row r="30" spans="2:27" ht="15" customHeight="1" thickBot="1"/>
    <row r="31" spans="2:27" ht="15" customHeight="1">
      <c r="X31" s="112" t="s">
        <v>48</v>
      </c>
      <c r="Y31" s="109">
        <f t="shared" ref="Y31:AA36" si="7">SUMIF(MunicipiosME,$X31,Y$9:Y$28)</f>
        <v>247</v>
      </c>
      <c r="Z31" s="109">
        <f t="shared" si="7"/>
        <v>576</v>
      </c>
      <c r="AA31" s="110">
        <f t="shared" si="7"/>
        <v>30</v>
      </c>
    </row>
    <row r="32" spans="2:27" ht="15" customHeight="1">
      <c r="X32" s="113" t="s">
        <v>49</v>
      </c>
      <c r="Y32" s="69">
        <f t="shared" si="7"/>
        <v>9</v>
      </c>
      <c r="Z32" s="69">
        <f t="shared" si="7"/>
        <v>12</v>
      </c>
      <c r="AA32" s="83">
        <f t="shared" si="7"/>
        <v>4</v>
      </c>
    </row>
    <row r="33" spans="24:27" ht="15" customHeight="1">
      <c r="X33" s="113" t="s">
        <v>50</v>
      </c>
      <c r="Y33" s="69">
        <f t="shared" si="7"/>
        <v>391</v>
      </c>
      <c r="Z33" s="69">
        <f t="shared" si="7"/>
        <v>419</v>
      </c>
      <c r="AA33" s="83">
        <f t="shared" si="7"/>
        <v>69</v>
      </c>
    </row>
    <row r="34" spans="24:27" ht="15" customHeight="1">
      <c r="X34" s="113" t="s">
        <v>51</v>
      </c>
      <c r="Y34" s="69">
        <f t="shared" si="7"/>
        <v>1184</v>
      </c>
      <c r="Z34" s="69">
        <f t="shared" si="7"/>
        <v>2380</v>
      </c>
      <c r="AA34" s="83">
        <f t="shared" si="7"/>
        <v>103</v>
      </c>
    </row>
    <row r="35" spans="24:27" ht="15" customHeight="1">
      <c r="X35" s="113" t="s">
        <v>52</v>
      </c>
      <c r="Y35" s="69">
        <f t="shared" si="7"/>
        <v>0</v>
      </c>
      <c r="Z35" s="69">
        <f t="shared" si="7"/>
        <v>0</v>
      </c>
      <c r="AA35" s="83">
        <f t="shared" si="7"/>
        <v>0</v>
      </c>
    </row>
    <row r="36" spans="24:27" ht="15" customHeight="1" thickBot="1">
      <c r="X36" s="114" t="s">
        <v>8</v>
      </c>
      <c r="Y36" s="89">
        <f t="shared" si="7"/>
        <v>108</v>
      </c>
      <c r="Z36" s="89">
        <f t="shared" si="7"/>
        <v>123</v>
      </c>
      <c r="AA36" s="90">
        <f t="shared" si="7"/>
        <v>0</v>
      </c>
    </row>
  </sheetData>
  <customSheetViews>
    <customSheetView guid="{2EA3A6B8-61D5-4EF1-87B1-B14945A241CD}" showGridLines="0" showRowCol="0">
      <selection activeCell="Y4" sqref="Y4"/>
      <pageMargins left="0.7" right="0.7" top="0.75" bottom="0.75" header="0.3" footer="0.3"/>
      <pageSetup paperSize="9" orientation="portrait" r:id="rId1"/>
    </customSheetView>
    <customSheetView guid="{242CE75B-5318-4B80-8985-D15BFA50C3F5}" showGridLines="0" showRowCol="0" topLeftCell="B1">
      <selection activeCell="Y4" sqref="Y4"/>
      <pageMargins left="0.7" right="0.7" top="0.75" bottom="0.75" header="0.3" footer="0.3"/>
      <pageSetup paperSize="9" orientation="portrait" r:id="rId2"/>
    </customSheetView>
    <customSheetView guid="{CA30A091-FDE4-4C31-B428-76E484062E02}" showGridLines="0" showRowCol="0">
      <selection activeCell="Y4" sqref="Y4"/>
      <pageMargins left="0.7" right="0.7" top="0.75" bottom="0.75" header="0.3" footer="0.3"/>
      <pageSetup paperSize="9" orientation="portrait" r:id="rId3"/>
    </customSheetView>
  </customSheetViews>
  <mergeCells count="5">
    <mergeCell ref="AA7:AA8"/>
    <mergeCell ref="Y7:Y8"/>
    <mergeCell ref="Z7:Z8"/>
    <mergeCell ref="B1:V1"/>
    <mergeCell ref="X7:X8"/>
  </mergeCells>
  <conditionalFormatting sqref="C8:V8 B6:K6">
    <cfRule type="cellIs" dxfId="11" priority="4" stopIfTrue="1" operator="equal">
      <formula>"F"</formula>
    </cfRule>
    <cfRule type="cellIs" dxfId="10" priority="5" stopIfTrue="1" operator="equal">
      <formula>"C"</formula>
    </cfRule>
    <cfRule type="cellIs" dxfId="9" priority="6" stopIfTrue="1" operator="equal">
      <formula>"C"</formula>
    </cfRule>
  </conditionalFormatting>
  <conditionalFormatting sqref="C9:V28">
    <cfRule type="cellIs" dxfId="8" priority="1" stopIfTrue="1" operator="equal">
      <formula>0</formula>
    </cfRule>
    <cfRule type="cellIs" dxfId="7" priority="2" stopIfTrue="1" operator="equal">
      <formula>1</formula>
    </cfRule>
    <cfRule type="cellIs" dxfId="6" priority="3" stopIfTrue="1" operator="greaterThan">
      <formula>1</formula>
    </cfRule>
  </conditionalFormatting>
  <hyperlinks>
    <hyperlink ref="Y2" location="PPrincipal!A1" display="* Pagina Principal"/>
    <hyperlink ref="Y3" location="CBarinas!A1" display="Barinas"/>
    <hyperlink ref="Y4" location="CTáchira!A1" display="Táchira"/>
    <hyperlink ref="Y5" location="CTrujillo!A1" display="Trujillo"/>
  </hyperlinks>
  <pageMargins left="0.7" right="0.7" top="0.75" bottom="0.75" header="0.3" footer="0.3"/>
  <pageSetup paperSize="9"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>
  <dimension ref="B1:AA350"/>
  <sheetViews>
    <sheetView showGridLines="0" showRowColHeaders="0" workbookViewId="0">
      <pane ySplit="8" topLeftCell="A175" activePane="bottomLeft" state="frozen"/>
      <selection pane="bottomLeft" activeCell="I3" sqref="I3"/>
    </sheetView>
  </sheetViews>
  <sheetFormatPr baseColWidth="10" defaultRowHeight="12.75"/>
  <cols>
    <col min="1" max="1" width="42.7109375" customWidth="1"/>
    <col min="2" max="12" width="13.7109375" customWidth="1"/>
    <col min="13" max="13" width="13.7109375" style="21" customWidth="1"/>
    <col min="14" max="34" width="13.7109375" customWidth="1"/>
  </cols>
  <sheetData>
    <row r="1" spans="2:27" s="13" customFormat="1">
      <c r="J1" s="111"/>
      <c r="M1" s="26"/>
      <c r="P1" s="60"/>
      <c r="Q1" s="60"/>
      <c r="R1" s="60"/>
    </row>
    <row r="2" spans="2:27" s="13" customFormat="1">
      <c r="I2" s="158" t="s">
        <v>7</v>
      </c>
      <c r="M2" s="26"/>
      <c r="P2" s="61" t="s">
        <v>34</v>
      </c>
      <c r="Q2" s="100">
        <f>R9</f>
        <v>0.34908200734394124</v>
      </c>
      <c r="R2" s="59"/>
    </row>
    <row r="3" spans="2:27" s="13" customFormat="1">
      <c r="I3" s="158" t="s">
        <v>81</v>
      </c>
      <c r="M3" s="26"/>
      <c r="P3" s="61" t="s">
        <v>37</v>
      </c>
      <c r="Q3" s="100">
        <f>U9</f>
        <v>0.15079559363525091</v>
      </c>
      <c r="R3" s="59"/>
    </row>
    <row r="4" spans="2:27" s="13" customFormat="1">
      <c r="I4" s="158" t="s">
        <v>82</v>
      </c>
      <c r="M4" s="26"/>
      <c r="P4" s="61" t="s">
        <v>36</v>
      </c>
      <c r="Q4" s="100">
        <f>X9</f>
        <v>0.44357405140758877</v>
      </c>
      <c r="R4" s="59"/>
    </row>
    <row r="5" spans="2:27" s="13" customFormat="1">
      <c r="I5" s="158" t="s">
        <v>83</v>
      </c>
      <c r="M5" s="26"/>
      <c r="P5" s="61" t="s">
        <v>4</v>
      </c>
      <c r="Q5" s="100">
        <f>AA9</f>
        <v>5.6548347613219092E-2</v>
      </c>
      <c r="R5" s="59"/>
    </row>
    <row r="6" spans="2:27" s="13" customFormat="1" ht="33">
      <c r="C6" s="15">
        <v>5</v>
      </c>
      <c r="D6" s="15" t="s">
        <v>30</v>
      </c>
      <c r="E6" s="14"/>
      <c r="F6" s="14"/>
      <c r="G6" s="14"/>
      <c r="H6" s="14"/>
      <c r="J6"/>
      <c r="M6" s="26"/>
    </row>
    <row r="7" spans="2:27" ht="13.5" thickBot="1"/>
    <row r="8" spans="2:27" ht="45.75" thickBot="1">
      <c r="B8" s="23" t="s">
        <v>1</v>
      </c>
      <c r="C8" s="24" t="s">
        <v>2</v>
      </c>
      <c r="D8" s="25" t="s">
        <v>0</v>
      </c>
      <c r="E8" s="12" t="s">
        <v>34</v>
      </c>
      <c r="F8" s="12" t="s">
        <v>35</v>
      </c>
      <c r="G8" s="12" t="s">
        <v>36</v>
      </c>
      <c r="H8" s="12" t="s">
        <v>4</v>
      </c>
      <c r="M8" s="55" t="s">
        <v>33</v>
      </c>
      <c r="P8" s="166" t="s">
        <v>34</v>
      </c>
      <c r="Q8" s="167"/>
      <c r="R8" s="168"/>
      <c r="S8" s="166" t="s">
        <v>37</v>
      </c>
      <c r="T8" s="167"/>
      <c r="U8" s="168"/>
      <c r="V8" s="166" t="s">
        <v>36</v>
      </c>
      <c r="W8" s="167"/>
      <c r="X8" s="168"/>
      <c r="Y8" s="166" t="s">
        <v>4</v>
      </c>
      <c r="Z8" s="167"/>
      <c r="AA8" s="168"/>
    </row>
    <row r="9" spans="2:27" ht="18">
      <c r="B9" s="51">
        <v>5</v>
      </c>
      <c r="C9" s="51">
        <v>6</v>
      </c>
      <c r="D9" s="51">
        <v>1</v>
      </c>
      <c r="E9" s="51">
        <v>8</v>
      </c>
      <c r="F9" s="51">
        <v>0</v>
      </c>
      <c r="G9" s="51">
        <v>6</v>
      </c>
      <c r="H9" s="51">
        <v>8</v>
      </c>
      <c r="M9" s="21">
        <v>1</v>
      </c>
      <c r="N9" s="164" t="s">
        <v>0</v>
      </c>
      <c r="O9" s="164"/>
      <c r="P9" s="31">
        <f>SUM(Adan_Chavez)</f>
        <v>1426</v>
      </c>
      <c r="Q9" s="32">
        <f>P9</f>
        <v>1426</v>
      </c>
      <c r="R9" s="33">
        <f>P9/($P$9+$S$9+$V$9+$Y$9)</f>
        <v>0.34908200734394124</v>
      </c>
      <c r="S9" s="31">
        <f>SUM(Rafael_Simon_Jimenez)</f>
        <v>616</v>
      </c>
      <c r="T9" s="32">
        <f>S9</f>
        <v>616</v>
      </c>
      <c r="U9" s="33">
        <f>S9/($P$9+$S$9+$V$9+$Y$9)</f>
        <v>0.15079559363525091</v>
      </c>
      <c r="V9" s="31">
        <f>SUM(Julio_Cesar_Reyes)</f>
        <v>1812</v>
      </c>
      <c r="W9" s="32">
        <f>V9</f>
        <v>1812</v>
      </c>
      <c r="X9" s="33">
        <f>V9/($P$9+$S$9+$V$9+$Y$9)</f>
        <v>0.44357405140758877</v>
      </c>
      <c r="Y9" s="31">
        <f>SUM(OtroBA)</f>
        <v>231</v>
      </c>
      <c r="Z9" s="32">
        <f>Y9</f>
        <v>231</v>
      </c>
      <c r="AA9" s="34">
        <f>Y9/($P$9+$S$9+$V$9+$Y$9)</f>
        <v>5.6548347613219092E-2</v>
      </c>
    </row>
    <row r="10" spans="2:27" ht="18">
      <c r="B10" s="51">
        <v>5</v>
      </c>
      <c r="C10" s="52">
        <v>6</v>
      </c>
      <c r="D10" s="51">
        <v>2</v>
      </c>
      <c r="E10" s="52">
        <v>13</v>
      </c>
      <c r="F10" s="52">
        <v>1</v>
      </c>
      <c r="G10" s="52">
        <v>10</v>
      </c>
      <c r="H10" s="52">
        <v>1</v>
      </c>
      <c r="J10" s="5"/>
      <c r="M10" s="21">
        <v>1</v>
      </c>
      <c r="N10" s="6">
        <v>0.3125</v>
      </c>
      <c r="O10" s="2">
        <v>1</v>
      </c>
      <c r="P10" s="4">
        <f t="shared" ref="P10:P29" si="0">SUMIF(TurnoBA,$O10,Adan_Chavez)</f>
        <v>72</v>
      </c>
      <c r="Q10" s="5">
        <f>P10</f>
        <v>72</v>
      </c>
      <c r="R10" s="10">
        <f>IF(P10&lt;&gt;0,Q10/($Q10+$T10+$W10+$Z10),LOOKUP(2121,$R$3:$R$6))</f>
        <v>0.30769230769230771</v>
      </c>
      <c r="S10" s="4">
        <f t="shared" ref="S10:S29" si="1">SUMIF(TurnoBA,$O10,Rafael_Simon_Jimenez)</f>
        <v>41</v>
      </c>
      <c r="T10" s="5">
        <f>S10</f>
        <v>41</v>
      </c>
      <c r="U10" s="10">
        <f>IF(S10&lt;&gt;0,T10/($Q10+$T10+$W10+$Z10),LOOKUP(2121,$R$3:$R$6))</f>
        <v>0.1752136752136752</v>
      </c>
      <c r="V10" s="4">
        <f t="shared" ref="V10:V29" si="2">SUMIF(TurnoBA,$O10,Julio_Cesar_Reyes)</f>
        <v>97</v>
      </c>
      <c r="W10" s="5">
        <f>V10</f>
        <v>97</v>
      </c>
      <c r="X10" s="10">
        <f>IF(V10&lt;&gt;0,W10/($Q10+$T10+$W10+$Z10),LOOKUP(2121,$R$3:$R$6))</f>
        <v>0.41452991452991456</v>
      </c>
      <c r="Y10" s="4">
        <f t="shared" ref="Y10:Y29" si="3">SUMIF(TurnoBA,$O10,OtroBA)</f>
        <v>24</v>
      </c>
      <c r="Z10" s="5">
        <f>Y10</f>
        <v>24</v>
      </c>
      <c r="AA10" s="3">
        <f>IF(Y10&lt;&gt;0,Z10/($Q10+$T10+$W10+$Z10),LOOKUP(2121,$R$3:$R$6))</f>
        <v>0.10256410256410256</v>
      </c>
    </row>
    <row r="11" spans="2:27" ht="18">
      <c r="B11" s="51">
        <v>5</v>
      </c>
      <c r="C11" s="52">
        <v>8</v>
      </c>
      <c r="D11" s="51">
        <v>1</v>
      </c>
      <c r="E11" s="52">
        <v>3</v>
      </c>
      <c r="F11" s="52">
        <v>1</v>
      </c>
      <c r="G11" s="52">
        <v>6</v>
      </c>
      <c r="H11" s="52">
        <v>0</v>
      </c>
      <c r="M11" s="21">
        <v>1</v>
      </c>
      <c r="N11" s="6">
        <v>0.33333333333333298</v>
      </c>
      <c r="O11" s="2">
        <v>2</v>
      </c>
      <c r="P11" s="4">
        <f t="shared" si="0"/>
        <v>113</v>
      </c>
      <c r="Q11" s="5">
        <f>Q10+P11</f>
        <v>185</v>
      </c>
      <c r="R11" s="10">
        <f t="shared" ref="R11:R29" si="4">IF(P11&lt;&gt;0,Q11/($Q11+$T11+$W11+$Z11),LOOKUP(2121,$R$3:$R$6))</f>
        <v>0.33759124087591241</v>
      </c>
      <c r="S11" s="4">
        <f t="shared" si="1"/>
        <v>61</v>
      </c>
      <c r="T11" s="5">
        <f>T10+S11</f>
        <v>102</v>
      </c>
      <c r="U11" s="10">
        <f t="shared" ref="U11:U29" si="5">IF(S11&lt;&gt;0,T11/($Q11+$T11+$W11+$Z11),LOOKUP(2121,$R$3:$R$6))</f>
        <v>0.18613138686131386</v>
      </c>
      <c r="V11" s="4">
        <f t="shared" si="2"/>
        <v>125</v>
      </c>
      <c r="W11" s="5">
        <f>W10+V11</f>
        <v>222</v>
      </c>
      <c r="X11" s="10">
        <f t="shared" ref="X11:X29" si="6">IF(V11&lt;&gt;0,W11/($Q11+$T11+$W11+$Z11),LOOKUP(2121,$R$3:$R$6))</f>
        <v>0.4051094890510949</v>
      </c>
      <c r="Y11" s="4">
        <f t="shared" si="3"/>
        <v>15</v>
      </c>
      <c r="Z11" s="5">
        <f>Z10+Y11</f>
        <v>39</v>
      </c>
      <c r="AA11" s="3">
        <f t="shared" ref="AA11:AA29" si="7">IF(Y11&lt;&gt;0,Z11/($Q11+$T11+$W11+$Z11),LOOKUP(2121,$R$3:$R$6))</f>
        <v>7.1167883211678828E-2</v>
      </c>
    </row>
    <row r="12" spans="2:27" ht="18">
      <c r="B12" s="51">
        <v>5</v>
      </c>
      <c r="C12" s="52">
        <v>5</v>
      </c>
      <c r="D12" s="51">
        <v>4</v>
      </c>
      <c r="E12" s="52">
        <v>5</v>
      </c>
      <c r="F12" s="52">
        <v>1</v>
      </c>
      <c r="G12" s="52">
        <v>13</v>
      </c>
      <c r="H12" s="52">
        <v>0</v>
      </c>
      <c r="M12" s="21">
        <v>1</v>
      </c>
      <c r="N12" s="6">
        <v>0.35416666666666702</v>
      </c>
      <c r="O12" s="2">
        <v>3</v>
      </c>
      <c r="P12" s="4">
        <f t="shared" si="0"/>
        <v>86</v>
      </c>
      <c r="Q12" s="5">
        <f t="shared" ref="Q12:Q29" si="8">Q11+P12</f>
        <v>271</v>
      </c>
      <c r="R12" s="10">
        <f t="shared" si="4"/>
        <v>0.34522292993630571</v>
      </c>
      <c r="S12" s="4">
        <f t="shared" si="1"/>
        <v>43</v>
      </c>
      <c r="T12" s="5">
        <f t="shared" ref="T12:T29" si="9">T11+S12</f>
        <v>145</v>
      </c>
      <c r="U12" s="10">
        <f t="shared" si="5"/>
        <v>0.18471337579617833</v>
      </c>
      <c r="V12" s="4">
        <f t="shared" si="2"/>
        <v>97</v>
      </c>
      <c r="W12" s="5">
        <f t="shared" ref="W12:W29" si="10">W11+V12</f>
        <v>319</v>
      </c>
      <c r="X12" s="10">
        <f t="shared" si="6"/>
        <v>0.40636942675159238</v>
      </c>
      <c r="Y12" s="4">
        <f t="shared" si="3"/>
        <v>11</v>
      </c>
      <c r="Z12" s="5">
        <f t="shared" ref="Z12:Z29" si="11">Z11+Y12</f>
        <v>50</v>
      </c>
      <c r="AA12" s="3">
        <f t="shared" si="7"/>
        <v>6.3694267515923567E-2</v>
      </c>
    </row>
    <row r="13" spans="2:27" ht="18">
      <c r="B13" s="51">
        <v>5</v>
      </c>
      <c r="C13" s="52">
        <v>12</v>
      </c>
      <c r="D13" s="51">
        <v>1</v>
      </c>
      <c r="E13" s="52">
        <v>3</v>
      </c>
      <c r="F13" s="52">
        <v>1</v>
      </c>
      <c r="G13" s="52">
        <v>2</v>
      </c>
      <c r="H13" s="52">
        <v>0</v>
      </c>
      <c r="M13" s="21">
        <v>1</v>
      </c>
      <c r="N13" s="6">
        <v>0.375</v>
      </c>
      <c r="O13" s="2">
        <v>4</v>
      </c>
      <c r="P13" s="4">
        <f t="shared" si="0"/>
        <v>132</v>
      </c>
      <c r="Q13" s="5">
        <f t="shared" si="8"/>
        <v>403</v>
      </c>
      <c r="R13" s="10">
        <f t="shared" si="4"/>
        <v>0.34922010398613518</v>
      </c>
      <c r="S13" s="4">
        <f t="shared" si="1"/>
        <v>73</v>
      </c>
      <c r="T13" s="5">
        <f t="shared" si="9"/>
        <v>218</v>
      </c>
      <c r="U13" s="10">
        <f t="shared" si="5"/>
        <v>0.18890814558058924</v>
      </c>
      <c r="V13" s="4">
        <f t="shared" si="2"/>
        <v>148</v>
      </c>
      <c r="W13" s="5">
        <f t="shared" si="10"/>
        <v>467</v>
      </c>
      <c r="X13" s="10">
        <f t="shared" si="6"/>
        <v>0.40467937608318894</v>
      </c>
      <c r="Y13" s="4">
        <f t="shared" si="3"/>
        <v>16</v>
      </c>
      <c r="Z13" s="5">
        <f t="shared" si="11"/>
        <v>66</v>
      </c>
      <c r="AA13" s="3">
        <f t="shared" si="7"/>
        <v>5.7192374350086658E-2</v>
      </c>
    </row>
    <row r="14" spans="2:27" ht="18">
      <c r="B14" s="51">
        <v>5</v>
      </c>
      <c r="C14" s="52">
        <v>1</v>
      </c>
      <c r="D14" s="51">
        <v>2</v>
      </c>
      <c r="E14" s="52">
        <v>10</v>
      </c>
      <c r="F14" s="52">
        <v>0</v>
      </c>
      <c r="G14" s="52">
        <v>4</v>
      </c>
      <c r="H14" s="52">
        <v>0</v>
      </c>
      <c r="M14" s="21">
        <v>1</v>
      </c>
      <c r="N14" s="6">
        <v>0.39583333333333298</v>
      </c>
      <c r="O14" s="2">
        <v>5</v>
      </c>
      <c r="P14" s="4">
        <f t="shared" si="0"/>
        <v>134</v>
      </c>
      <c r="Q14" s="5">
        <f t="shared" si="8"/>
        <v>537</v>
      </c>
      <c r="R14" s="10">
        <f t="shared" si="4"/>
        <v>0.35029354207436397</v>
      </c>
      <c r="S14" s="4">
        <f t="shared" si="1"/>
        <v>47</v>
      </c>
      <c r="T14" s="5">
        <f t="shared" si="9"/>
        <v>265</v>
      </c>
      <c r="U14" s="10">
        <f t="shared" si="5"/>
        <v>0.17286366601435094</v>
      </c>
      <c r="V14" s="4">
        <f t="shared" si="2"/>
        <v>179</v>
      </c>
      <c r="W14" s="5">
        <f t="shared" si="10"/>
        <v>646</v>
      </c>
      <c r="X14" s="10">
        <f t="shared" si="6"/>
        <v>0.42139595564253096</v>
      </c>
      <c r="Y14" s="4">
        <f t="shared" si="3"/>
        <v>19</v>
      </c>
      <c r="Z14" s="5">
        <f t="shared" si="11"/>
        <v>85</v>
      </c>
      <c r="AA14" s="3">
        <f t="shared" si="7"/>
        <v>5.5446836268754074E-2</v>
      </c>
    </row>
    <row r="15" spans="2:27" ht="18">
      <c r="B15" s="51">
        <v>5</v>
      </c>
      <c r="C15" s="52">
        <v>8</v>
      </c>
      <c r="D15" s="51">
        <v>2</v>
      </c>
      <c r="E15" s="52">
        <v>4</v>
      </c>
      <c r="F15" s="52">
        <v>3</v>
      </c>
      <c r="G15" s="52">
        <v>18</v>
      </c>
      <c r="H15" s="52">
        <v>1</v>
      </c>
      <c r="M15" s="21">
        <v>1</v>
      </c>
      <c r="N15" s="6">
        <v>0.41666666666666702</v>
      </c>
      <c r="O15" s="2">
        <v>6</v>
      </c>
      <c r="P15" s="4">
        <f t="shared" si="0"/>
        <v>114</v>
      </c>
      <c r="Q15" s="5">
        <f t="shared" si="8"/>
        <v>651</v>
      </c>
      <c r="R15" s="10">
        <f t="shared" si="4"/>
        <v>0.34590860786397448</v>
      </c>
      <c r="S15" s="4">
        <f t="shared" si="1"/>
        <v>34</v>
      </c>
      <c r="T15" s="5">
        <f t="shared" si="9"/>
        <v>299</v>
      </c>
      <c r="U15" s="10">
        <f t="shared" si="5"/>
        <v>0.15887353878852284</v>
      </c>
      <c r="V15" s="4">
        <f t="shared" si="2"/>
        <v>170</v>
      </c>
      <c r="W15" s="5">
        <f t="shared" si="10"/>
        <v>816</v>
      </c>
      <c r="X15" s="10">
        <f t="shared" si="6"/>
        <v>0.43358129649309246</v>
      </c>
      <c r="Y15" s="4">
        <f t="shared" si="3"/>
        <v>31</v>
      </c>
      <c r="Z15" s="5">
        <f t="shared" si="11"/>
        <v>116</v>
      </c>
      <c r="AA15" s="3">
        <f t="shared" si="7"/>
        <v>6.1636556854410204E-2</v>
      </c>
    </row>
    <row r="16" spans="2:27" ht="18">
      <c r="B16" s="51">
        <v>5</v>
      </c>
      <c r="C16" s="52">
        <v>15</v>
      </c>
      <c r="D16" s="51">
        <v>1</v>
      </c>
      <c r="E16" s="52">
        <v>4</v>
      </c>
      <c r="F16" s="52">
        <v>0</v>
      </c>
      <c r="G16" s="52">
        <v>1</v>
      </c>
      <c r="H16" s="52">
        <v>0</v>
      </c>
      <c r="M16" s="21">
        <v>1</v>
      </c>
      <c r="N16" s="6">
        <v>0.4375</v>
      </c>
      <c r="O16" s="2">
        <v>7</v>
      </c>
      <c r="P16" s="4">
        <f t="shared" si="0"/>
        <v>104</v>
      </c>
      <c r="Q16" s="5">
        <f t="shared" si="8"/>
        <v>755</v>
      </c>
      <c r="R16" s="10">
        <f t="shared" si="4"/>
        <v>0.34986098239110286</v>
      </c>
      <c r="S16" s="4">
        <f t="shared" si="1"/>
        <v>33</v>
      </c>
      <c r="T16" s="5">
        <f t="shared" si="9"/>
        <v>332</v>
      </c>
      <c r="U16" s="10">
        <f t="shared" si="5"/>
        <v>0.15384615384615385</v>
      </c>
      <c r="V16" s="4">
        <f t="shared" si="2"/>
        <v>121</v>
      </c>
      <c r="W16" s="5">
        <f t="shared" si="10"/>
        <v>937</v>
      </c>
      <c r="X16" s="10">
        <f t="shared" si="6"/>
        <v>0.43419833178869321</v>
      </c>
      <c r="Y16" s="4">
        <f t="shared" si="3"/>
        <v>18</v>
      </c>
      <c r="Z16" s="5">
        <f t="shared" si="11"/>
        <v>134</v>
      </c>
      <c r="AA16" s="3">
        <f t="shared" si="7"/>
        <v>6.2094531974050043E-2</v>
      </c>
    </row>
    <row r="17" spans="2:27" ht="18">
      <c r="B17" s="51">
        <v>5</v>
      </c>
      <c r="C17" s="52">
        <v>12</v>
      </c>
      <c r="D17" s="51">
        <v>2</v>
      </c>
      <c r="E17" s="52">
        <v>14</v>
      </c>
      <c r="F17" s="52">
        <v>0</v>
      </c>
      <c r="G17" s="52">
        <v>8</v>
      </c>
      <c r="H17" s="52">
        <v>0</v>
      </c>
      <c r="M17" s="21">
        <v>1</v>
      </c>
      <c r="N17" s="6">
        <v>0.45833333333333298</v>
      </c>
      <c r="O17" s="2">
        <v>8</v>
      </c>
      <c r="P17" s="4">
        <f t="shared" si="0"/>
        <v>81</v>
      </c>
      <c r="Q17" s="5">
        <f t="shared" si="8"/>
        <v>836</v>
      </c>
      <c r="R17" s="10">
        <f t="shared" si="4"/>
        <v>0.34818825489379424</v>
      </c>
      <c r="S17" s="4">
        <f t="shared" si="1"/>
        <v>38</v>
      </c>
      <c r="T17" s="5">
        <f t="shared" si="9"/>
        <v>370</v>
      </c>
      <c r="U17" s="10">
        <f t="shared" si="5"/>
        <v>0.1541024573094544</v>
      </c>
      <c r="V17" s="4">
        <f t="shared" si="2"/>
        <v>122</v>
      </c>
      <c r="W17" s="5">
        <f t="shared" si="10"/>
        <v>1059</v>
      </c>
      <c r="X17" s="10">
        <f t="shared" si="6"/>
        <v>0.44106622240733029</v>
      </c>
      <c r="Y17" s="4">
        <f t="shared" si="3"/>
        <v>2</v>
      </c>
      <c r="Z17" s="5">
        <f t="shared" si="11"/>
        <v>136</v>
      </c>
      <c r="AA17" s="3">
        <f t="shared" si="7"/>
        <v>5.6643065389421071E-2</v>
      </c>
    </row>
    <row r="18" spans="2:27" ht="18">
      <c r="B18" s="51">
        <v>5</v>
      </c>
      <c r="C18" s="52">
        <v>15</v>
      </c>
      <c r="D18" s="51">
        <v>2</v>
      </c>
      <c r="E18" s="52">
        <v>8</v>
      </c>
      <c r="F18" s="52">
        <v>3</v>
      </c>
      <c r="G18" s="52">
        <v>3</v>
      </c>
      <c r="H18" s="52">
        <v>0</v>
      </c>
      <c r="M18" s="21">
        <v>1</v>
      </c>
      <c r="N18" s="6">
        <v>0.47916666666666702</v>
      </c>
      <c r="O18" s="2">
        <v>9</v>
      </c>
      <c r="P18" s="4">
        <f t="shared" si="0"/>
        <v>134</v>
      </c>
      <c r="Q18" s="5">
        <f t="shared" si="8"/>
        <v>970</v>
      </c>
      <c r="R18" s="10">
        <f t="shared" si="4"/>
        <v>0.35106768005790806</v>
      </c>
      <c r="S18" s="4">
        <f t="shared" si="1"/>
        <v>60</v>
      </c>
      <c r="T18" s="5">
        <f t="shared" si="9"/>
        <v>430</v>
      </c>
      <c r="U18" s="10">
        <f t="shared" si="5"/>
        <v>0.1556279406442273</v>
      </c>
      <c r="V18" s="4">
        <f t="shared" si="2"/>
        <v>148</v>
      </c>
      <c r="W18" s="5">
        <f t="shared" si="10"/>
        <v>1207</v>
      </c>
      <c r="X18" s="10">
        <f t="shared" si="6"/>
        <v>0.43684401013391244</v>
      </c>
      <c r="Y18" s="4">
        <f t="shared" si="3"/>
        <v>20</v>
      </c>
      <c r="Z18" s="5">
        <f t="shared" si="11"/>
        <v>156</v>
      </c>
      <c r="AA18" s="3">
        <f t="shared" si="7"/>
        <v>5.6460369163952223E-2</v>
      </c>
    </row>
    <row r="19" spans="2:27" ht="18">
      <c r="B19" s="51">
        <v>5</v>
      </c>
      <c r="C19" s="52">
        <v>17</v>
      </c>
      <c r="D19" s="51">
        <v>2</v>
      </c>
      <c r="E19" s="52">
        <v>11</v>
      </c>
      <c r="F19" s="52">
        <v>3</v>
      </c>
      <c r="G19" s="52">
        <v>11</v>
      </c>
      <c r="H19" s="52">
        <v>0</v>
      </c>
      <c r="M19" s="21">
        <v>1</v>
      </c>
      <c r="N19" s="6">
        <v>0.5</v>
      </c>
      <c r="O19" s="2">
        <v>10</v>
      </c>
      <c r="P19" s="4">
        <f t="shared" si="0"/>
        <v>98</v>
      </c>
      <c r="Q19" s="5">
        <f t="shared" si="8"/>
        <v>1068</v>
      </c>
      <c r="R19" s="10">
        <f t="shared" si="4"/>
        <v>0.3466407010710808</v>
      </c>
      <c r="S19" s="4">
        <f t="shared" si="1"/>
        <v>52</v>
      </c>
      <c r="T19" s="5">
        <f t="shared" si="9"/>
        <v>482</v>
      </c>
      <c r="U19" s="10">
        <f t="shared" si="5"/>
        <v>0.15644271340473873</v>
      </c>
      <c r="V19" s="4">
        <f t="shared" si="2"/>
        <v>145</v>
      </c>
      <c r="W19" s="5">
        <f t="shared" si="10"/>
        <v>1352</v>
      </c>
      <c r="X19" s="10">
        <f t="shared" si="6"/>
        <v>0.43881856540084391</v>
      </c>
      <c r="Y19" s="4">
        <f t="shared" si="3"/>
        <v>23</v>
      </c>
      <c r="Z19" s="5">
        <f t="shared" si="11"/>
        <v>179</v>
      </c>
      <c r="AA19" s="3">
        <f t="shared" si="7"/>
        <v>5.8098020123336577E-2</v>
      </c>
    </row>
    <row r="20" spans="2:27" ht="18">
      <c r="B20" s="51">
        <v>5</v>
      </c>
      <c r="C20" s="52">
        <v>8</v>
      </c>
      <c r="D20" s="51">
        <v>3</v>
      </c>
      <c r="E20" s="52">
        <v>4</v>
      </c>
      <c r="F20" s="52">
        <v>1</v>
      </c>
      <c r="G20" s="52">
        <v>4</v>
      </c>
      <c r="H20" s="52">
        <v>0</v>
      </c>
      <c r="M20" s="21">
        <v>1</v>
      </c>
      <c r="N20" s="6">
        <v>0.52083333333333304</v>
      </c>
      <c r="O20" s="2">
        <v>11</v>
      </c>
      <c r="P20" s="4">
        <f t="shared" si="0"/>
        <v>101</v>
      </c>
      <c r="Q20" s="5">
        <f t="shared" si="8"/>
        <v>1169</v>
      </c>
      <c r="R20" s="10">
        <f t="shared" si="4"/>
        <v>0.34678137051320085</v>
      </c>
      <c r="S20" s="4">
        <f t="shared" si="1"/>
        <v>43</v>
      </c>
      <c r="T20" s="5">
        <f t="shared" si="9"/>
        <v>525</v>
      </c>
      <c r="U20" s="10">
        <f t="shared" si="5"/>
        <v>0.15574013645802431</v>
      </c>
      <c r="V20" s="4">
        <f t="shared" si="2"/>
        <v>130</v>
      </c>
      <c r="W20" s="5">
        <f t="shared" si="10"/>
        <v>1482</v>
      </c>
      <c r="X20" s="10">
        <f t="shared" si="6"/>
        <v>0.4396321566300801</v>
      </c>
      <c r="Y20" s="4">
        <f t="shared" si="3"/>
        <v>16</v>
      </c>
      <c r="Z20" s="5">
        <f t="shared" si="11"/>
        <v>195</v>
      </c>
      <c r="AA20" s="3">
        <f t="shared" si="7"/>
        <v>5.7846336398694749E-2</v>
      </c>
    </row>
    <row r="21" spans="2:27" ht="18">
      <c r="B21" s="51">
        <v>5</v>
      </c>
      <c r="C21" s="52">
        <v>6</v>
      </c>
      <c r="D21" s="51">
        <v>5</v>
      </c>
      <c r="E21" s="52">
        <v>5</v>
      </c>
      <c r="F21" s="52">
        <v>1</v>
      </c>
      <c r="G21" s="52">
        <v>5</v>
      </c>
      <c r="H21" s="52">
        <v>4</v>
      </c>
      <c r="M21" s="21">
        <v>1</v>
      </c>
      <c r="N21" s="6">
        <v>4.1666666666666664E-2</v>
      </c>
      <c r="O21" s="2">
        <v>12</v>
      </c>
      <c r="P21" s="4">
        <f t="shared" si="0"/>
        <v>82</v>
      </c>
      <c r="Q21" s="5">
        <f t="shared" si="8"/>
        <v>1251</v>
      </c>
      <c r="R21" s="10">
        <f t="shared" si="4"/>
        <v>0.34798331015299028</v>
      </c>
      <c r="S21" s="4">
        <f t="shared" si="1"/>
        <v>16</v>
      </c>
      <c r="T21" s="5">
        <f t="shared" si="9"/>
        <v>541</v>
      </c>
      <c r="U21" s="10">
        <f t="shared" si="5"/>
        <v>0.15048678720445063</v>
      </c>
      <c r="V21" s="4">
        <f t="shared" si="2"/>
        <v>101</v>
      </c>
      <c r="W21" s="5">
        <f t="shared" si="10"/>
        <v>1583</v>
      </c>
      <c r="X21" s="10">
        <f t="shared" si="6"/>
        <v>0.4403337969401947</v>
      </c>
      <c r="Y21" s="4">
        <f t="shared" si="3"/>
        <v>25</v>
      </c>
      <c r="Z21" s="5">
        <f t="shared" si="11"/>
        <v>220</v>
      </c>
      <c r="AA21" s="3">
        <f t="shared" si="7"/>
        <v>6.1196105702364396E-2</v>
      </c>
    </row>
    <row r="22" spans="2:27" ht="18">
      <c r="B22" s="51">
        <v>5</v>
      </c>
      <c r="C22" s="52">
        <v>6</v>
      </c>
      <c r="D22" s="51">
        <v>4</v>
      </c>
      <c r="E22" s="52">
        <v>9</v>
      </c>
      <c r="F22" s="52">
        <v>0</v>
      </c>
      <c r="G22" s="52">
        <v>11</v>
      </c>
      <c r="H22" s="52">
        <v>13</v>
      </c>
      <c r="M22" s="21">
        <v>1</v>
      </c>
      <c r="N22" s="6">
        <v>6.25E-2</v>
      </c>
      <c r="O22" s="2">
        <v>13</v>
      </c>
      <c r="P22" s="4">
        <f t="shared" si="0"/>
        <v>75</v>
      </c>
      <c r="Q22" s="5">
        <f t="shared" si="8"/>
        <v>1326</v>
      </c>
      <c r="R22" s="10">
        <f t="shared" si="4"/>
        <v>0.34812286689419797</v>
      </c>
      <c r="S22" s="4">
        <f t="shared" si="1"/>
        <v>40</v>
      </c>
      <c r="T22" s="5">
        <f t="shared" si="9"/>
        <v>581</v>
      </c>
      <c r="U22" s="10">
        <f t="shared" si="5"/>
        <v>0.15253347335258599</v>
      </c>
      <c r="V22" s="4">
        <f t="shared" si="2"/>
        <v>97</v>
      </c>
      <c r="W22" s="5">
        <f t="shared" si="10"/>
        <v>1680</v>
      </c>
      <c r="X22" s="10">
        <f t="shared" si="6"/>
        <v>0.44106064583880283</v>
      </c>
      <c r="Y22" s="4">
        <f t="shared" si="3"/>
        <v>2</v>
      </c>
      <c r="Z22" s="5">
        <f t="shared" si="11"/>
        <v>222</v>
      </c>
      <c r="AA22" s="3">
        <f t="shared" si="7"/>
        <v>5.8283013914413234E-2</v>
      </c>
    </row>
    <row r="23" spans="2:27" ht="18">
      <c r="B23" s="51">
        <v>5</v>
      </c>
      <c r="C23" s="52">
        <v>13</v>
      </c>
      <c r="D23" s="51">
        <v>6</v>
      </c>
      <c r="E23" s="52">
        <v>14</v>
      </c>
      <c r="F23" s="52">
        <v>0</v>
      </c>
      <c r="G23" s="52">
        <v>0</v>
      </c>
      <c r="H23" s="52">
        <v>0</v>
      </c>
      <c r="M23" s="21">
        <v>1</v>
      </c>
      <c r="N23" s="6">
        <v>8.3333333333333329E-2</v>
      </c>
      <c r="O23" s="2">
        <v>14</v>
      </c>
      <c r="P23" s="4">
        <f t="shared" si="0"/>
        <v>56</v>
      </c>
      <c r="Q23" s="5">
        <f t="shared" si="8"/>
        <v>1382</v>
      </c>
      <c r="R23" s="10">
        <f t="shared" si="4"/>
        <v>0.34978486459124275</v>
      </c>
      <c r="S23" s="4">
        <f t="shared" si="1"/>
        <v>21</v>
      </c>
      <c r="T23" s="5">
        <f t="shared" si="9"/>
        <v>602</v>
      </c>
      <c r="U23" s="10">
        <f t="shared" si="5"/>
        <v>0.15236648949633005</v>
      </c>
      <c r="V23" s="4">
        <f t="shared" si="2"/>
        <v>60</v>
      </c>
      <c r="W23" s="5">
        <f t="shared" si="10"/>
        <v>1740</v>
      </c>
      <c r="X23" s="10">
        <f t="shared" si="6"/>
        <v>0.44039483675018981</v>
      </c>
      <c r="Y23" s="4">
        <f t="shared" si="3"/>
        <v>5</v>
      </c>
      <c r="Z23" s="5">
        <f t="shared" si="11"/>
        <v>227</v>
      </c>
      <c r="AA23" s="3">
        <f t="shared" si="7"/>
        <v>5.7453809162237406E-2</v>
      </c>
    </row>
    <row r="24" spans="2:27" ht="18">
      <c r="B24" s="51">
        <v>5</v>
      </c>
      <c r="C24" s="52">
        <v>1</v>
      </c>
      <c r="D24" s="51">
        <v>5</v>
      </c>
      <c r="E24" s="52">
        <v>7</v>
      </c>
      <c r="F24" s="52">
        <v>1</v>
      </c>
      <c r="G24" s="52">
        <v>8</v>
      </c>
      <c r="H24" s="52">
        <v>1</v>
      </c>
      <c r="M24" s="21">
        <v>1</v>
      </c>
      <c r="N24" s="6">
        <v>0.104166666666667</v>
      </c>
      <c r="O24" s="2">
        <v>15</v>
      </c>
      <c r="P24" s="4">
        <f t="shared" si="0"/>
        <v>20</v>
      </c>
      <c r="Q24" s="5">
        <f t="shared" si="8"/>
        <v>1402</v>
      </c>
      <c r="R24" s="10">
        <f t="shared" si="4"/>
        <v>0.34980039920159678</v>
      </c>
      <c r="S24" s="4">
        <f t="shared" si="1"/>
        <v>3</v>
      </c>
      <c r="T24" s="5">
        <f t="shared" si="9"/>
        <v>605</v>
      </c>
      <c r="U24" s="10">
        <f t="shared" si="5"/>
        <v>0.15094810379241516</v>
      </c>
      <c r="V24" s="4">
        <f t="shared" si="2"/>
        <v>33</v>
      </c>
      <c r="W24" s="5">
        <f t="shared" si="10"/>
        <v>1773</v>
      </c>
      <c r="X24" s="10">
        <f t="shared" si="6"/>
        <v>0.44236526946107785</v>
      </c>
      <c r="Y24" s="4">
        <f t="shared" si="3"/>
        <v>1</v>
      </c>
      <c r="Z24" s="5">
        <f t="shared" si="11"/>
        <v>228</v>
      </c>
      <c r="AA24" s="3">
        <f t="shared" si="7"/>
        <v>5.6886227544910177E-2</v>
      </c>
    </row>
    <row r="25" spans="2:27" ht="18">
      <c r="B25" s="51">
        <v>5</v>
      </c>
      <c r="C25" s="52">
        <v>1</v>
      </c>
      <c r="D25" s="51">
        <v>3</v>
      </c>
      <c r="E25" s="52">
        <v>10</v>
      </c>
      <c r="F25" s="52">
        <v>1</v>
      </c>
      <c r="G25" s="52">
        <v>5</v>
      </c>
      <c r="H25" s="52">
        <v>0</v>
      </c>
      <c r="M25" s="21">
        <v>1</v>
      </c>
      <c r="N25" s="6">
        <v>0.125</v>
      </c>
      <c r="O25" s="2">
        <v>16</v>
      </c>
      <c r="P25" s="4">
        <f t="shared" si="0"/>
        <v>24</v>
      </c>
      <c r="Q25" s="5">
        <f t="shared" si="8"/>
        <v>1426</v>
      </c>
      <c r="R25" s="10">
        <f t="shared" si="4"/>
        <v>0.34908200734394124</v>
      </c>
      <c r="S25" s="4">
        <f t="shared" si="1"/>
        <v>11</v>
      </c>
      <c r="T25" s="5">
        <f t="shared" si="9"/>
        <v>616</v>
      </c>
      <c r="U25" s="10">
        <f t="shared" si="5"/>
        <v>0.15079559363525091</v>
      </c>
      <c r="V25" s="4">
        <f t="shared" si="2"/>
        <v>39</v>
      </c>
      <c r="W25" s="5">
        <f t="shared" si="10"/>
        <v>1812</v>
      </c>
      <c r="X25" s="10">
        <f t="shared" si="6"/>
        <v>0.44357405140758877</v>
      </c>
      <c r="Y25" s="4">
        <f t="shared" si="3"/>
        <v>3</v>
      </c>
      <c r="Z25" s="5">
        <f t="shared" si="11"/>
        <v>231</v>
      </c>
      <c r="AA25" s="3">
        <f t="shared" si="7"/>
        <v>5.6548347613219092E-2</v>
      </c>
    </row>
    <row r="26" spans="2:27" ht="18">
      <c r="B26" s="51">
        <v>5</v>
      </c>
      <c r="C26" s="52">
        <v>1</v>
      </c>
      <c r="D26" s="51">
        <v>4</v>
      </c>
      <c r="E26" s="52">
        <v>8</v>
      </c>
      <c r="F26" s="52">
        <v>3</v>
      </c>
      <c r="G26" s="52">
        <v>3</v>
      </c>
      <c r="H26" s="52">
        <v>0</v>
      </c>
      <c r="M26" s="21">
        <v>1</v>
      </c>
      <c r="N26" s="6">
        <v>0.14583333333333301</v>
      </c>
      <c r="O26" s="2">
        <v>17</v>
      </c>
      <c r="P26" s="4">
        <f t="shared" si="0"/>
        <v>0</v>
      </c>
      <c r="Q26" s="5">
        <f t="shared" si="8"/>
        <v>1426</v>
      </c>
      <c r="R26" s="10" t="e">
        <f t="shared" si="4"/>
        <v>#N/A</v>
      </c>
      <c r="S26" s="4">
        <f t="shared" si="1"/>
        <v>0</v>
      </c>
      <c r="T26" s="5">
        <f t="shared" si="9"/>
        <v>616</v>
      </c>
      <c r="U26" s="10" t="e">
        <f t="shared" si="5"/>
        <v>#N/A</v>
      </c>
      <c r="V26" s="4">
        <f t="shared" si="2"/>
        <v>0</v>
      </c>
      <c r="W26" s="5">
        <f t="shared" si="10"/>
        <v>1812</v>
      </c>
      <c r="X26" s="10" t="e">
        <f t="shared" si="6"/>
        <v>#N/A</v>
      </c>
      <c r="Y26" s="4">
        <f t="shared" si="3"/>
        <v>0</v>
      </c>
      <c r="Z26" s="5">
        <f t="shared" si="11"/>
        <v>231</v>
      </c>
      <c r="AA26" s="3" t="e">
        <f t="shared" si="7"/>
        <v>#N/A</v>
      </c>
    </row>
    <row r="27" spans="2:27" ht="18">
      <c r="B27" s="51">
        <v>5</v>
      </c>
      <c r="C27" s="52">
        <v>11</v>
      </c>
      <c r="D27" s="51">
        <v>6</v>
      </c>
      <c r="E27" s="52">
        <v>4</v>
      </c>
      <c r="F27" s="52">
        <v>0</v>
      </c>
      <c r="G27" s="52">
        <v>11</v>
      </c>
      <c r="H27" s="52">
        <v>0</v>
      </c>
      <c r="M27" s="21">
        <v>1</v>
      </c>
      <c r="N27" s="6">
        <v>0.16666666666666599</v>
      </c>
      <c r="O27" s="2">
        <v>18</v>
      </c>
      <c r="P27" s="4">
        <f t="shared" si="0"/>
        <v>0</v>
      </c>
      <c r="Q27" s="5">
        <f t="shared" si="8"/>
        <v>1426</v>
      </c>
      <c r="R27" s="10" t="e">
        <f t="shared" si="4"/>
        <v>#N/A</v>
      </c>
      <c r="S27" s="4">
        <f t="shared" si="1"/>
        <v>0</v>
      </c>
      <c r="T27" s="5">
        <f t="shared" si="9"/>
        <v>616</v>
      </c>
      <c r="U27" s="10" t="e">
        <f t="shared" si="5"/>
        <v>#N/A</v>
      </c>
      <c r="V27" s="4">
        <f t="shared" si="2"/>
        <v>0</v>
      </c>
      <c r="W27" s="5">
        <f t="shared" si="10"/>
        <v>1812</v>
      </c>
      <c r="X27" s="10" t="e">
        <f t="shared" si="6"/>
        <v>#N/A</v>
      </c>
      <c r="Y27" s="4">
        <f t="shared" si="3"/>
        <v>0</v>
      </c>
      <c r="Z27" s="5">
        <f t="shared" si="11"/>
        <v>231</v>
      </c>
      <c r="AA27" s="3" t="e">
        <f t="shared" si="7"/>
        <v>#N/A</v>
      </c>
    </row>
    <row r="28" spans="2:27" ht="18">
      <c r="B28" s="52">
        <v>5</v>
      </c>
      <c r="C28" s="52">
        <v>8</v>
      </c>
      <c r="D28" s="51">
        <v>4</v>
      </c>
      <c r="E28" s="52">
        <v>3</v>
      </c>
      <c r="F28" s="52">
        <v>1</v>
      </c>
      <c r="G28" s="52">
        <v>5</v>
      </c>
      <c r="H28" s="52">
        <v>0</v>
      </c>
      <c r="M28" s="21">
        <v>1</v>
      </c>
      <c r="N28" s="6">
        <v>0.187499999999999</v>
      </c>
      <c r="O28" s="2">
        <v>19</v>
      </c>
      <c r="P28" s="4">
        <f t="shared" si="0"/>
        <v>0</v>
      </c>
      <c r="Q28" s="5">
        <f t="shared" si="8"/>
        <v>1426</v>
      </c>
      <c r="R28" s="10" t="e">
        <f t="shared" si="4"/>
        <v>#N/A</v>
      </c>
      <c r="S28" s="4">
        <f t="shared" si="1"/>
        <v>0</v>
      </c>
      <c r="T28" s="5">
        <f t="shared" si="9"/>
        <v>616</v>
      </c>
      <c r="U28" s="10" t="e">
        <f t="shared" si="5"/>
        <v>#N/A</v>
      </c>
      <c r="V28" s="4">
        <f t="shared" si="2"/>
        <v>0</v>
      </c>
      <c r="W28" s="5">
        <f t="shared" si="10"/>
        <v>1812</v>
      </c>
      <c r="X28" s="10" t="e">
        <f t="shared" si="6"/>
        <v>#N/A</v>
      </c>
      <c r="Y28" s="4">
        <f t="shared" si="3"/>
        <v>0</v>
      </c>
      <c r="Z28" s="5">
        <f t="shared" si="11"/>
        <v>231</v>
      </c>
      <c r="AA28" s="3" t="e">
        <f t="shared" si="7"/>
        <v>#N/A</v>
      </c>
    </row>
    <row r="29" spans="2:27" ht="18.75" thickBot="1">
      <c r="B29" s="52">
        <v>5</v>
      </c>
      <c r="C29" s="52">
        <v>12</v>
      </c>
      <c r="D29" s="51">
        <v>3</v>
      </c>
      <c r="E29" s="52">
        <v>13</v>
      </c>
      <c r="F29" s="52">
        <v>1</v>
      </c>
      <c r="G29" s="52">
        <v>2</v>
      </c>
      <c r="H29" s="52">
        <v>0</v>
      </c>
      <c r="M29" s="21">
        <v>1</v>
      </c>
      <c r="N29" s="6">
        <v>0.20833333333333201</v>
      </c>
      <c r="O29" s="2">
        <v>20</v>
      </c>
      <c r="P29" s="7">
        <f t="shared" si="0"/>
        <v>0</v>
      </c>
      <c r="Q29" s="8">
        <f t="shared" si="8"/>
        <v>1426</v>
      </c>
      <c r="R29" s="11" t="e">
        <f t="shared" si="4"/>
        <v>#N/A</v>
      </c>
      <c r="S29" s="7">
        <f t="shared" si="1"/>
        <v>0</v>
      </c>
      <c r="T29" s="8">
        <f t="shared" si="9"/>
        <v>616</v>
      </c>
      <c r="U29" s="11" t="e">
        <f t="shared" si="5"/>
        <v>#N/A</v>
      </c>
      <c r="V29" s="7">
        <f t="shared" si="2"/>
        <v>0</v>
      </c>
      <c r="W29" s="8">
        <f t="shared" si="10"/>
        <v>1812</v>
      </c>
      <c r="X29" s="11" t="e">
        <f t="shared" si="6"/>
        <v>#N/A</v>
      </c>
      <c r="Y29" s="7">
        <f t="shared" si="3"/>
        <v>0</v>
      </c>
      <c r="Z29" s="8">
        <f t="shared" si="11"/>
        <v>231</v>
      </c>
      <c r="AA29" s="9" t="e">
        <f t="shared" si="7"/>
        <v>#N/A</v>
      </c>
    </row>
    <row r="30" spans="2:27" ht="18">
      <c r="B30" s="52">
        <v>5</v>
      </c>
      <c r="C30" s="52">
        <v>5</v>
      </c>
      <c r="D30" s="51">
        <v>5</v>
      </c>
      <c r="E30" s="52">
        <v>5</v>
      </c>
      <c r="F30" s="52">
        <v>2</v>
      </c>
      <c r="G30" s="52">
        <v>13</v>
      </c>
      <c r="H30" s="52">
        <v>0</v>
      </c>
      <c r="M30" s="21">
        <v>1</v>
      </c>
    </row>
    <row r="31" spans="2:27" ht="18">
      <c r="B31" s="52">
        <v>5</v>
      </c>
      <c r="C31" s="52">
        <v>5</v>
      </c>
      <c r="D31" s="52">
        <v>2</v>
      </c>
      <c r="E31" s="52">
        <v>11</v>
      </c>
      <c r="F31" s="52">
        <v>13</v>
      </c>
      <c r="G31" s="52">
        <v>11</v>
      </c>
      <c r="H31" s="52">
        <v>0</v>
      </c>
      <c r="M31" s="21">
        <v>1</v>
      </c>
    </row>
    <row r="32" spans="2:27" ht="18">
      <c r="B32" s="52">
        <v>5</v>
      </c>
      <c r="C32" s="52">
        <v>5</v>
      </c>
      <c r="D32" s="52">
        <v>3</v>
      </c>
      <c r="E32" s="52">
        <v>5</v>
      </c>
      <c r="F32" s="52">
        <v>2</v>
      </c>
      <c r="G32" s="52">
        <v>13</v>
      </c>
      <c r="H32" s="52">
        <v>0</v>
      </c>
      <c r="M32" s="21">
        <v>1</v>
      </c>
      <c r="O32" s="21">
        <v>1</v>
      </c>
    </row>
    <row r="33" spans="2:15" ht="18">
      <c r="B33" s="52">
        <v>5</v>
      </c>
      <c r="C33" s="52">
        <v>14</v>
      </c>
      <c r="D33" s="52">
        <v>3</v>
      </c>
      <c r="E33" s="52">
        <v>4</v>
      </c>
      <c r="F33" s="52">
        <v>4</v>
      </c>
      <c r="G33" s="52">
        <v>1</v>
      </c>
      <c r="H33" s="52">
        <v>1</v>
      </c>
      <c r="M33" s="21">
        <v>1</v>
      </c>
      <c r="O33" s="21">
        <v>2</v>
      </c>
    </row>
    <row r="34" spans="2:15" ht="18">
      <c r="B34" s="52">
        <v>5</v>
      </c>
      <c r="C34" s="52">
        <v>14</v>
      </c>
      <c r="D34" s="52">
        <v>2</v>
      </c>
      <c r="E34" s="52">
        <v>12</v>
      </c>
      <c r="F34" s="52">
        <v>3</v>
      </c>
      <c r="G34" s="52">
        <v>13</v>
      </c>
      <c r="H34" s="52">
        <v>0</v>
      </c>
      <c r="M34" s="21">
        <v>1</v>
      </c>
      <c r="O34" s="21">
        <v>3</v>
      </c>
    </row>
    <row r="35" spans="2:15" ht="18">
      <c r="B35" s="52">
        <v>5</v>
      </c>
      <c r="C35" s="52">
        <v>14</v>
      </c>
      <c r="D35" s="52">
        <v>1</v>
      </c>
      <c r="E35" s="52">
        <v>29</v>
      </c>
      <c r="F35" s="52">
        <v>9</v>
      </c>
      <c r="G35" s="52">
        <v>30</v>
      </c>
      <c r="H35" s="52">
        <v>0</v>
      </c>
      <c r="M35" s="21">
        <v>1</v>
      </c>
      <c r="O35" s="21">
        <v>4</v>
      </c>
    </row>
    <row r="36" spans="2:15" ht="18">
      <c r="B36" s="52">
        <v>5</v>
      </c>
      <c r="C36" s="52">
        <v>7</v>
      </c>
      <c r="D36" s="52">
        <v>4</v>
      </c>
      <c r="E36" s="52">
        <v>16</v>
      </c>
      <c r="F36" s="52">
        <v>6</v>
      </c>
      <c r="G36" s="52">
        <v>12</v>
      </c>
      <c r="H36" s="52">
        <v>2</v>
      </c>
      <c r="M36" s="21">
        <v>1</v>
      </c>
      <c r="O36" s="21">
        <v>5</v>
      </c>
    </row>
    <row r="37" spans="2:15" ht="18">
      <c r="B37" s="52">
        <v>5</v>
      </c>
      <c r="C37" s="52">
        <v>7</v>
      </c>
      <c r="D37" s="52">
        <v>3</v>
      </c>
      <c r="E37" s="52">
        <v>11</v>
      </c>
      <c r="F37" s="52">
        <v>4</v>
      </c>
      <c r="G37" s="52">
        <v>15</v>
      </c>
      <c r="H37" s="52">
        <v>4</v>
      </c>
      <c r="M37" s="21">
        <v>1</v>
      </c>
      <c r="O37" s="21">
        <v>6</v>
      </c>
    </row>
    <row r="38" spans="2:15" ht="18">
      <c r="B38" s="52">
        <v>5</v>
      </c>
      <c r="C38" s="52">
        <v>7</v>
      </c>
      <c r="D38" s="52">
        <v>2</v>
      </c>
      <c r="E38" s="52">
        <v>9</v>
      </c>
      <c r="F38" s="52">
        <v>2</v>
      </c>
      <c r="G38" s="52">
        <v>10</v>
      </c>
      <c r="H38" s="52">
        <v>6</v>
      </c>
      <c r="M38" s="21">
        <v>1</v>
      </c>
      <c r="O38" s="21">
        <v>7</v>
      </c>
    </row>
    <row r="39" spans="2:15" ht="18">
      <c r="B39" s="52">
        <v>5</v>
      </c>
      <c r="C39" s="52">
        <v>7</v>
      </c>
      <c r="D39" s="52">
        <v>1</v>
      </c>
      <c r="E39" s="52">
        <v>8</v>
      </c>
      <c r="F39" s="52">
        <v>1</v>
      </c>
      <c r="G39" s="52">
        <v>8</v>
      </c>
      <c r="H39" s="52">
        <v>5</v>
      </c>
      <c r="M39" s="21">
        <v>1</v>
      </c>
      <c r="O39" s="21">
        <v>8</v>
      </c>
    </row>
    <row r="40" spans="2:15" ht="18">
      <c r="B40" s="52">
        <v>5</v>
      </c>
      <c r="C40" s="52">
        <v>4</v>
      </c>
      <c r="D40" s="52">
        <v>4</v>
      </c>
      <c r="E40" s="52">
        <v>3</v>
      </c>
      <c r="F40" s="52">
        <v>3</v>
      </c>
      <c r="G40" s="52">
        <v>10</v>
      </c>
      <c r="H40" s="52">
        <v>0</v>
      </c>
      <c r="M40" s="21">
        <v>1</v>
      </c>
      <c r="O40" s="21">
        <v>9</v>
      </c>
    </row>
    <row r="41" spans="2:15" ht="18">
      <c r="B41" s="52">
        <v>5</v>
      </c>
      <c r="C41" s="52">
        <v>4</v>
      </c>
      <c r="D41" s="52">
        <v>3</v>
      </c>
      <c r="E41" s="52">
        <v>2</v>
      </c>
      <c r="F41" s="52">
        <v>4</v>
      </c>
      <c r="G41" s="52">
        <v>10</v>
      </c>
      <c r="H41" s="52">
        <v>0</v>
      </c>
      <c r="M41" s="21">
        <v>1</v>
      </c>
      <c r="O41" s="21">
        <v>10</v>
      </c>
    </row>
    <row r="42" spans="2:15" ht="18">
      <c r="B42" s="52">
        <v>5</v>
      </c>
      <c r="C42" s="52">
        <v>4</v>
      </c>
      <c r="D42" s="52">
        <v>2</v>
      </c>
      <c r="E42" s="52">
        <v>3</v>
      </c>
      <c r="F42" s="52">
        <v>2</v>
      </c>
      <c r="G42" s="52">
        <v>15</v>
      </c>
      <c r="H42" s="52">
        <v>2</v>
      </c>
      <c r="M42" s="21">
        <v>1</v>
      </c>
      <c r="O42" s="21">
        <v>11</v>
      </c>
    </row>
    <row r="43" spans="2:15" ht="18">
      <c r="B43" s="52">
        <v>5</v>
      </c>
      <c r="C43" s="52">
        <v>4</v>
      </c>
      <c r="D43" s="52">
        <v>5</v>
      </c>
      <c r="E43" s="52">
        <v>3</v>
      </c>
      <c r="F43" s="52">
        <v>5</v>
      </c>
      <c r="G43" s="52">
        <v>15</v>
      </c>
      <c r="H43" s="52">
        <v>0</v>
      </c>
      <c r="M43" s="21">
        <v>1</v>
      </c>
      <c r="O43" s="21">
        <v>12</v>
      </c>
    </row>
    <row r="44" spans="2:15" ht="18">
      <c r="B44" s="52">
        <v>5</v>
      </c>
      <c r="C44" s="52">
        <v>4</v>
      </c>
      <c r="D44" s="52">
        <v>1</v>
      </c>
      <c r="E44" s="52">
        <v>2</v>
      </c>
      <c r="F44" s="52">
        <v>3</v>
      </c>
      <c r="G44" s="52">
        <v>17</v>
      </c>
      <c r="H44" s="52">
        <v>0</v>
      </c>
      <c r="M44" s="21">
        <v>1</v>
      </c>
      <c r="O44" s="21">
        <v>13</v>
      </c>
    </row>
    <row r="45" spans="2:15" ht="18">
      <c r="B45" s="52">
        <v>5</v>
      </c>
      <c r="C45" s="52">
        <v>10</v>
      </c>
      <c r="D45" s="52">
        <v>2</v>
      </c>
      <c r="E45" s="52">
        <v>3</v>
      </c>
      <c r="F45" s="52">
        <v>16</v>
      </c>
      <c r="G45" s="52">
        <v>12</v>
      </c>
      <c r="H45" s="52">
        <v>0</v>
      </c>
      <c r="M45" s="21">
        <v>1</v>
      </c>
      <c r="O45" s="21">
        <v>14</v>
      </c>
    </row>
    <row r="46" spans="2:15" ht="18">
      <c r="B46" s="52">
        <v>5</v>
      </c>
      <c r="C46" s="52">
        <v>10</v>
      </c>
      <c r="D46" s="52">
        <v>1</v>
      </c>
      <c r="E46" s="52">
        <v>0</v>
      </c>
      <c r="F46" s="52">
        <v>1</v>
      </c>
      <c r="G46" s="52">
        <v>9</v>
      </c>
      <c r="H46" s="52">
        <v>1</v>
      </c>
      <c r="M46" s="21">
        <v>1</v>
      </c>
      <c r="O46" s="21">
        <v>15</v>
      </c>
    </row>
    <row r="47" spans="2:15" ht="18">
      <c r="B47" s="52">
        <v>5</v>
      </c>
      <c r="C47" s="52">
        <v>6</v>
      </c>
      <c r="D47" s="52">
        <v>6</v>
      </c>
      <c r="E47" s="52">
        <v>6</v>
      </c>
      <c r="F47" s="52">
        <v>0</v>
      </c>
      <c r="G47" s="52">
        <v>10</v>
      </c>
      <c r="H47" s="52">
        <v>10</v>
      </c>
      <c r="M47" s="21">
        <v>1</v>
      </c>
      <c r="O47" s="21">
        <v>16</v>
      </c>
    </row>
    <row r="48" spans="2:15" ht="18">
      <c r="B48" s="52">
        <v>5</v>
      </c>
      <c r="C48" s="52">
        <v>6</v>
      </c>
      <c r="D48" s="52">
        <v>5</v>
      </c>
      <c r="E48" s="52">
        <v>11</v>
      </c>
      <c r="F48" s="52">
        <v>0</v>
      </c>
      <c r="G48" s="52">
        <v>13</v>
      </c>
      <c r="H48" s="52">
        <v>8</v>
      </c>
      <c r="M48" s="21">
        <v>1</v>
      </c>
      <c r="O48" s="21">
        <v>17</v>
      </c>
    </row>
    <row r="49" spans="2:15" ht="18">
      <c r="B49" s="52">
        <v>5</v>
      </c>
      <c r="C49" s="52">
        <v>13</v>
      </c>
      <c r="D49" s="52">
        <v>7</v>
      </c>
      <c r="E49" s="52">
        <v>4</v>
      </c>
      <c r="F49" s="52">
        <v>0</v>
      </c>
      <c r="G49" s="52">
        <v>1</v>
      </c>
      <c r="H49" s="52">
        <v>0</v>
      </c>
      <c r="M49" s="21">
        <v>1</v>
      </c>
      <c r="O49" s="21"/>
    </row>
    <row r="50" spans="2:15" ht="18">
      <c r="B50" s="52">
        <v>5</v>
      </c>
      <c r="C50" s="52">
        <v>3</v>
      </c>
      <c r="D50" s="52">
        <v>5</v>
      </c>
      <c r="E50" s="52">
        <v>3</v>
      </c>
      <c r="F50" s="52">
        <v>1</v>
      </c>
      <c r="G50" s="52">
        <v>9</v>
      </c>
      <c r="H50" s="52">
        <v>1</v>
      </c>
      <c r="M50" s="21">
        <v>1</v>
      </c>
      <c r="O50" s="21"/>
    </row>
    <row r="51" spans="2:15" ht="18">
      <c r="B51" s="52">
        <v>5</v>
      </c>
      <c r="C51" s="52">
        <v>3</v>
      </c>
      <c r="D51" s="52">
        <v>4</v>
      </c>
      <c r="E51" s="52">
        <v>0</v>
      </c>
      <c r="F51" s="52">
        <v>0</v>
      </c>
      <c r="G51" s="52">
        <v>3</v>
      </c>
      <c r="H51" s="52">
        <v>0</v>
      </c>
      <c r="M51" s="21">
        <v>1</v>
      </c>
      <c r="O51" s="21"/>
    </row>
    <row r="52" spans="2:15" ht="18">
      <c r="B52" s="52">
        <v>5</v>
      </c>
      <c r="C52" s="52">
        <v>3</v>
      </c>
      <c r="D52" s="52">
        <v>3</v>
      </c>
      <c r="E52" s="52">
        <v>0</v>
      </c>
      <c r="F52" s="52">
        <v>0</v>
      </c>
      <c r="G52" s="52">
        <v>3</v>
      </c>
      <c r="H52" s="52">
        <v>0</v>
      </c>
      <c r="M52" s="21">
        <v>1</v>
      </c>
      <c r="O52" s="21"/>
    </row>
    <row r="53" spans="2:15" ht="18">
      <c r="B53" s="52">
        <v>5</v>
      </c>
      <c r="C53" s="52">
        <v>15</v>
      </c>
      <c r="D53" s="52">
        <v>3</v>
      </c>
      <c r="E53" s="52">
        <v>8</v>
      </c>
      <c r="F53" s="52">
        <v>1</v>
      </c>
      <c r="G53" s="52">
        <v>10</v>
      </c>
      <c r="H53" s="52">
        <v>1</v>
      </c>
      <c r="M53" s="21">
        <v>1</v>
      </c>
      <c r="O53" s="21"/>
    </row>
    <row r="54" spans="2:15" ht="18">
      <c r="B54" s="52">
        <v>5</v>
      </c>
      <c r="C54" s="52">
        <v>3</v>
      </c>
      <c r="D54" s="52">
        <v>6</v>
      </c>
      <c r="E54" s="52">
        <v>3</v>
      </c>
      <c r="F54" s="52">
        <v>0</v>
      </c>
      <c r="G54" s="52">
        <v>1</v>
      </c>
      <c r="H54" s="52">
        <v>1</v>
      </c>
      <c r="M54" s="21">
        <v>1</v>
      </c>
      <c r="O54" s="21"/>
    </row>
    <row r="55" spans="2:15" ht="18">
      <c r="B55" s="52">
        <v>5</v>
      </c>
      <c r="C55" s="52">
        <v>8</v>
      </c>
      <c r="D55" s="52">
        <v>5</v>
      </c>
      <c r="E55" s="52">
        <v>13</v>
      </c>
      <c r="F55" s="52">
        <v>0</v>
      </c>
      <c r="G55" s="52">
        <v>15</v>
      </c>
      <c r="H55" s="52">
        <v>0</v>
      </c>
      <c r="M55" s="21">
        <v>1</v>
      </c>
      <c r="O55" s="21"/>
    </row>
    <row r="56" spans="2:15" ht="18">
      <c r="B56" s="52">
        <v>5</v>
      </c>
      <c r="C56" s="52">
        <v>1</v>
      </c>
      <c r="D56" s="52">
        <v>6</v>
      </c>
      <c r="E56" s="52">
        <v>8</v>
      </c>
      <c r="F56" s="52">
        <v>1</v>
      </c>
      <c r="G56" s="52">
        <v>10</v>
      </c>
      <c r="H56" s="52">
        <v>1</v>
      </c>
      <c r="M56" s="21">
        <v>1</v>
      </c>
      <c r="O56" s="21"/>
    </row>
    <row r="57" spans="2:15" ht="18">
      <c r="B57" s="52">
        <v>5</v>
      </c>
      <c r="C57" s="52">
        <v>7</v>
      </c>
      <c r="D57" s="52">
        <v>5</v>
      </c>
      <c r="E57" s="52">
        <v>16</v>
      </c>
      <c r="F57" s="52">
        <v>6</v>
      </c>
      <c r="G57" s="52">
        <v>12</v>
      </c>
      <c r="H57" s="52">
        <v>2</v>
      </c>
      <c r="M57" s="21">
        <v>1</v>
      </c>
      <c r="O57" s="21"/>
    </row>
    <row r="58" spans="2:15" ht="18">
      <c r="B58" s="52">
        <v>5</v>
      </c>
      <c r="C58" s="52">
        <v>7</v>
      </c>
      <c r="D58" s="52">
        <v>6</v>
      </c>
      <c r="E58" s="52">
        <v>9</v>
      </c>
      <c r="F58" s="52">
        <v>3</v>
      </c>
      <c r="G58" s="52">
        <v>12</v>
      </c>
      <c r="H58" s="52">
        <v>7</v>
      </c>
      <c r="M58" s="21">
        <v>1</v>
      </c>
      <c r="O58" s="21"/>
    </row>
    <row r="59" spans="2:15" ht="18">
      <c r="B59" s="52">
        <v>5</v>
      </c>
      <c r="C59" s="52">
        <v>7</v>
      </c>
      <c r="D59" s="52">
        <v>7</v>
      </c>
      <c r="E59" s="52">
        <v>12</v>
      </c>
      <c r="F59" s="52">
        <v>2</v>
      </c>
      <c r="G59" s="52">
        <v>10</v>
      </c>
      <c r="H59" s="52">
        <v>3</v>
      </c>
      <c r="M59" s="21">
        <v>1</v>
      </c>
      <c r="O59" s="21"/>
    </row>
    <row r="60" spans="2:15" ht="18">
      <c r="B60" s="52">
        <v>5</v>
      </c>
      <c r="C60" s="52">
        <v>6</v>
      </c>
      <c r="D60" s="52">
        <v>6</v>
      </c>
      <c r="E60" s="52">
        <v>6</v>
      </c>
      <c r="F60" s="52">
        <v>0</v>
      </c>
      <c r="G60" s="52">
        <v>10</v>
      </c>
      <c r="H60" s="52">
        <v>10</v>
      </c>
      <c r="M60" s="21">
        <v>1</v>
      </c>
      <c r="O60" s="21"/>
    </row>
    <row r="61" spans="2:15" ht="18">
      <c r="B61" s="52">
        <v>5</v>
      </c>
      <c r="C61" s="52">
        <v>6</v>
      </c>
      <c r="D61" s="52">
        <v>7</v>
      </c>
      <c r="E61" s="52">
        <v>7</v>
      </c>
      <c r="F61" s="52">
        <v>1</v>
      </c>
      <c r="G61" s="52">
        <v>14</v>
      </c>
      <c r="H61" s="52">
        <v>7</v>
      </c>
      <c r="M61" s="21">
        <v>1</v>
      </c>
      <c r="O61" s="21"/>
    </row>
    <row r="62" spans="2:15" ht="18">
      <c r="B62" s="52">
        <v>5</v>
      </c>
      <c r="C62" s="52">
        <v>1</v>
      </c>
      <c r="D62" s="52">
        <v>6</v>
      </c>
      <c r="E62" s="52">
        <v>6</v>
      </c>
      <c r="F62" s="52">
        <v>5</v>
      </c>
      <c r="G62" s="52">
        <v>9</v>
      </c>
      <c r="H62" s="52">
        <v>0</v>
      </c>
      <c r="M62" s="21">
        <v>1</v>
      </c>
      <c r="O62" s="21"/>
    </row>
    <row r="63" spans="2:15" ht="18">
      <c r="B63" s="52">
        <v>5</v>
      </c>
      <c r="C63" s="52">
        <v>12</v>
      </c>
      <c r="D63" s="52">
        <v>4</v>
      </c>
      <c r="E63" s="52">
        <v>16</v>
      </c>
      <c r="F63" s="52">
        <v>4</v>
      </c>
      <c r="G63" s="52">
        <v>6</v>
      </c>
      <c r="H63" s="52">
        <v>0</v>
      </c>
      <c r="M63" s="21">
        <v>1</v>
      </c>
      <c r="O63" s="21"/>
    </row>
    <row r="64" spans="2:15" ht="18">
      <c r="B64" s="52">
        <v>5</v>
      </c>
      <c r="C64" s="52">
        <v>12</v>
      </c>
      <c r="D64" s="52">
        <v>4</v>
      </c>
      <c r="E64" s="52">
        <v>8</v>
      </c>
      <c r="F64" s="52">
        <v>0</v>
      </c>
      <c r="G64" s="52">
        <v>3</v>
      </c>
      <c r="H64" s="52">
        <v>0</v>
      </c>
      <c r="M64" s="21">
        <v>1</v>
      </c>
      <c r="O64" s="21"/>
    </row>
    <row r="65" spans="2:15" ht="18">
      <c r="B65" s="52">
        <v>5</v>
      </c>
      <c r="C65" s="52">
        <v>8</v>
      </c>
      <c r="D65" s="52">
        <v>6</v>
      </c>
      <c r="E65" s="52">
        <v>5</v>
      </c>
      <c r="F65" s="52">
        <v>0</v>
      </c>
      <c r="G65" s="52">
        <v>10</v>
      </c>
      <c r="H65" s="52">
        <v>0</v>
      </c>
      <c r="M65" s="21">
        <v>1</v>
      </c>
      <c r="O65" s="21"/>
    </row>
    <row r="66" spans="2:15" ht="18">
      <c r="B66" s="52">
        <v>5</v>
      </c>
      <c r="C66" s="52">
        <v>6</v>
      </c>
      <c r="D66" s="52">
        <v>9</v>
      </c>
      <c r="E66" s="52">
        <v>20</v>
      </c>
      <c r="F66" s="52">
        <v>3</v>
      </c>
      <c r="G66" s="52">
        <v>25</v>
      </c>
      <c r="H66" s="52">
        <v>2</v>
      </c>
      <c r="M66" s="21">
        <v>1</v>
      </c>
      <c r="O66" s="21"/>
    </row>
    <row r="67" spans="2:15" ht="18">
      <c r="B67" s="52">
        <v>5</v>
      </c>
      <c r="C67" s="52">
        <v>7</v>
      </c>
      <c r="D67" s="52">
        <v>9</v>
      </c>
      <c r="E67" s="52">
        <v>13</v>
      </c>
      <c r="F67" s="52">
        <v>4</v>
      </c>
      <c r="G67" s="52">
        <v>10</v>
      </c>
      <c r="H67" s="52">
        <v>3</v>
      </c>
      <c r="M67" s="21">
        <v>1</v>
      </c>
      <c r="O67" s="21"/>
    </row>
    <row r="68" spans="2:15" ht="18">
      <c r="B68" s="52">
        <v>5</v>
      </c>
      <c r="C68" s="52">
        <v>14</v>
      </c>
      <c r="D68" s="52">
        <v>5</v>
      </c>
      <c r="E68" s="52">
        <v>6</v>
      </c>
      <c r="F68" s="52">
        <v>0</v>
      </c>
      <c r="G68" s="52">
        <v>9</v>
      </c>
      <c r="H68" s="52">
        <v>0</v>
      </c>
      <c r="M68" s="21">
        <v>1</v>
      </c>
      <c r="O68" s="21"/>
    </row>
    <row r="69" spans="2:15" ht="18">
      <c r="B69" s="52">
        <v>5</v>
      </c>
      <c r="C69" s="52">
        <v>14</v>
      </c>
      <c r="D69" s="52">
        <v>4</v>
      </c>
      <c r="E69" s="52">
        <v>22</v>
      </c>
      <c r="F69" s="52">
        <v>8</v>
      </c>
      <c r="G69" s="52">
        <v>16</v>
      </c>
      <c r="H69" s="52">
        <v>1</v>
      </c>
      <c r="M69" s="21">
        <v>1</v>
      </c>
      <c r="O69" s="21"/>
    </row>
    <row r="70" spans="2:15" ht="18">
      <c r="B70" s="52">
        <v>5</v>
      </c>
      <c r="C70" s="52">
        <v>10</v>
      </c>
      <c r="D70" s="52">
        <v>3</v>
      </c>
      <c r="E70" s="52">
        <v>9</v>
      </c>
      <c r="F70" s="52">
        <v>3</v>
      </c>
      <c r="G70" s="52">
        <v>10</v>
      </c>
      <c r="H70" s="52">
        <v>0</v>
      </c>
      <c r="M70" s="21">
        <v>1</v>
      </c>
      <c r="O70" s="21"/>
    </row>
    <row r="71" spans="2:15" ht="18">
      <c r="B71" s="52">
        <v>5</v>
      </c>
      <c r="C71" s="52">
        <v>13</v>
      </c>
      <c r="D71" s="52">
        <v>9</v>
      </c>
      <c r="E71" s="52">
        <v>3</v>
      </c>
      <c r="F71" s="52">
        <v>0</v>
      </c>
      <c r="G71" s="52">
        <v>0</v>
      </c>
      <c r="H71" s="52">
        <v>0</v>
      </c>
      <c r="M71" s="21">
        <v>1</v>
      </c>
      <c r="O71" s="21"/>
    </row>
    <row r="72" spans="2:15" ht="18">
      <c r="B72" s="52">
        <v>5</v>
      </c>
      <c r="C72" s="52">
        <v>1</v>
      </c>
      <c r="D72" s="52">
        <v>7</v>
      </c>
      <c r="E72" s="52">
        <v>1</v>
      </c>
      <c r="F72" s="52">
        <v>1</v>
      </c>
      <c r="G72" s="52">
        <v>2</v>
      </c>
      <c r="H72" s="52">
        <v>0</v>
      </c>
      <c r="M72" s="21">
        <v>1</v>
      </c>
      <c r="O72" s="21"/>
    </row>
    <row r="73" spans="2:15" ht="18">
      <c r="B73" s="52">
        <v>5</v>
      </c>
      <c r="C73" s="52">
        <v>1</v>
      </c>
      <c r="D73" s="52">
        <v>8</v>
      </c>
      <c r="E73" s="52">
        <v>6</v>
      </c>
      <c r="F73" s="52">
        <v>5</v>
      </c>
      <c r="G73" s="52">
        <v>9</v>
      </c>
      <c r="H73" s="52">
        <v>0</v>
      </c>
      <c r="M73" s="21">
        <v>1</v>
      </c>
      <c r="O73" s="21"/>
    </row>
    <row r="74" spans="2:15" ht="18">
      <c r="B74" s="52">
        <v>5</v>
      </c>
      <c r="C74" s="52">
        <v>5</v>
      </c>
      <c r="D74" s="52">
        <v>6</v>
      </c>
      <c r="E74" s="52">
        <v>7</v>
      </c>
      <c r="F74" s="52">
        <v>5</v>
      </c>
      <c r="G74" s="52">
        <v>16</v>
      </c>
      <c r="H74" s="52">
        <v>0</v>
      </c>
      <c r="M74" s="21">
        <v>1</v>
      </c>
      <c r="O74" s="21"/>
    </row>
    <row r="75" spans="2:15" ht="18">
      <c r="B75" s="52">
        <v>5</v>
      </c>
      <c r="C75" s="52">
        <v>11</v>
      </c>
      <c r="D75" s="52">
        <v>9</v>
      </c>
      <c r="E75" s="52">
        <v>21</v>
      </c>
      <c r="F75" s="52">
        <v>0</v>
      </c>
      <c r="G75" s="52">
        <v>12</v>
      </c>
      <c r="H75" s="52">
        <v>0</v>
      </c>
      <c r="M75" s="21">
        <v>1</v>
      </c>
      <c r="O75" s="21"/>
    </row>
    <row r="76" spans="2:15" ht="18">
      <c r="B76" s="52">
        <v>5</v>
      </c>
      <c r="C76" s="52">
        <v>17</v>
      </c>
      <c r="D76" s="52">
        <v>3</v>
      </c>
      <c r="E76" s="52">
        <v>5</v>
      </c>
      <c r="F76" s="52">
        <v>2</v>
      </c>
      <c r="G76" s="52">
        <v>14</v>
      </c>
      <c r="H76" s="52">
        <v>0</v>
      </c>
      <c r="M76" s="21">
        <v>1</v>
      </c>
      <c r="O76" s="21"/>
    </row>
    <row r="77" spans="2:15" ht="18">
      <c r="B77" s="52">
        <v>5</v>
      </c>
      <c r="C77" s="52">
        <v>17</v>
      </c>
      <c r="D77" s="52">
        <v>4</v>
      </c>
      <c r="E77" s="52">
        <v>7</v>
      </c>
      <c r="F77" s="52">
        <v>5</v>
      </c>
      <c r="G77" s="52">
        <v>16</v>
      </c>
      <c r="H77" s="52">
        <v>0</v>
      </c>
      <c r="M77" s="21">
        <v>1</v>
      </c>
      <c r="O77" s="21"/>
    </row>
    <row r="78" spans="2:15" ht="18">
      <c r="B78" s="52">
        <v>5</v>
      </c>
      <c r="C78" s="52">
        <v>8</v>
      </c>
      <c r="D78" s="52">
        <v>7</v>
      </c>
      <c r="E78" s="52">
        <v>6</v>
      </c>
      <c r="F78" s="52">
        <v>0</v>
      </c>
      <c r="G78" s="52">
        <v>5</v>
      </c>
      <c r="H78" s="52">
        <v>0</v>
      </c>
      <c r="M78" s="21">
        <v>1</v>
      </c>
      <c r="O78" s="21"/>
    </row>
    <row r="79" spans="2:15" ht="18">
      <c r="B79" s="52">
        <v>5</v>
      </c>
      <c r="C79" s="52">
        <v>15</v>
      </c>
      <c r="D79" s="52">
        <v>4</v>
      </c>
      <c r="E79" s="52">
        <v>0</v>
      </c>
      <c r="F79" s="52">
        <v>3</v>
      </c>
      <c r="G79" s="52">
        <v>11</v>
      </c>
      <c r="H79" s="52">
        <v>0</v>
      </c>
      <c r="M79" s="21">
        <v>1</v>
      </c>
      <c r="O79" s="21"/>
    </row>
    <row r="80" spans="2:15" ht="18">
      <c r="B80" s="52">
        <v>5</v>
      </c>
      <c r="C80" s="52">
        <v>7</v>
      </c>
      <c r="D80" s="52">
        <v>9</v>
      </c>
      <c r="E80" s="52">
        <v>10</v>
      </c>
      <c r="F80" s="52">
        <v>6</v>
      </c>
      <c r="G80" s="52">
        <v>13</v>
      </c>
      <c r="H80" s="52">
        <v>1</v>
      </c>
      <c r="M80" s="21">
        <v>1</v>
      </c>
      <c r="O80" s="21"/>
    </row>
    <row r="81" spans="2:15" ht="18">
      <c r="B81" s="52">
        <v>5</v>
      </c>
      <c r="C81" s="52">
        <v>7</v>
      </c>
      <c r="D81" s="52">
        <v>10</v>
      </c>
      <c r="E81" s="52">
        <v>15</v>
      </c>
      <c r="F81" s="52">
        <v>5</v>
      </c>
      <c r="G81" s="52">
        <v>10</v>
      </c>
      <c r="H81" s="52">
        <v>3</v>
      </c>
      <c r="M81" s="21">
        <v>1</v>
      </c>
      <c r="O81" s="21"/>
    </row>
    <row r="82" spans="2:15" ht="18">
      <c r="B82" s="52">
        <v>5</v>
      </c>
      <c r="C82" s="52">
        <v>1</v>
      </c>
      <c r="D82" s="52">
        <v>8</v>
      </c>
      <c r="E82" s="52">
        <v>0</v>
      </c>
      <c r="F82" s="52">
        <v>3</v>
      </c>
      <c r="G82" s="52">
        <v>11</v>
      </c>
      <c r="H82" s="52">
        <v>0</v>
      </c>
      <c r="M82" s="21">
        <v>1</v>
      </c>
      <c r="O82" s="21"/>
    </row>
    <row r="83" spans="2:15" ht="18">
      <c r="B83" s="52">
        <v>5</v>
      </c>
      <c r="C83" s="52">
        <v>12</v>
      </c>
      <c r="D83" s="52">
        <v>5</v>
      </c>
      <c r="E83" s="52">
        <v>7</v>
      </c>
      <c r="F83" s="52">
        <v>2</v>
      </c>
      <c r="G83" s="52">
        <v>3</v>
      </c>
      <c r="H83" s="52">
        <v>0</v>
      </c>
      <c r="M83" s="21">
        <v>1</v>
      </c>
      <c r="O83" s="21"/>
    </row>
    <row r="84" spans="2:15" ht="18">
      <c r="B84" s="52">
        <v>5</v>
      </c>
      <c r="C84" s="52">
        <v>4</v>
      </c>
      <c r="D84" s="52">
        <v>6</v>
      </c>
      <c r="E84" s="52">
        <v>0</v>
      </c>
      <c r="F84" s="52">
        <v>5</v>
      </c>
      <c r="G84" s="52">
        <v>17</v>
      </c>
      <c r="H84" s="52">
        <v>0</v>
      </c>
      <c r="M84" s="21">
        <v>1</v>
      </c>
      <c r="O84" s="21"/>
    </row>
    <row r="85" spans="2:15" ht="18">
      <c r="B85" s="52">
        <v>5</v>
      </c>
      <c r="C85" s="52">
        <v>4</v>
      </c>
      <c r="D85" s="52">
        <v>7</v>
      </c>
      <c r="E85" s="52">
        <v>5</v>
      </c>
      <c r="F85" s="52">
        <v>0</v>
      </c>
      <c r="G85" s="52">
        <v>15</v>
      </c>
      <c r="H85" s="52">
        <v>0</v>
      </c>
      <c r="M85" s="21">
        <v>1</v>
      </c>
      <c r="O85" s="21"/>
    </row>
    <row r="86" spans="2:15" ht="18">
      <c r="B86" s="52">
        <v>5</v>
      </c>
      <c r="C86" s="52">
        <v>4</v>
      </c>
      <c r="D86" s="52">
        <v>8</v>
      </c>
      <c r="E86" s="52">
        <v>2</v>
      </c>
      <c r="F86" s="52">
        <v>2</v>
      </c>
      <c r="G86" s="52">
        <v>36</v>
      </c>
      <c r="H86" s="52">
        <v>0</v>
      </c>
      <c r="M86" s="21">
        <v>1</v>
      </c>
      <c r="O86" s="21"/>
    </row>
    <row r="87" spans="2:15" ht="18">
      <c r="B87" s="52">
        <v>5</v>
      </c>
      <c r="C87" s="52">
        <v>8</v>
      </c>
      <c r="D87" s="52">
        <v>7</v>
      </c>
      <c r="E87" s="52">
        <v>9</v>
      </c>
      <c r="F87" s="52">
        <v>0</v>
      </c>
      <c r="G87" s="52">
        <v>18</v>
      </c>
      <c r="H87" s="52">
        <v>0</v>
      </c>
      <c r="M87" s="21">
        <v>1</v>
      </c>
      <c r="O87" s="21"/>
    </row>
    <row r="88" spans="2:15" ht="18">
      <c r="B88" s="52">
        <v>5</v>
      </c>
      <c r="C88" s="52">
        <v>1</v>
      </c>
      <c r="D88" s="52">
        <v>9</v>
      </c>
      <c r="E88" s="52">
        <v>2</v>
      </c>
      <c r="F88" s="52">
        <v>5</v>
      </c>
      <c r="G88" s="52">
        <v>10</v>
      </c>
      <c r="H88" s="52">
        <v>2</v>
      </c>
      <c r="M88" s="21">
        <v>1</v>
      </c>
      <c r="O88" s="21"/>
    </row>
    <row r="89" spans="2:15" ht="18">
      <c r="B89" s="52">
        <v>5</v>
      </c>
      <c r="C89" s="52">
        <v>6</v>
      </c>
      <c r="D89" s="52">
        <v>10</v>
      </c>
      <c r="E89" s="52">
        <v>26</v>
      </c>
      <c r="F89" s="52">
        <v>4</v>
      </c>
      <c r="G89" s="52">
        <v>22</v>
      </c>
      <c r="H89" s="52">
        <v>4</v>
      </c>
      <c r="M89" s="21">
        <v>1</v>
      </c>
      <c r="O89" s="21"/>
    </row>
    <row r="90" spans="2:15" ht="18">
      <c r="B90" s="52">
        <v>5</v>
      </c>
      <c r="C90" s="52">
        <v>10</v>
      </c>
      <c r="D90" s="52">
        <v>4</v>
      </c>
      <c r="E90" s="52">
        <v>15</v>
      </c>
      <c r="F90" s="52">
        <v>9</v>
      </c>
      <c r="G90" s="52">
        <v>19</v>
      </c>
      <c r="H90" s="52">
        <v>0</v>
      </c>
      <c r="M90" s="21">
        <v>1</v>
      </c>
      <c r="O90" s="21"/>
    </row>
    <row r="91" spans="2:15" ht="18">
      <c r="B91" s="52">
        <v>5</v>
      </c>
      <c r="C91" s="52">
        <v>10</v>
      </c>
      <c r="D91" s="52">
        <v>5</v>
      </c>
      <c r="E91" s="52">
        <v>18</v>
      </c>
      <c r="F91" s="52">
        <v>10</v>
      </c>
      <c r="G91" s="52">
        <v>25</v>
      </c>
      <c r="H91" s="52">
        <v>0</v>
      </c>
      <c r="M91" s="21">
        <v>1</v>
      </c>
    </row>
    <row r="92" spans="2:15" ht="18">
      <c r="B92" s="52">
        <v>5</v>
      </c>
      <c r="C92" s="52">
        <v>5</v>
      </c>
      <c r="D92" s="52">
        <v>7</v>
      </c>
      <c r="E92" s="52">
        <v>3</v>
      </c>
      <c r="F92" s="52">
        <v>2</v>
      </c>
      <c r="G92" s="52">
        <v>3</v>
      </c>
      <c r="H92" s="52">
        <v>0</v>
      </c>
      <c r="M92" s="21">
        <v>1</v>
      </c>
    </row>
    <row r="93" spans="2:15" ht="18">
      <c r="B93" s="52">
        <v>5</v>
      </c>
      <c r="C93" s="52">
        <v>6</v>
      </c>
      <c r="D93" s="52">
        <v>10</v>
      </c>
      <c r="E93" s="52">
        <v>5</v>
      </c>
      <c r="F93" s="52">
        <v>1</v>
      </c>
      <c r="G93" s="52">
        <v>12</v>
      </c>
      <c r="H93" s="52">
        <v>8</v>
      </c>
      <c r="M93" s="21">
        <v>1</v>
      </c>
    </row>
    <row r="94" spans="2:15" ht="18">
      <c r="B94" s="52">
        <v>5</v>
      </c>
      <c r="C94" s="52">
        <v>1</v>
      </c>
      <c r="D94" s="52">
        <v>10</v>
      </c>
      <c r="E94" s="52">
        <v>2</v>
      </c>
      <c r="F94" s="52">
        <v>5</v>
      </c>
      <c r="G94" s="52">
        <v>10</v>
      </c>
      <c r="H94" s="52">
        <v>2</v>
      </c>
      <c r="M94" s="21">
        <v>1</v>
      </c>
    </row>
    <row r="95" spans="2:15" ht="18">
      <c r="B95" s="52">
        <v>5</v>
      </c>
      <c r="C95" s="52">
        <v>3</v>
      </c>
      <c r="D95" s="52">
        <v>9</v>
      </c>
      <c r="E95" s="52">
        <v>3</v>
      </c>
      <c r="F95" s="52">
        <v>0</v>
      </c>
      <c r="G95" s="52">
        <v>2</v>
      </c>
      <c r="H95" s="52">
        <v>0</v>
      </c>
      <c r="M95" s="21">
        <v>1</v>
      </c>
    </row>
    <row r="96" spans="2:15" ht="18">
      <c r="B96" s="52">
        <v>5</v>
      </c>
      <c r="C96" s="52">
        <v>3</v>
      </c>
      <c r="D96" s="52">
        <v>8</v>
      </c>
      <c r="E96" s="52">
        <v>3</v>
      </c>
      <c r="F96" s="52">
        <v>0</v>
      </c>
      <c r="G96" s="52">
        <v>1</v>
      </c>
      <c r="H96" s="52">
        <v>0</v>
      </c>
      <c r="M96" s="21">
        <v>1</v>
      </c>
    </row>
    <row r="97" spans="2:13" ht="18">
      <c r="B97" s="52">
        <v>5</v>
      </c>
      <c r="C97" s="52">
        <v>3</v>
      </c>
      <c r="D97" s="52">
        <v>7</v>
      </c>
      <c r="E97" s="52">
        <v>2</v>
      </c>
      <c r="F97" s="52">
        <v>0</v>
      </c>
      <c r="G97" s="52">
        <v>3</v>
      </c>
      <c r="H97" s="52">
        <v>0</v>
      </c>
      <c r="M97" s="21">
        <v>1</v>
      </c>
    </row>
    <row r="98" spans="2:13" ht="18">
      <c r="B98" s="52">
        <v>5</v>
      </c>
      <c r="C98" s="52">
        <v>12</v>
      </c>
      <c r="D98" s="52">
        <v>6</v>
      </c>
      <c r="E98" s="52">
        <v>6</v>
      </c>
      <c r="F98" s="52">
        <v>0</v>
      </c>
      <c r="G98" s="52">
        <v>3</v>
      </c>
      <c r="H98" s="52">
        <v>0</v>
      </c>
      <c r="M98" s="21">
        <v>1</v>
      </c>
    </row>
    <row r="99" spans="2:13" ht="18">
      <c r="B99" s="52">
        <v>5</v>
      </c>
      <c r="C99" s="52">
        <v>2</v>
      </c>
      <c r="D99" s="52">
        <v>6</v>
      </c>
      <c r="E99" s="52">
        <v>15</v>
      </c>
      <c r="F99" s="52">
        <v>10</v>
      </c>
      <c r="G99" s="52">
        <v>20</v>
      </c>
      <c r="H99" s="52">
        <v>0</v>
      </c>
      <c r="M99" s="21">
        <v>1</v>
      </c>
    </row>
    <row r="100" spans="2:13" ht="18">
      <c r="B100" s="52">
        <v>5</v>
      </c>
      <c r="C100" s="52">
        <v>2</v>
      </c>
      <c r="D100" s="52">
        <v>5</v>
      </c>
      <c r="E100" s="52">
        <v>20</v>
      </c>
      <c r="F100" s="52">
        <v>10</v>
      </c>
      <c r="G100" s="52">
        <v>20</v>
      </c>
      <c r="H100" s="52">
        <v>0</v>
      </c>
      <c r="M100" s="21">
        <v>1</v>
      </c>
    </row>
    <row r="101" spans="2:13" ht="18">
      <c r="B101" s="52">
        <v>5</v>
      </c>
      <c r="C101" s="52">
        <v>2</v>
      </c>
      <c r="D101" s="52">
        <v>4</v>
      </c>
      <c r="E101" s="52">
        <v>20</v>
      </c>
      <c r="F101" s="52">
        <v>30</v>
      </c>
      <c r="G101" s="52">
        <v>20</v>
      </c>
      <c r="H101" s="52">
        <v>0</v>
      </c>
      <c r="M101" s="21">
        <v>1</v>
      </c>
    </row>
    <row r="102" spans="2:13" ht="18">
      <c r="B102" s="52">
        <v>5</v>
      </c>
      <c r="C102" s="52">
        <v>2</v>
      </c>
      <c r="D102" s="52">
        <v>3</v>
      </c>
      <c r="E102" s="52">
        <v>15</v>
      </c>
      <c r="F102" s="52">
        <v>20</v>
      </c>
      <c r="G102" s="52">
        <v>10</v>
      </c>
      <c r="H102" s="52">
        <v>5</v>
      </c>
      <c r="M102" s="21">
        <v>1</v>
      </c>
    </row>
    <row r="103" spans="2:13" ht="18">
      <c r="B103" s="52">
        <v>5</v>
      </c>
      <c r="C103" s="52">
        <v>2</v>
      </c>
      <c r="D103" s="52">
        <v>2</v>
      </c>
      <c r="E103" s="52">
        <v>15</v>
      </c>
      <c r="F103" s="52">
        <v>15</v>
      </c>
      <c r="G103" s="52">
        <v>10</v>
      </c>
      <c r="H103" s="52">
        <v>5</v>
      </c>
      <c r="M103" s="21">
        <v>1</v>
      </c>
    </row>
    <row r="104" spans="2:13" ht="18">
      <c r="B104" s="52">
        <v>5</v>
      </c>
      <c r="C104" s="52">
        <v>2</v>
      </c>
      <c r="D104" s="52">
        <v>1</v>
      </c>
      <c r="E104" s="52">
        <v>15</v>
      </c>
      <c r="F104" s="52">
        <v>25</v>
      </c>
      <c r="G104" s="52">
        <v>18</v>
      </c>
      <c r="H104" s="52">
        <v>10</v>
      </c>
      <c r="M104" s="21">
        <v>1</v>
      </c>
    </row>
    <row r="105" spans="2:13" ht="18">
      <c r="B105" s="52">
        <v>5</v>
      </c>
      <c r="C105" s="52">
        <v>2</v>
      </c>
      <c r="D105" s="52">
        <v>7</v>
      </c>
      <c r="E105" s="52">
        <v>10</v>
      </c>
      <c r="F105" s="52">
        <v>15</v>
      </c>
      <c r="G105" s="52">
        <v>4</v>
      </c>
      <c r="H105" s="52">
        <v>8</v>
      </c>
      <c r="M105" s="21">
        <v>1</v>
      </c>
    </row>
    <row r="106" spans="2:13" ht="18">
      <c r="B106" s="52">
        <v>5</v>
      </c>
      <c r="C106" s="52">
        <v>15</v>
      </c>
      <c r="D106" s="52">
        <v>5</v>
      </c>
      <c r="E106" s="52">
        <v>2</v>
      </c>
      <c r="F106" s="52">
        <v>5</v>
      </c>
      <c r="G106" s="52">
        <v>10</v>
      </c>
      <c r="H106" s="52">
        <v>2</v>
      </c>
      <c r="M106" s="21">
        <v>1</v>
      </c>
    </row>
    <row r="107" spans="2:13" ht="18">
      <c r="B107" s="52">
        <v>5</v>
      </c>
      <c r="C107" s="52">
        <v>17</v>
      </c>
      <c r="D107" s="52">
        <v>5</v>
      </c>
      <c r="E107" s="52">
        <v>3</v>
      </c>
      <c r="F107" s="52">
        <v>3</v>
      </c>
      <c r="G107" s="52">
        <v>3</v>
      </c>
      <c r="H107" s="52">
        <v>0</v>
      </c>
      <c r="M107" s="21">
        <v>1</v>
      </c>
    </row>
    <row r="108" spans="2:13" ht="18">
      <c r="B108" s="52">
        <v>5</v>
      </c>
      <c r="C108" s="52">
        <v>5</v>
      </c>
      <c r="D108" s="52">
        <v>8</v>
      </c>
      <c r="E108" s="52">
        <v>3</v>
      </c>
      <c r="F108" s="52">
        <v>3</v>
      </c>
      <c r="G108" s="52">
        <v>3</v>
      </c>
      <c r="H108" s="52">
        <v>0</v>
      </c>
      <c r="M108" s="21">
        <v>1</v>
      </c>
    </row>
    <row r="109" spans="2:13" ht="18">
      <c r="B109" s="52">
        <v>5</v>
      </c>
      <c r="C109" s="52">
        <v>8</v>
      </c>
      <c r="D109" s="52">
        <v>8</v>
      </c>
      <c r="E109" s="52">
        <v>9</v>
      </c>
      <c r="F109" s="52">
        <v>0</v>
      </c>
      <c r="G109" s="52">
        <v>15</v>
      </c>
      <c r="H109" s="52">
        <v>0</v>
      </c>
      <c r="M109" s="21">
        <v>1</v>
      </c>
    </row>
    <row r="110" spans="2:13" ht="18">
      <c r="B110" s="52">
        <v>5</v>
      </c>
      <c r="C110" s="52">
        <v>12</v>
      </c>
      <c r="D110" s="52">
        <v>7</v>
      </c>
      <c r="E110" s="52">
        <v>8</v>
      </c>
      <c r="F110" s="52">
        <v>0</v>
      </c>
      <c r="G110" s="52">
        <v>3</v>
      </c>
      <c r="H110" s="52">
        <v>0</v>
      </c>
      <c r="M110" s="21">
        <v>1</v>
      </c>
    </row>
    <row r="111" spans="2:13" ht="18">
      <c r="B111" s="52">
        <v>5</v>
      </c>
      <c r="C111" s="52">
        <v>12</v>
      </c>
      <c r="D111" s="52">
        <v>8</v>
      </c>
      <c r="E111" s="52">
        <v>4</v>
      </c>
      <c r="F111" s="52">
        <v>0</v>
      </c>
      <c r="G111" s="52">
        <v>2</v>
      </c>
      <c r="H111" s="52">
        <v>0</v>
      </c>
      <c r="M111" s="21">
        <v>1</v>
      </c>
    </row>
    <row r="112" spans="2:13" ht="18">
      <c r="B112" s="52">
        <v>5</v>
      </c>
      <c r="C112" s="52">
        <v>12</v>
      </c>
      <c r="D112" s="52">
        <v>9</v>
      </c>
      <c r="E112" s="52">
        <v>6</v>
      </c>
      <c r="F112" s="52">
        <v>2</v>
      </c>
      <c r="G112" s="52">
        <v>3</v>
      </c>
      <c r="H112" s="52">
        <v>0</v>
      </c>
      <c r="M112" s="21">
        <v>1</v>
      </c>
    </row>
    <row r="113" spans="2:13" ht="18">
      <c r="B113" s="52">
        <v>5</v>
      </c>
      <c r="C113" s="52">
        <v>6</v>
      </c>
      <c r="D113" s="52">
        <v>11</v>
      </c>
      <c r="E113" s="52">
        <v>21</v>
      </c>
      <c r="F113" s="52">
        <v>0</v>
      </c>
      <c r="G113" s="52">
        <v>23</v>
      </c>
      <c r="H113" s="52">
        <v>4</v>
      </c>
      <c r="M113" s="21">
        <v>1</v>
      </c>
    </row>
    <row r="114" spans="2:13" ht="18">
      <c r="B114" s="52">
        <v>5</v>
      </c>
      <c r="C114" s="52">
        <v>13</v>
      </c>
      <c r="D114" s="52">
        <v>11</v>
      </c>
      <c r="E114" s="52">
        <v>2</v>
      </c>
      <c r="F114" s="52">
        <v>0</v>
      </c>
      <c r="G114" s="52">
        <v>3</v>
      </c>
      <c r="H114" s="52">
        <v>0</v>
      </c>
      <c r="M114" s="21">
        <v>1</v>
      </c>
    </row>
    <row r="115" spans="2:13" ht="18">
      <c r="B115" s="52">
        <v>5</v>
      </c>
      <c r="C115" s="52">
        <v>14</v>
      </c>
      <c r="D115" s="52">
        <v>5</v>
      </c>
      <c r="E115" s="52">
        <v>12</v>
      </c>
      <c r="F115" s="52">
        <v>0</v>
      </c>
      <c r="G115" s="52">
        <v>1</v>
      </c>
      <c r="H115" s="52">
        <v>0</v>
      </c>
      <c r="M115" s="21">
        <v>1</v>
      </c>
    </row>
    <row r="116" spans="2:13" ht="18">
      <c r="B116" s="52">
        <v>5</v>
      </c>
      <c r="C116" s="52">
        <v>1</v>
      </c>
      <c r="D116" s="52">
        <v>11</v>
      </c>
      <c r="E116" s="52">
        <v>3</v>
      </c>
      <c r="F116" s="52">
        <v>6</v>
      </c>
      <c r="G116" s="52">
        <v>6</v>
      </c>
      <c r="H116" s="52">
        <v>0</v>
      </c>
      <c r="M116" s="21">
        <v>1</v>
      </c>
    </row>
    <row r="117" spans="2:13" ht="18">
      <c r="B117" s="52">
        <v>5</v>
      </c>
      <c r="C117" s="52">
        <v>5</v>
      </c>
      <c r="D117" s="52">
        <v>9</v>
      </c>
      <c r="E117" s="52">
        <v>5</v>
      </c>
      <c r="F117" s="52">
        <v>1</v>
      </c>
      <c r="G117" s="52">
        <v>5</v>
      </c>
      <c r="H117" s="52">
        <v>0</v>
      </c>
      <c r="M117" s="21">
        <v>1</v>
      </c>
    </row>
    <row r="118" spans="2:13" ht="18">
      <c r="B118" s="52">
        <v>5</v>
      </c>
      <c r="C118" s="52">
        <v>10</v>
      </c>
      <c r="D118" s="52">
        <v>5</v>
      </c>
      <c r="E118" s="52">
        <v>3</v>
      </c>
      <c r="F118" s="52">
        <v>1</v>
      </c>
      <c r="G118" s="52">
        <v>18</v>
      </c>
      <c r="H118" s="52">
        <v>1</v>
      </c>
      <c r="M118" s="21">
        <v>1</v>
      </c>
    </row>
    <row r="119" spans="2:13" ht="18">
      <c r="B119" s="52">
        <v>5</v>
      </c>
      <c r="C119" s="52">
        <v>10</v>
      </c>
      <c r="D119" s="52">
        <v>6</v>
      </c>
      <c r="E119" s="52">
        <v>8</v>
      </c>
      <c r="F119" s="52">
        <v>3</v>
      </c>
      <c r="G119" s="52">
        <v>25</v>
      </c>
      <c r="H119" s="52">
        <v>0</v>
      </c>
      <c r="M119" s="21">
        <v>1</v>
      </c>
    </row>
    <row r="120" spans="2:13" ht="18">
      <c r="B120" s="52">
        <v>5</v>
      </c>
      <c r="C120" s="52">
        <v>4</v>
      </c>
      <c r="D120" s="52">
        <v>9</v>
      </c>
      <c r="E120" s="52">
        <v>2</v>
      </c>
      <c r="F120" s="52">
        <v>2</v>
      </c>
      <c r="G120" s="52">
        <v>15</v>
      </c>
      <c r="H120" s="52">
        <v>0</v>
      </c>
      <c r="M120" s="21">
        <v>1</v>
      </c>
    </row>
    <row r="121" spans="2:13" ht="18">
      <c r="B121" s="52">
        <v>5</v>
      </c>
      <c r="C121" s="52">
        <v>4</v>
      </c>
      <c r="D121" s="52">
        <v>12</v>
      </c>
      <c r="E121" s="52">
        <v>2</v>
      </c>
      <c r="F121" s="52">
        <v>1</v>
      </c>
      <c r="G121" s="52">
        <v>20</v>
      </c>
      <c r="H121" s="52">
        <v>0</v>
      </c>
      <c r="M121" s="21">
        <v>1</v>
      </c>
    </row>
    <row r="122" spans="2:13" ht="18">
      <c r="B122" s="52">
        <v>5</v>
      </c>
      <c r="C122" s="52">
        <v>4</v>
      </c>
      <c r="D122" s="52">
        <v>13</v>
      </c>
      <c r="E122" s="52">
        <v>1</v>
      </c>
      <c r="F122" s="52">
        <v>2</v>
      </c>
      <c r="G122" s="52">
        <v>5</v>
      </c>
      <c r="H122" s="52">
        <v>0</v>
      </c>
      <c r="M122" s="21">
        <v>1</v>
      </c>
    </row>
    <row r="123" spans="2:13" ht="18">
      <c r="B123" s="52">
        <v>5</v>
      </c>
      <c r="C123" s="52">
        <v>8</v>
      </c>
      <c r="D123" s="52">
        <v>9</v>
      </c>
      <c r="E123" s="52">
        <v>7</v>
      </c>
      <c r="F123" s="52">
        <v>1</v>
      </c>
      <c r="G123" s="52">
        <v>4</v>
      </c>
      <c r="H123" s="52">
        <v>0</v>
      </c>
      <c r="M123" s="21">
        <v>1</v>
      </c>
    </row>
    <row r="124" spans="2:13" ht="18">
      <c r="B124" s="52">
        <v>5</v>
      </c>
      <c r="C124" s="52">
        <v>5</v>
      </c>
      <c r="D124" s="52">
        <v>10</v>
      </c>
      <c r="E124" s="52">
        <v>5</v>
      </c>
      <c r="F124" s="52">
        <v>1</v>
      </c>
      <c r="G124" s="52">
        <v>5</v>
      </c>
      <c r="H124" s="52">
        <v>0</v>
      </c>
      <c r="M124" s="21">
        <v>1</v>
      </c>
    </row>
    <row r="125" spans="2:13" ht="18">
      <c r="B125" s="52">
        <v>5</v>
      </c>
      <c r="C125" s="52">
        <v>4</v>
      </c>
      <c r="D125" s="52">
        <v>11</v>
      </c>
      <c r="E125" s="52">
        <v>2</v>
      </c>
      <c r="F125" s="52">
        <v>1</v>
      </c>
      <c r="G125" s="52">
        <v>20</v>
      </c>
      <c r="H125" s="52">
        <v>0</v>
      </c>
      <c r="M125" s="21">
        <v>1</v>
      </c>
    </row>
    <row r="126" spans="2:13" ht="18">
      <c r="B126" s="52">
        <v>5</v>
      </c>
      <c r="C126" s="52">
        <v>4</v>
      </c>
      <c r="D126" s="52">
        <v>10</v>
      </c>
      <c r="E126" s="52">
        <v>3</v>
      </c>
      <c r="F126" s="52">
        <v>1</v>
      </c>
      <c r="G126" s="52">
        <v>20</v>
      </c>
      <c r="H126" s="52">
        <v>0</v>
      </c>
      <c r="M126" s="21">
        <v>1</v>
      </c>
    </row>
    <row r="127" spans="2:13" ht="18">
      <c r="B127" s="52">
        <v>5</v>
      </c>
      <c r="C127" s="52">
        <v>5</v>
      </c>
      <c r="D127" s="52">
        <v>11</v>
      </c>
      <c r="E127" s="52">
        <v>5</v>
      </c>
      <c r="F127" s="52">
        <v>1</v>
      </c>
      <c r="G127" s="52">
        <v>5</v>
      </c>
      <c r="H127" s="52">
        <v>0</v>
      </c>
      <c r="M127" s="21">
        <v>1</v>
      </c>
    </row>
    <row r="128" spans="2:13" ht="18">
      <c r="B128" s="52">
        <v>5</v>
      </c>
      <c r="C128" s="52">
        <v>2</v>
      </c>
      <c r="D128" s="52">
        <v>11</v>
      </c>
      <c r="E128" s="52">
        <v>10</v>
      </c>
      <c r="F128" s="52">
        <v>15</v>
      </c>
      <c r="G128" s="52">
        <v>2</v>
      </c>
      <c r="H128" s="52">
        <v>2</v>
      </c>
      <c r="M128" s="21">
        <v>1</v>
      </c>
    </row>
    <row r="129" spans="2:13" ht="18">
      <c r="B129" s="52">
        <v>5</v>
      </c>
      <c r="C129" s="52">
        <v>2</v>
      </c>
      <c r="D129" s="52">
        <v>8</v>
      </c>
      <c r="E129" s="52">
        <v>20</v>
      </c>
      <c r="F129" s="52">
        <v>10</v>
      </c>
      <c r="G129" s="52">
        <v>20</v>
      </c>
      <c r="H129" s="52">
        <v>0</v>
      </c>
      <c r="M129" s="21">
        <v>1</v>
      </c>
    </row>
    <row r="130" spans="2:13" ht="18">
      <c r="B130" s="52">
        <v>5</v>
      </c>
      <c r="C130" s="52">
        <v>2</v>
      </c>
      <c r="D130" s="52">
        <v>9</v>
      </c>
      <c r="E130" s="52">
        <v>20</v>
      </c>
      <c r="F130" s="52">
        <v>20</v>
      </c>
      <c r="G130" s="52">
        <v>10</v>
      </c>
      <c r="H130" s="52">
        <v>0</v>
      </c>
      <c r="M130" s="21">
        <v>1</v>
      </c>
    </row>
    <row r="131" spans="2:13" ht="18">
      <c r="B131" s="52">
        <v>5</v>
      </c>
      <c r="C131" s="52">
        <v>2</v>
      </c>
      <c r="D131" s="52">
        <v>10</v>
      </c>
      <c r="E131" s="52">
        <v>10</v>
      </c>
      <c r="F131" s="52">
        <v>15</v>
      </c>
      <c r="G131" s="52">
        <v>20</v>
      </c>
      <c r="H131" s="52">
        <v>0</v>
      </c>
      <c r="M131" s="21">
        <v>1</v>
      </c>
    </row>
    <row r="132" spans="2:13" ht="18">
      <c r="B132" s="52">
        <v>5</v>
      </c>
      <c r="C132" s="52">
        <v>6</v>
      </c>
      <c r="D132" s="52">
        <v>11</v>
      </c>
      <c r="E132" s="52">
        <v>21</v>
      </c>
      <c r="F132" s="52">
        <v>0</v>
      </c>
      <c r="G132" s="52">
        <v>23</v>
      </c>
      <c r="H132" s="52">
        <v>0</v>
      </c>
      <c r="M132" s="21">
        <v>1</v>
      </c>
    </row>
    <row r="133" spans="2:13" ht="18">
      <c r="B133" s="52">
        <v>5</v>
      </c>
      <c r="C133" s="52">
        <v>1</v>
      </c>
      <c r="D133" s="52">
        <v>12</v>
      </c>
      <c r="E133" s="52">
        <v>1</v>
      </c>
      <c r="F133" s="52">
        <v>0</v>
      </c>
      <c r="G133" s="52">
        <v>3</v>
      </c>
      <c r="H133" s="52">
        <v>0</v>
      </c>
      <c r="M133" s="21">
        <v>1</v>
      </c>
    </row>
    <row r="134" spans="2:13" ht="18">
      <c r="B134" s="52">
        <v>5</v>
      </c>
      <c r="C134" s="52">
        <v>11</v>
      </c>
      <c r="D134" s="52">
        <v>12</v>
      </c>
      <c r="E134" s="52">
        <v>11</v>
      </c>
      <c r="F134" s="52">
        <v>0</v>
      </c>
      <c r="G134" s="52">
        <v>6</v>
      </c>
      <c r="H134" s="52">
        <v>0</v>
      </c>
      <c r="M134" s="21">
        <v>1</v>
      </c>
    </row>
    <row r="135" spans="2:13" ht="18">
      <c r="B135" s="52">
        <v>5</v>
      </c>
      <c r="C135" s="52">
        <v>6</v>
      </c>
      <c r="D135" s="52">
        <v>13</v>
      </c>
      <c r="E135" s="52">
        <v>14</v>
      </c>
      <c r="F135" s="52">
        <v>0</v>
      </c>
      <c r="G135" s="52">
        <v>4</v>
      </c>
      <c r="H135" s="52">
        <v>2</v>
      </c>
      <c r="M135" s="21">
        <v>1</v>
      </c>
    </row>
    <row r="136" spans="2:13" ht="18">
      <c r="B136" s="52">
        <v>5</v>
      </c>
      <c r="C136" s="52">
        <v>6</v>
      </c>
      <c r="D136" s="52">
        <v>12</v>
      </c>
      <c r="E136" s="52">
        <v>14</v>
      </c>
      <c r="F136" s="52">
        <v>0</v>
      </c>
      <c r="G136" s="52">
        <v>16</v>
      </c>
      <c r="H136" s="52">
        <v>4</v>
      </c>
      <c r="M136" s="21">
        <v>1</v>
      </c>
    </row>
    <row r="137" spans="2:13" ht="18">
      <c r="B137" s="52">
        <v>5</v>
      </c>
      <c r="C137" s="52">
        <v>1</v>
      </c>
      <c r="D137" s="52">
        <v>13</v>
      </c>
      <c r="E137" s="52">
        <v>2</v>
      </c>
      <c r="F137" s="52">
        <v>2</v>
      </c>
      <c r="G137" s="52">
        <v>4</v>
      </c>
      <c r="H137" s="52">
        <v>0</v>
      </c>
      <c r="M137" s="21">
        <v>1</v>
      </c>
    </row>
    <row r="138" spans="2:13" ht="18">
      <c r="B138" s="52">
        <v>5</v>
      </c>
      <c r="C138" s="52">
        <v>17</v>
      </c>
      <c r="D138" s="52">
        <v>6</v>
      </c>
      <c r="E138" s="52">
        <v>5</v>
      </c>
      <c r="F138" s="52">
        <v>0</v>
      </c>
      <c r="G138" s="52">
        <v>2</v>
      </c>
      <c r="H138" s="52">
        <v>0</v>
      </c>
      <c r="M138" s="21">
        <v>1</v>
      </c>
    </row>
    <row r="139" spans="2:13" ht="18">
      <c r="B139" s="52">
        <v>5</v>
      </c>
      <c r="C139" s="52">
        <v>17</v>
      </c>
      <c r="D139" s="52">
        <v>7</v>
      </c>
      <c r="E139" s="52">
        <v>4</v>
      </c>
      <c r="F139" s="52">
        <v>2</v>
      </c>
      <c r="G139" s="52">
        <v>4</v>
      </c>
      <c r="H139" s="52">
        <v>0</v>
      </c>
      <c r="M139" s="21">
        <v>1</v>
      </c>
    </row>
    <row r="140" spans="2:13" ht="18">
      <c r="B140" s="52">
        <v>5</v>
      </c>
      <c r="C140" s="52">
        <v>5</v>
      </c>
      <c r="D140" s="52">
        <v>13</v>
      </c>
      <c r="E140" s="52">
        <v>4</v>
      </c>
      <c r="F140" s="52">
        <v>2</v>
      </c>
      <c r="G140" s="52">
        <v>4</v>
      </c>
      <c r="H140" s="52">
        <v>0</v>
      </c>
      <c r="M140" s="21">
        <v>1</v>
      </c>
    </row>
    <row r="141" spans="2:13" ht="18">
      <c r="B141" s="52">
        <v>5</v>
      </c>
      <c r="C141" s="52">
        <v>5</v>
      </c>
      <c r="D141" s="52">
        <v>12</v>
      </c>
      <c r="E141" s="52">
        <v>5</v>
      </c>
      <c r="F141" s="52">
        <v>0</v>
      </c>
      <c r="G141" s="52">
        <v>2</v>
      </c>
      <c r="H141" s="52">
        <v>0</v>
      </c>
      <c r="M141" s="21">
        <v>1</v>
      </c>
    </row>
    <row r="142" spans="2:13" ht="18">
      <c r="B142" s="52">
        <v>5</v>
      </c>
      <c r="C142" s="52">
        <v>1</v>
      </c>
      <c r="D142" s="52">
        <v>14</v>
      </c>
      <c r="E142" s="52">
        <v>1</v>
      </c>
      <c r="F142" s="52">
        <v>2</v>
      </c>
      <c r="G142" s="52">
        <v>1</v>
      </c>
      <c r="H142" s="52">
        <v>0</v>
      </c>
      <c r="M142" s="21">
        <v>1</v>
      </c>
    </row>
    <row r="143" spans="2:13" ht="18">
      <c r="B143" s="52">
        <v>5</v>
      </c>
      <c r="C143" s="52">
        <v>12</v>
      </c>
      <c r="D143" s="52">
        <v>10</v>
      </c>
      <c r="E143" s="52">
        <v>9</v>
      </c>
      <c r="F143" s="52">
        <v>0</v>
      </c>
      <c r="G143" s="52">
        <v>6</v>
      </c>
      <c r="H143" s="52">
        <v>0</v>
      </c>
      <c r="M143" s="21">
        <v>1</v>
      </c>
    </row>
    <row r="144" spans="2:13" ht="18">
      <c r="B144" s="52">
        <v>5</v>
      </c>
      <c r="C144" s="52">
        <v>3</v>
      </c>
      <c r="D144" s="52">
        <v>12</v>
      </c>
      <c r="E144" s="52">
        <v>1</v>
      </c>
      <c r="F144" s="52">
        <v>0</v>
      </c>
      <c r="G144" s="52">
        <v>3</v>
      </c>
      <c r="H144" s="52">
        <v>0</v>
      </c>
      <c r="M144" s="21">
        <v>1</v>
      </c>
    </row>
    <row r="145" spans="2:13" ht="18">
      <c r="B145" s="52">
        <v>5</v>
      </c>
      <c r="C145" s="52">
        <v>3</v>
      </c>
      <c r="D145" s="52">
        <v>11</v>
      </c>
      <c r="E145" s="52">
        <v>3</v>
      </c>
      <c r="F145" s="52">
        <v>0</v>
      </c>
      <c r="G145" s="52">
        <v>6</v>
      </c>
      <c r="H145" s="52">
        <v>0</v>
      </c>
      <c r="M145" s="21">
        <v>1</v>
      </c>
    </row>
    <row r="146" spans="2:13" ht="18">
      <c r="B146" s="52">
        <v>5</v>
      </c>
      <c r="C146" s="52">
        <v>3</v>
      </c>
      <c r="D146" s="52">
        <v>10</v>
      </c>
      <c r="E146" s="52">
        <v>0</v>
      </c>
      <c r="F146" s="52">
        <v>2</v>
      </c>
      <c r="G146" s="52">
        <v>4</v>
      </c>
      <c r="H146" s="52">
        <v>0</v>
      </c>
      <c r="M146" s="21">
        <v>1</v>
      </c>
    </row>
    <row r="147" spans="2:13" ht="18">
      <c r="B147" s="52">
        <v>5</v>
      </c>
      <c r="C147" s="52">
        <v>3</v>
      </c>
      <c r="D147" s="52">
        <v>13</v>
      </c>
      <c r="E147" s="52">
        <v>2</v>
      </c>
      <c r="F147" s="52">
        <v>3</v>
      </c>
      <c r="G147" s="52">
        <v>5</v>
      </c>
      <c r="H147" s="52">
        <v>0</v>
      </c>
      <c r="M147" s="21">
        <v>1</v>
      </c>
    </row>
    <row r="148" spans="2:13" ht="18">
      <c r="B148" s="52">
        <v>5</v>
      </c>
      <c r="C148" s="52">
        <v>15</v>
      </c>
      <c r="D148" s="52">
        <v>6</v>
      </c>
      <c r="E148" s="52">
        <v>8</v>
      </c>
      <c r="F148" s="52">
        <v>1</v>
      </c>
      <c r="G148" s="52">
        <v>10</v>
      </c>
      <c r="H148" s="52">
        <v>1</v>
      </c>
      <c r="M148" s="21">
        <v>1</v>
      </c>
    </row>
    <row r="149" spans="2:13" ht="18">
      <c r="B149" s="52">
        <v>5</v>
      </c>
      <c r="C149" s="52">
        <v>15</v>
      </c>
      <c r="D149" s="52">
        <v>7</v>
      </c>
      <c r="E149" s="52">
        <v>6</v>
      </c>
      <c r="F149" s="52">
        <v>5</v>
      </c>
      <c r="G149" s="52">
        <v>9</v>
      </c>
      <c r="H149" s="52">
        <v>0</v>
      </c>
      <c r="M149" s="21">
        <v>1</v>
      </c>
    </row>
    <row r="150" spans="2:13" ht="18">
      <c r="B150" s="52">
        <v>5</v>
      </c>
      <c r="C150" s="52">
        <v>15</v>
      </c>
      <c r="D150" s="52">
        <v>8</v>
      </c>
      <c r="E150" s="52">
        <v>1</v>
      </c>
      <c r="F150" s="52">
        <v>1</v>
      </c>
      <c r="G150" s="52">
        <v>2</v>
      </c>
      <c r="H150" s="52">
        <v>0</v>
      </c>
      <c r="M150" s="21">
        <v>1</v>
      </c>
    </row>
    <row r="151" spans="2:13" ht="18">
      <c r="B151" s="52">
        <v>5</v>
      </c>
      <c r="C151" s="52">
        <v>15</v>
      </c>
      <c r="D151" s="52">
        <v>9</v>
      </c>
      <c r="E151" s="52">
        <v>0</v>
      </c>
      <c r="F151" s="52">
        <v>3</v>
      </c>
      <c r="G151" s="52">
        <v>11</v>
      </c>
      <c r="H151" s="52">
        <v>0</v>
      </c>
      <c r="M151" s="21">
        <v>1</v>
      </c>
    </row>
    <row r="152" spans="2:13" ht="18">
      <c r="B152" s="52">
        <v>5</v>
      </c>
      <c r="C152" s="52">
        <v>15</v>
      </c>
      <c r="D152" s="52">
        <v>10</v>
      </c>
      <c r="E152" s="52">
        <v>2</v>
      </c>
      <c r="F152" s="52">
        <v>5</v>
      </c>
      <c r="G152" s="52">
        <v>10</v>
      </c>
      <c r="H152" s="52">
        <v>2</v>
      </c>
      <c r="M152" s="21">
        <v>1</v>
      </c>
    </row>
    <row r="153" spans="2:13" ht="18">
      <c r="B153" s="52">
        <v>5</v>
      </c>
      <c r="C153" s="52">
        <v>15</v>
      </c>
      <c r="D153" s="52">
        <v>11</v>
      </c>
      <c r="E153" s="52">
        <v>3</v>
      </c>
      <c r="F153" s="52">
        <v>6</v>
      </c>
      <c r="G153" s="52">
        <v>6</v>
      </c>
      <c r="H153" s="52">
        <v>0</v>
      </c>
      <c r="M153" s="21">
        <v>1</v>
      </c>
    </row>
    <row r="154" spans="2:13" ht="18">
      <c r="B154" s="52">
        <v>5</v>
      </c>
      <c r="C154" s="52">
        <v>15</v>
      </c>
      <c r="D154" s="52">
        <v>12</v>
      </c>
      <c r="E154" s="52">
        <v>1</v>
      </c>
      <c r="F154" s="52">
        <v>0</v>
      </c>
      <c r="G154" s="52">
        <v>3</v>
      </c>
      <c r="H154" s="52">
        <v>0</v>
      </c>
      <c r="M154" s="21">
        <v>1</v>
      </c>
    </row>
    <row r="155" spans="2:13" ht="18">
      <c r="B155" s="52">
        <v>5</v>
      </c>
      <c r="C155" s="52">
        <v>15</v>
      </c>
      <c r="D155" s="52">
        <v>13</v>
      </c>
      <c r="E155" s="52">
        <v>2</v>
      </c>
      <c r="F155" s="52">
        <v>2</v>
      </c>
      <c r="G155" s="52">
        <v>4</v>
      </c>
      <c r="H155" s="52">
        <v>0</v>
      </c>
      <c r="M155" s="21">
        <v>1</v>
      </c>
    </row>
    <row r="156" spans="2:13" ht="18">
      <c r="B156" s="52">
        <v>5</v>
      </c>
      <c r="C156" s="52">
        <v>15</v>
      </c>
      <c r="D156" s="52">
        <v>14</v>
      </c>
      <c r="E156" s="52">
        <v>0</v>
      </c>
      <c r="F156" s="52">
        <v>0</v>
      </c>
      <c r="G156" s="52">
        <v>5</v>
      </c>
      <c r="H156" s="52">
        <v>0</v>
      </c>
      <c r="M156" s="21">
        <v>1</v>
      </c>
    </row>
    <row r="157" spans="2:13" ht="18">
      <c r="B157" s="52">
        <v>5</v>
      </c>
      <c r="C157" s="52">
        <v>8</v>
      </c>
      <c r="D157" s="52">
        <v>10</v>
      </c>
      <c r="E157" s="52">
        <v>11</v>
      </c>
      <c r="F157" s="52">
        <v>3</v>
      </c>
      <c r="G157" s="52">
        <v>11</v>
      </c>
      <c r="H157" s="52">
        <v>0</v>
      </c>
      <c r="M157" s="21">
        <v>1</v>
      </c>
    </row>
    <row r="158" spans="2:13" ht="18">
      <c r="B158" s="52">
        <v>5</v>
      </c>
      <c r="C158" s="52">
        <v>8</v>
      </c>
      <c r="D158" s="52">
        <v>11</v>
      </c>
      <c r="E158" s="52">
        <v>6</v>
      </c>
      <c r="F158" s="52">
        <v>0</v>
      </c>
      <c r="G158" s="52">
        <v>16</v>
      </c>
      <c r="H158" s="52">
        <v>0</v>
      </c>
      <c r="M158" s="21">
        <v>1</v>
      </c>
    </row>
    <row r="159" spans="2:13" ht="18">
      <c r="B159" s="52">
        <v>5</v>
      </c>
      <c r="C159" s="52">
        <v>8</v>
      </c>
      <c r="D159" s="52">
        <v>12</v>
      </c>
      <c r="E159" s="52">
        <v>16</v>
      </c>
      <c r="F159" s="52">
        <v>0</v>
      </c>
      <c r="G159" s="52">
        <v>12</v>
      </c>
      <c r="H159" s="52">
        <v>1</v>
      </c>
      <c r="M159" s="21">
        <v>1</v>
      </c>
    </row>
    <row r="160" spans="2:13" ht="18">
      <c r="B160" s="52">
        <v>5</v>
      </c>
      <c r="C160" s="52">
        <v>7</v>
      </c>
      <c r="D160" s="52">
        <v>12</v>
      </c>
      <c r="E160" s="52">
        <v>9</v>
      </c>
      <c r="F160" s="52">
        <v>4</v>
      </c>
      <c r="G160" s="52">
        <v>12</v>
      </c>
      <c r="H160" s="52">
        <v>7</v>
      </c>
      <c r="M160" s="21">
        <v>1</v>
      </c>
    </row>
    <row r="161" spans="2:13" ht="18">
      <c r="B161" s="52">
        <v>5</v>
      </c>
      <c r="C161" s="52">
        <v>11</v>
      </c>
      <c r="D161" s="52">
        <v>13</v>
      </c>
      <c r="E161" s="52">
        <v>14</v>
      </c>
      <c r="F161" s="52">
        <v>17</v>
      </c>
      <c r="G161" s="52">
        <v>10</v>
      </c>
      <c r="H161" s="52">
        <v>0</v>
      </c>
      <c r="M161" s="21">
        <v>1</v>
      </c>
    </row>
    <row r="162" spans="2:13" ht="18">
      <c r="B162" s="52">
        <v>5</v>
      </c>
      <c r="C162" s="52">
        <v>13</v>
      </c>
      <c r="D162" s="52">
        <v>13</v>
      </c>
      <c r="E162" s="52">
        <v>0</v>
      </c>
      <c r="F162" s="52">
        <v>0</v>
      </c>
      <c r="G162" s="52">
        <v>20</v>
      </c>
      <c r="H162" s="52">
        <v>0</v>
      </c>
      <c r="M162" s="21">
        <v>1</v>
      </c>
    </row>
    <row r="163" spans="2:13" ht="18">
      <c r="B163" s="52">
        <v>5</v>
      </c>
      <c r="C163" s="52">
        <v>14</v>
      </c>
      <c r="D163" s="52">
        <v>7</v>
      </c>
      <c r="E163" s="52">
        <v>19</v>
      </c>
      <c r="F163" s="52">
        <v>2</v>
      </c>
      <c r="G163" s="52">
        <v>5</v>
      </c>
      <c r="H163" s="52">
        <v>0</v>
      </c>
      <c r="M163" s="21">
        <v>1</v>
      </c>
    </row>
    <row r="164" spans="2:13" ht="18">
      <c r="B164" s="52">
        <v>5</v>
      </c>
      <c r="C164" s="52">
        <v>14</v>
      </c>
      <c r="D164" s="52">
        <v>6</v>
      </c>
      <c r="E164" s="52">
        <v>4</v>
      </c>
      <c r="F164" s="52">
        <v>1</v>
      </c>
      <c r="G164" s="52">
        <v>4</v>
      </c>
      <c r="H164" s="52">
        <v>1</v>
      </c>
      <c r="M164" s="21">
        <v>1</v>
      </c>
    </row>
    <row r="165" spans="2:13" ht="18">
      <c r="B165" s="52">
        <v>5</v>
      </c>
      <c r="C165" s="52">
        <v>4</v>
      </c>
      <c r="D165" s="52">
        <v>15</v>
      </c>
      <c r="E165" s="52">
        <v>5</v>
      </c>
      <c r="F165" s="52">
        <v>1</v>
      </c>
      <c r="G165" s="52">
        <v>16</v>
      </c>
      <c r="H165" s="52">
        <v>0</v>
      </c>
      <c r="M165" s="21">
        <v>1</v>
      </c>
    </row>
    <row r="166" spans="2:13" ht="18">
      <c r="B166" s="52">
        <v>5</v>
      </c>
      <c r="C166" s="52">
        <v>4</v>
      </c>
      <c r="D166" s="52">
        <v>14</v>
      </c>
      <c r="E166" s="52">
        <v>3</v>
      </c>
      <c r="F166" s="52">
        <v>5</v>
      </c>
      <c r="G166" s="52">
        <v>15</v>
      </c>
      <c r="H166" s="52">
        <v>0</v>
      </c>
      <c r="M166" s="21">
        <v>1</v>
      </c>
    </row>
    <row r="167" spans="2:13" ht="18">
      <c r="B167" s="52">
        <v>5</v>
      </c>
      <c r="C167" s="52">
        <v>5</v>
      </c>
      <c r="D167" s="52">
        <v>14</v>
      </c>
      <c r="E167" s="52">
        <v>14</v>
      </c>
      <c r="F167" s="52">
        <v>3</v>
      </c>
      <c r="G167" s="52">
        <v>8</v>
      </c>
      <c r="H167" s="52">
        <v>0</v>
      </c>
      <c r="M167" s="21">
        <v>1</v>
      </c>
    </row>
    <row r="168" spans="2:13" ht="18">
      <c r="B168" s="52">
        <v>5</v>
      </c>
      <c r="C168" s="52">
        <v>7</v>
      </c>
      <c r="D168" s="52">
        <v>14</v>
      </c>
      <c r="E168" s="52">
        <v>10</v>
      </c>
      <c r="F168" s="52">
        <v>2</v>
      </c>
      <c r="G168" s="52">
        <v>15</v>
      </c>
      <c r="H168" s="52">
        <v>5</v>
      </c>
      <c r="M168" s="21">
        <v>1</v>
      </c>
    </row>
    <row r="169" spans="2:13" ht="18">
      <c r="B169" s="52">
        <v>5</v>
      </c>
      <c r="C169" s="52">
        <v>10</v>
      </c>
      <c r="D169" s="52">
        <v>9</v>
      </c>
      <c r="E169" s="52">
        <v>7</v>
      </c>
      <c r="F169" s="52">
        <v>3</v>
      </c>
      <c r="G169" s="52">
        <v>18</v>
      </c>
      <c r="H169" s="52">
        <v>0</v>
      </c>
      <c r="M169" s="21">
        <v>1</v>
      </c>
    </row>
    <row r="170" spans="2:13" ht="18">
      <c r="B170" s="52">
        <v>5</v>
      </c>
      <c r="C170" s="52">
        <v>10</v>
      </c>
      <c r="D170" s="52">
        <v>8</v>
      </c>
      <c r="E170" s="52">
        <v>18</v>
      </c>
      <c r="F170" s="52">
        <v>4</v>
      </c>
      <c r="G170" s="52">
        <v>13</v>
      </c>
      <c r="H170" s="52">
        <v>0</v>
      </c>
      <c r="M170" s="21">
        <v>1</v>
      </c>
    </row>
    <row r="171" spans="2:13" ht="18">
      <c r="B171" s="52">
        <v>5</v>
      </c>
      <c r="C171" s="52">
        <v>10</v>
      </c>
      <c r="D171" s="52">
        <v>7</v>
      </c>
      <c r="E171" s="52">
        <v>8</v>
      </c>
      <c r="F171" s="52">
        <v>3</v>
      </c>
      <c r="G171" s="52">
        <v>25</v>
      </c>
      <c r="H171" s="52">
        <v>0</v>
      </c>
      <c r="M171" s="21">
        <v>1</v>
      </c>
    </row>
    <row r="172" spans="2:13" ht="18">
      <c r="B172" s="52">
        <v>5</v>
      </c>
      <c r="C172" s="52">
        <v>6</v>
      </c>
      <c r="D172" s="52">
        <v>13</v>
      </c>
      <c r="E172" s="52">
        <v>14</v>
      </c>
      <c r="F172" s="52">
        <v>0</v>
      </c>
      <c r="G172" s="52">
        <v>16</v>
      </c>
      <c r="H172" s="52">
        <v>0</v>
      </c>
      <c r="M172" s="21">
        <v>1</v>
      </c>
    </row>
    <row r="173" spans="2:13" ht="18">
      <c r="B173" s="52">
        <v>5</v>
      </c>
      <c r="C173" s="52">
        <v>6</v>
      </c>
      <c r="D173" s="52">
        <v>14</v>
      </c>
      <c r="E173" s="52">
        <v>10</v>
      </c>
      <c r="F173" s="52">
        <v>0</v>
      </c>
      <c r="G173" s="52">
        <v>8</v>
      </c>
      <c r="H173" s="52">
        <v>0</v>
      </c>
      <c r="M173" s="21">
        <v>1</v>
      </c>
    </row>
    <row r="174" spans="2:13" ht="18">
      <c r="B174" s="52">
        <v>5</v>
      </c>
      <c r="C174" s="52">
        <v>6</v>
      </c>
      <c r="D174" s="52">
        <v>15</v>
      </c>
      <c r="E174" s="52">
        <v>6</v>
      </c>
      <c r="F174" s="52">
        <v>1</v>
      </c>
      <c r="G174" s="52">
        <v>6</v>
      </c>
      <c r="H174" s="52">
        <v>1</v>
      </c>
      <c r="M174" s="21">
        <v>1</v>
      </c>
    </row>
    <row r="175" spans="2:13" ht="18">
      <c r="B175" s="52">
        <v>5</v>
      </c>
      <c r="C175" s="52">
        <v>6</v>
      </c>
      <c r="D175" s="52">
        <v>16</v>
      </c>
      <c r="E175" s="52">
        <v>4</v>
      </c>
      <c r="F175" s="52">
        <v>6</v>
      </c>
      <c r="G175" s="52">
        <v>0</v>
      </c>
      <c r="H175" s="52">
        <v>3</v>
      </c>
      <c r="M175" s="21">
        <v>1</v>
      </c>
    </row>
    <row r="176" spans="2:13" ht="18">
      <c r="B176" s="52">
        <v>5</v>
      </c>
      <c r="C176" s="52">
        <v>2</v>
      </c>
      <c r="D176" s="52">
        <v>8</v>
      </c>
      <c r="E176" s="52">
        <v>15</v>
      </c>
      <c r="F176" s="52">
        <v>10</v>
      </c>
      <c r="G176" s="52">
        <v>10</v>
      </c>
      <c r="H176" s="52">
        <v>2</v>
      </c>
      <c r="M176" s="21">
        <v>1</v>
      </c>
    </row>
    <row r="177" spans="2:13" ht="18">
      <c r="B177" s="52">
        <v>5</v>
      </c>
      <c r="C177" s="52">
        <v>2</v>
      </c>
      <c r="D177" s="52">
        <v>9</v>
      </c>
      <c r="E177" s="52">
        <v>15</v>
      </c>
      <c r="F177" s="52">
        <v>10</v>
      </c>
      <c r="G177" s="52">
        <v>10</v>
      </c>
      <c r="H177" s="52">
        <v>12</v>
      </c>
      <c r="M177" s="21">
        <v>1</v>
      </c>
    </row>
    <row r="178" spans="2:13" ht="18">
      <c r="B178" s="52">
        <v>5</v>
      </c>
      <c r="C178" s="52">
        <v>2</v>
      </c>
      <c r="D178" s="52">
        <v>13</v>
      </c>
      <c r="E178" s="52">
        <v>10</v>
      </c>
      <c r="F178" s="52">
        <v>10</v>
      </c>
      <c r="G178" s="52">
        <v>10</v>
      </c>
      <c r="H178" s="52">
        <v>0</v>
      </c>
      <c r="M178" s="21">
        <v>1</v>
      </c>
    </row>
    <row r="179" spans="2:13" ht="18">
      <c r="B179" s="52">
        <v>5</v>
      </c>
      <c r="C179" s="52">
        <v>5</v>
      </c>
      <c r="D179" s="52">
        <v>15</v>
      </c>
      <c r="E179" s="52">
        <v>8</v>
      </c>
      <c r="F179" s="52">
        <v>1</v>
      </c>
      <c r="G179" s="52">
        <v>10</v>
      </c>
      <c r="H179" s="52">
        <v>0</v>
      </c>
      <c r="M179" s="21">
        <v>1</v>
      </c>
    </row>
    <row r="180" spans="2:13" ht="18">
      <c r="B180" s="52">
        <v>5</v>
      </c>
      <c r="C180" s="52">
        <v>2</v>
      </c>
      <c r="D180" s="52">
        <v>11</v>
      </c>
      <c r="E180" s="52">
        <v>20</v>
      </c>
      <c r="F180" s="52">
        <v>12</v>
      </c>
      <c r="G180" s="52">
        <v>10</v>
      </c>
      <c r="H180" s="52">
        <v>10</v>
      </c>
      <c r="M180" s="21">
        <v>1</v>
      </c>
    </row>
    <row r="181" spans="2:13" ht="18">
      <c r="B181" s="52">
        <v>5</v>
      </c>
      <c r="C181" s="52">
        <v>2</v>
      </c>
      <c r="D181" s="52">
        <v>10</v>
      </c>
      <c r="E181" s="52">
        <v>10</v>
      </c>
      <c r="F181" s="52">
        <v>10</v>
      </c>
      <c r="G181" s="52">
        <v>15</v>
      </c>
      <c r="H181" s="52">
        <v>4</v>
      </c>
      <c r="M181" s="21">
        <v>1</v>
      </c>
    </row>
    <row r="182" spans="2:13" ht="18">
      <c r="B182" s="52">
        <v>5</v>
      </c>
      <c r="C182" s="52">
        <v>2</v>
      </c>
      <c r="D182" s="52">
        <v>12</v>
      </c>
      <c r="E182" s="52">
        <v>10</v>
      </c>
      <c r="F182" s="52">
        <v>10</v>
      </c>
      <c r="G182" s="52">
        <v>10</v>
      </c>
      <c r="H182" s="52">
        <v>13</v>
      </c>
      <c r="M182" s="21">
        <v>1</v>
      </c>
    </row>
    <row r="183" spans="2:13" ht="18">
      <c r="B183" s="52">
        <v>5</v>
      </c>
      <c r="C183" s="52">
        <v>12</v>
      </c>
      <c r="D183" s="52">
        <v>14</v>
      </c>
      <c r="E183" s="52">
        <v>6</v>
      </c>
      <c r="F183" s="52">
        <v>1</v>
      </c>
      <c r="G183" s="52">
        <v>8</v>
      </c>
      <c r="H183" s="52">
        <v>0</v>
      </c>
      <c r="M183" s="21">
        <v>1</v>
      </c>
    </row>
    <row r="184" spans="2:13" ht="18">
      <c r="B184" s="52">
        <v>5</v>
      </c>
      <c r="C184" s="52">
        <v>12</v>
      </c>
      <c r="D184" s="52">
        <v>13</v>
      </c>
      <c r="E184" s="52">
        <v>12</v>
      </c>
      <c r="F184" s="52">
        <v>2</v>
      </c>
      <c r="G184" s="52">
        <v>15</v>
      </c>
      <c r="H184" s="52">
        <v>0</v>
      </c>
      <c r="M184" s="21">
        <v>1</v>
      </c>
    </row>
    <row r="185" spans="2:13" ht="18">
      <c r="B185" s="52">
        <v>5</v>
      </c>
      <c r="C185" s="52">
        <v>12</v>
      </c>
      <c r="D185" s="52">
        <v>12</v>
      </c>
      <c r="E185" s="52">
        <v>12</v>
      </c>
      <c r="F185" s="52">
        <v>1</v>
      </c>
      <c r="G185" s="52">
        <v>14</v>
      </c>
      <c r="H185" s="52">
        <v>0</v>
      </c>
      <c r="M185" s="21">
        <v>1</v>
      </c>
    </row>
    <row r="186" spans="2:13" ht="18">
      <c r="B186" s="52">
        <v>5</v>
      </c>
      <c r="C186" s="52">
        <v>12</v>
      </c>
      <c r="D186" s="52">
        <v>11</v>
      </c>
      <c r="E186" s="52">
        <v>5</v>
      </c>
      <c r="F186" s="52">
        <v>2</v>
      </c>
      <c r="G186" s="52">
        <v>10</v>
      </c>
      <c r="H186" s="52">
        <v>0</v>
      </c>
      <c r="M186" s="21">
        <v>1</v>
      </c>
    </row>
    <row r="187" spans="2:13" ht="18">
      <c r="B187" s="52">
        <v>5</v>
      </c>
      <c r="C187" s="52">
        <v>1</v>
      </c>
      <c r="D187" s="52">
        <v>15</v>
      </c>
      <c r="E187" s="52">
        <v>1</v>
      </c>
      <c r="F187" s="52">
        <v>0</v>
      </c>
      <c r="G187" s="52">
        <v>1</v>
      </c>
      <c r="H187" s="52">
        <v>0</v>
      </c>
      <c r="M187" s="21">
        <v>1</v>
      </c>
    </row>
    <row r="188" spans="2:13" ht="18">
      <c r="B188" s="52">
        <v>5</v>
      </c>
      <c r="C188" s="52">
        <v>13</v>
      </c>
      <c r="D188" s="52">
        <v>14</v>
      </c>
      <c r="E188" s="52">
        <v>12</v>
      </c>
      <c r="F188" s="52">
        <v>8</v>
      </c>
      <c r="G188" s="52">
        <v>0</v>
      </c>
      <c r="H188" s="52">
        <v>0</v>
      </c>
      <c r="M188" s="21">
        <v>1</v>
      </c>
    </row>
    <row r="189" spans="2:13" ht="18">
      <c r="B189" s="52">
        <v>5</v>
      </c>
      <c r="C189" s="52">
        <v>13</v>
      </c>
      <c r="D189" s="52">
        <v>16</v>
      </c>
      <c r="E189" s="52">
        <v>6</v>
      </c>
      <c r="F189" s="52">
        <v>0</v>
      </c>
      <c r="G189" s="52">
        <v>25</v>
      </c>
      <c r="H189" s="52">
        <v>0</v>
      </c>
      <c r="M189" s="21">
        <v>1</v>
      </c>
    </row>
    <row r="190" spans="2:13" ht="18">
      <c r="B190" s="52">
        <v>5</v>
      </c>
      <c r="C190" s="52">
        <v>5</v>
      </c>
      <c r="D190" s="52">
        <v>16</v>
      </c>
      <c r="E190" s="52">
        <v>14</v>
      </c>
      <c r="F190" s="52">
        <v>5</v>
      </c>
      <c r="G190" s="52">
        <v>14</v>
      </c>
      <c r="H190" s="52">
        <v>0</v>
      </c>
      <c r="M190" s="21">
        <v>1</v>
      </c>
    </row>
    <row r="191" spans="2:13" ht="18">
      <c r="B191" s="52">
        <v>5</v>
      </c>
      <c r="C191" s="52"/>
      <c r="D191" s="52"/>
      <c r="E191" s="52"/>
      <c r="F191" s="52"/>
      <c r="G191" s="52"/>
      <c r="H191" s="52"/>
      <c r="M191" s="21">
        <v>1</v>
      </c>
    </row>
    <row r="192" spans="2:13" ht="18">
      <c r="B192" s="52">
        <v>5</v>
      </c>
      <c r="C192" s="52"/>
      <c r="D192" s="52"/>
      <c r="E192" s="52"/>
      <c r="F192" s="52"/>
      <c r="G192" s="52"/>
      <c r="H192" s="52"/>
      <c r="M192" s="21">
        <v>1</v>
      </c>
    </row>
    <row r="193" spans="2:13" ht="18">
      <c r="B193" s="52">
        <v>5</v>
      </c>
      <c r="C193" s="52"/>
      <c r="D193" s="52"/>
      <c r="E193" s="52"/>
      <c r="F193" s="52"/>
      <c r="G193" s="52"/>
      <c r="H193" s="52"/>
      <c r="M193" s="21">
        <v>1</v>
      </c>
    </row>
    <row r="194" spans="2:13" ht="18">
      <c r="B194" s="52">
        <v>5</v>
      </c>
      <c r="C194" s="52"/>
      <c r="D194" s="52"/>
      <c r="E194" s="52"/>
      <c r="F194" s="52"/>
      <c r="G194" s="52"/>
      <c r="H194" s="52"/>
      <c r="M194" s="21">
        <v>1</v>
      </c>
    </row>
    <row r="195" spans="2:13" ht="18">
      <c r="B195" s="52">
        <v>5</v>
      </c>
      <c r="C195" s="52"/>
      <c r="D195" s="52"/>
      <c r="E195" s="52"/>
      <c r="F195" s="52"/>
      <c r="G195" s="52"/>
      <c r="H195" s="52"/>
      <c r="M195" s="21">
        <v>1</v>
      </c>
    </row>
    <row r="196" spans="2:13" ht="18">
      <c r="B196" s="52">
        <v>5</v>
      </c>
      <c r="C196" s="52"/>
      <c r="D196" s="52"/>
      <c r="E196" s="52"/>
      <c r="F196" s="52"/>
      <c r="G196" s="52"/>
      <c r="H196" s="52"/>
      <c r="M196" s="21">
        <v>1</v>
      </c>
    </row>
    <row r="197" spans="2:13" ht="18">
      <c r="B197" s="52">
        <v>5</v>
      </c>
      <c r="C197" s="52"/>
      <c r="D197" s="52"/>
      <c r="E197" s="52"/>
      <c r="F197" s="52"/>
      <c r="G197" s="52"/>
      <c r="H197" s="52"/>
      <c r="M197" s="21">
        <v>1</v>
      </c>
    </row>
    <row r="198" spans="2:13" ht="18">
      <c r="B198" s="52">
        <v>5</v>
      </c>
      <c r="C198" s="52"/>
      <c r="D198" s="52"/>
      <c r="E198" s="52"/>
      <c r="F198" s="52"/>
      <c r="G198" s="52"/>
      <c r="H198" s="52"/>
      <c r="M198" s="21">
        <v>1</v>
      </c>
    </row>
    <row r="199" spans="2:13" ht="18">
      <c r="B199" s="52">
        <v>5</v>
      </c>
      <c r="C199" s="52"/>
      <c r="D199" s="52"/>
      <c r="E199" s="52"/>
      <c r="F199" s="52"/>
      <c r="G199" s="52"/>
      <c r="H199" s="52"/>
      <c r="M199" s="21">
        <v>1</v>
      </c>
    </row>
    <row r="200" spans="2:13" ht="18">
      <c r="B200" s="52">
        <v>5</v>
      </c>
      <c r="C200" s="52"/>
      <c r="D200" s="52"/>
      <c r="E200" s="52"/>
      <c r="F200" s="52"/>
      <c r="G200" s="52"/>
      <c r="H200" s="52"/>
      <c r="M200" s="21">
        <v>1</v>
      </c>
    </row>
    <row r="201" spans="2:13" ht="18">
      <c r="B201" s="52">
        <v>5</v>
      </c>
      <c r="C201" s="52"/>
      <c r="D201" s="52"/>
      <c r="E201" s="52"/>
      <c r="F201" s="52"/>
      <c r="G201" s="52"/>
      <c r="H201" s="52"/>
      <c r="M201" s="21">
        <v>1</v>
      </c>
    </row>
    <row r="202" spans="2:13" ht="18">
      <c r="B202" s="52">
        <v>5</v>
      </c>
      <c r="C202" s="52"/>
      <c r="D202" s="52"/>
      <c r="E202" s="52"/>
      <c r="F202" s="52"/>
      <c r="G202" s="52"/>
      <c r="H202" s="52"/>
      <c r="M202" s="21">
        <v>1</v>
      </c>
    </row>
    <row r="203" spans="2:13" ht="18">
      <c r="B203" s="52"/>
      <c r="C203" s="52"/>
      <c r="D203" s="52"/>
      <c r="E203" s="52"/>
      <c r="F203" s="52"/>
      <c r="G203" s="52"/>
      <c r="H203" s="52"/>
      <c r="M203" s="21">
        <v>1</v>
      </c>
    </row>
    <row r="204" spans="2:13" ht="18">
      <c r="B204" s="52"/>
      <c r="C204" s="52"/>
      <c r="D204" s="52"/>
      <c r="E204" s="52"/>
      <c r="F204" s="52"/>
      <c r="G204" s="52"/>
      <c r="H204" s="52"/>
      <c r="M204" s="21">
        <v>1</v>
      </c>
    </row>
    <row r="205" spans="2:13" ht="18">
      <c r="B205" s="52"/>
      <c r="C205" s="52"/>
      <c r="D205" s="52"/>
      <c r="E205" s="52"/>
      <c r="F205" s="52"/>
      <c r="G205" s="52"/>
      <c r="H205" s="52"/>
      <c r="M205" s="21">
        <v>1</v>
      </c>
    </row>
    <row r="206" spans="2:13" ht="18">
      <c r="B206" s="52"/>
      <c r="C206" s="52"/>
      <c r="D206" s="52"/>
      <c r="E206" s="52"/>
      <c r="F206" s="52"/>
      <c r="G206" s="52"/>
      <c r="H206" s="52"/>
      <c r="M206" s="21">
        <v>1</v>
      </c>
    </row>
    <row r="207" spans="2:13" ht="18">
      <c r="B207" s="52"/>
      <c r="C207" s="52"/>
      <c r="D207" s="52"/>
      <c r="E207" s="52"/>
      <c r="F207" s="52"/>
      <c r="G207" s="52"/>
      <c r="H207" s="52"/>
      <c r="M207" s="21">
        <v>1</v>
      </c>
    </row>
    <row r="208" spans="2:13" ht="18">
      <c r="B208" s="52"/>
      <c r="C208" s="52"/>
      <c r="D208" s="52"/>
      <c r="E208" s="52"/>
      <c r="F208" s="52"/>
      <c r="G208" s="52"/>
      <c r="H208" s="52"/>
      <c r="M208" s="21">
        <v>1</v>
      </c>
    </row>
    <row r="209" spans="2:13" ht="18">
      <c r="B209" s="52"/>
      <c r="C209" s="52"/>
      <c r="D209" s="52"/>
      <c r="E209" s="52"/>
      <c r="F209" s="52"/>
      <c r="G209" s="52"/>
      <c r="H209" s="52"/>
      <c r="M209" s="21">
        <v>1</v>
      </c>
    </row>
    <row r="210" spans="2:13" ht="18">
      <c r="B210" s="52"/>
      <c r="C210" s="52"/>
      <c r="D210" s="52"/>
      <c r="E210" s="52"/>
      <c r="F210" s="52"/>
      <c r="G210" s="52"/>
      <c r="H210" s="52"/>
      <c r="M210" s="21">
        <v>1</v>
      </c>
    </row>
    <row r="211" spans="2:13" ht="18">
      <c r="B211" s="52"/>
      <c r="C211" s="52"/>
      <c r="D211" s="52"/>
      <c r="E211" s="52"/>
      <c r="F211" s="52"/>
      <c r="G211" s="52"/>
      <c r="H211" s="52"/>
      <c r="M211" s="21">
        <v>1</v>
      </c>
    </row>
    <row r="212" spans="2:13" ht="18">
      <c r="B212" s="52"/>
      <c r="C212" s="52"/>
      <c r="D212" s="52"/>
      <c r="E212" s="52"/>
      <c r="F212" s="52"/>
      <c r="G212" s="52"/>
      <c r="H212" s="52"/>
      <c r="M212" s="21">
        <v>1</v>
      </c>
    </row>
    <row r="213" spans="2:13" ht="18">
      <c r="B213" s="52"/>
      <c r="C213" s="52"/>
      <c r="D213" s="52"/>
      <c r="E213" s="52"/>
      <c r="F213" s="52"/>
      <c r="G213" s="52"/>
      <c r="H213" s="52"/>
      <c r="M213" s="21">
        <v>1</v>
      </c>
    </row>
    <row r="214" spans="2:13" ht="18">
      <c r="B214" s="52"/>
      <c r="C214" s="52"/>
      <c r="D214" s="52"/>
      <c r="E214" s="52"/>
      <c r="F214" s="52"/>
      <c r="G214" s="52"/>
      <c r="H214" s="52"/>
      <c r="M214" s="21">
        <v>1</v>
      </c>
    </row>
    <row r="215" spans="2:13" ht="18">
      <c r="B215" s="52"/>
      <c r="C215" s="52"/>
      <c r="D215" s="52"/>
      <c r="E215" s="52"/>
      <c r="F215" s="52"/>
      <c r="G215" s="52"/>
      <c r="H215" s="52"/>
      <c r="M215" s="21">
        <v>1</v>
      </c>
    </row>
    <row r="216" spans="2:13" ht="18">
      <c r="B216" s="52"/>
      <c r="C216" s="52"/>
      <c r="D216" s="52"/>
      <c r="E216" s="52"/>
      <c r="F216" s="52"/>
      <c r="G216" s="52"/>
      <c r="H216" s="52"/>
      <c r="M216" s="21">
        <v>1</v>
      </c>
    </row>
    <row r="217" spans="2:13" ht="18">
      <c r="B217" s="52"/>
      <c r="C217" s="52"/>
      <c r="D217" s="52"/>
      <c r="E217" s="52"/>
      <c r="F217" s="52"/>
      <c r="G217" s="52"/>
      <c r="H217" s="52"/>
      <c r="M217" s="21">
        <v>1</v>
      </c>
    </row>
    <row r="218" spans="2:13" ht="18">
      <c r="B218" s="52"/>
      <c r="C218" s="52"/>
      <c r="D218" s="52"/>
      <c r="E218" s="52"/>
      <c r="F218" s="52"/>
      <c r="G218" s="52"/>
      <c r="H218" s="52"/>
      <c r="M218" s="21">
        <v>1</v>
      </c>
    </row>
    <row r="219" spans="2:13" ht="18">
      <c r="B219" s="52"/>
      <c r="C219" s="52"/>
      <c r="D219" s="52"/>
      <c r="E219" s="52"/>
      <c r="F219" s="52"/>
      <c r="G219" s="52"/>
      <c r="H219" s="52"/>
      <c r="M219" s="21">
        <v>1</v>
      </c>
    </row>
    <row r="220" spans="2:13" ht="18">
      <c r="B220" s="52"/>
      <c r="C220" s="52"/>
      <c r="D220" s="52"/>
      <c r="E220" s="52"/>
      <c r="F220" s="52"/>
      <c r="G220" s="52"/>
      <c r="H220" s="52"/>
      <c r="M220" s="21">
        <v>1</v>
      </c>
    </row>
    <row r="221" spans="2:13" ht="18">
      <c r="B221" s="52"/>
      <c r="C221" s="52"/>
      <c r="D221" s="52"/>
      <c r="E221" s="52"/>
      <c r="F221" s="52"/>
      <c r="G221" s="52"/>
      <c r="H221" s="52"/>
      <c r="M221" s="21">
        <v>1</v>
      </c>
    </row>
    <row r="222" spans="2:13" ht="18">
      <c r="B222" s="52"/>
      <c r="C222" s="52"/>
      <c r="D222" s="52"/>
      <c r="E222" s="52"/>
      <c r="F222" s="52"/>
      <c r="G222" s="52"/>
      <c r="H222" s="52"/>
      <c r="M222" s="21">
        <v>1</v>
      </c>
    </row>
    <row r="223" spans="2:13" ht="18">
      <c r="B223" s="52"/>
      <c r="C223" s="52"/>
      <c r="D223" s="52"/>
      <c r="E223" s="52"/>
      <c r="F223" s="52"/>
      <c r="G223" s="52"/>
      <c r="H223" s="52"/>
      <c r="M223" s="21">
        <v>1</v>
      </c>
    </row>
    <row r="224" spans="2:13" ht="18">
      <c r="B224" s="52"/>
      <c r="C224" s="52"/>
      <c r="D224" s="52"/>
      <c r="E224" s="52"/>
      <c r="F224" s="52"/>
      <c r="G224" s="52"/>
      <c r="H224" s="52"/>
      <c r="M224" s="21">
        <v>1</v>
      </c>
    </row>
    <row r="225" spans="2:13" ht="18">
      <c r="B225" s="52"/>
      <c r="C225" s="52"/>
      <c r="D225" s="52"/>
      <c r="E225" s="52"/>
      <c r="F225" s="52"/>
      <c r="G225" s="52"/>
      <c r="H225" s="52"/>
      <c r="M225" s="21">
        <v>1</v>
      </c>
    </row>
    <row r="226" spans="2:13" ht="18">
      <c r="B226" s="52"/>
      <c r="C226" s="52"/>
      <c r="D226" s="52"/>
      <c r="E226" s="52"/>
      <c r="F226" s="52"/>
      <c r="G226" s="52"/>
      <c r="H226" s="52"/>
      <c r="M226" s="21">
        <v>1</v>
      </c>
    </row>
    <row r="227" spans="2:13" ht="18">
      <c r="B227" s="52"/>
      <c r="C227" s="52"/>
      <c r="D227" s="52"/>
      <c r="E227" s="52"/>
      <c r="F227" s="52"/>
      <c r="G227" s="52"/>
      <c r="H227" s="52"/>
      <c r="M227" s="21">
        <v>1</v>
      </c>
    </row>
    <row r="228" spans="2:13" ht="18">
      <c r="B228" s="52"/>
      <c r="C228" s="52"/>
      <c r="D228" s="52"/>
      <c r="E228" s="52"/>
      <c r="F228" s="52"/>
      <c r="G228" s="52"/>
      <c r="H228" s="52"/>
      <c r="M228" s="21">
        <v>1</v>
      </c>
    </row>
    <row r="229" spans="2:13" ht="18">
      <c r="B229" s="52"/>
      <c r="C229" s="52"/>
      <c r="D229" s="52"/>
      <c r="E229" s="52"/>
      <c r="F229" s="52"/>
      <c r="G229" s="52"/>
      <c r="H229" s="52"/>
      <c r="M229" s="21">
        <v>1</v>
      </c>
    </row>
    <row r="230" spans="2:13" ht="18">
      <c r="B230" s="52"/>
      <c r="C230" s="52"/>
      <c r="D230" s="52"/>
      <c r="E230" s="52"/>
      <c r="F230" s="52"/>
      <c r="G230" s="52"/>
      <c r="H230" s="52"/>
      <c r="M230" s="21">
        <v>1</v>
      </c>
    </row>
    <row r="231" spans="2:13" ht="18">
      <c r="B231" s="52"/>
      <c r="C231" s="52"/>
      <c r="D231" s="52"/>
      <c r="E231" s="52"/>
      <c r="F231" s="52"/>
      <c r="G231" s="52"/>
      <c r="H231" s="52"/>
      <c r="M231" s="21">
        <v>1</v>
      </c>
    </row>
    <row r="232" spans="2:13" ht="18">
      <c r="B232" s="52"/>
      <c r="C232" s="52"/>
      <c r="D232" s="52"/>
      <c r="E232" s="52"/>
      <c r="F232" s="52"/>
      <c r="G232" s="52"/>
      <c r="H232" s="52"/>
      <c r="M232" s="21">
        <v>1</v>
      </c>
    </row>
    <row r="233" spans="2:13" ht="18">
      <c r="B233" s="52"/>
      <c r="C233" s="52"/>
      <c r="D233" s="52"/>
      <c r="E233" s="52"/>
      <c r="F233" s="52"/>
      <c r="G233" s="52"/>
      <c r="H233" s="52"/>
      <c r="M233" s="21">
        <v>1</v>
      </c>
    </row>
    <row r="234" spans="2:13" ht="18">
      <c r="B234" s="52"/>
      <c r="C234" s="52"/>
      <c r="D234" s="52"/>
      <c r="E234" s="52"/>
      <c r="F234" s="52"/>
      <c r="G234" s="52"/>
      <c r="H234" s="52"/>
      <c r="M234" s="21">
        <v>1</v>
      </c>
    </row>
    <row r="235" spans="2:13" ht="18">
      <c r="B235" s="52"/>
      <c r="C235" s="52"/>
      <c r="D235" s="52"/>
      <c r="E235" s="52"/>
      <c r="F235" s="52"/>
      <c r="G235" s="52"/>
      <c r="H235" s="52"/>
      <c r="M235" s="21">
        <v>1</v>
      </c>
    </row>
    <row r="236" spans="2:13" ht="18">
      <c r="B236" s="52"/>
      <c r="C236" s="52"/>
      <c r="D236" s="52"/>
      <c r="E236" s="52"/>
      <c r="F236" s="52"/>
      <c r="G236" s="52"/>
      <c r="H236" s="52"/>
      <c r="M236" s="21">
        <v>1</v>
      </c>
    </row>
    <row r="237" spans="2:13" ht="18">
      <c r="B237" s="52"/>
      <c r="C237" s="52"/>
      <c r="D237" s="52"/>
      <c r="E237" s="52"/>
      <c r="F237" s="52"/>
      <c r="G237" s="52"/>
      <c r="H237" s="52"/>
      <c r="M237" s="21">
        <v>1</v>
      </c>
    </row>
    <row r="238" spans="2:13" ht="18">
      <c r="B238" s="52"/>
      <c r="C238" s="52"/>
      <c r="D238" s="52"/>
      <c r="E238" s="52"/>
      <c r="F238" s="52"/>
      <c r="G238" s="52"/>
      <c r="H238" s="52"/>
      <c r="M238" s="21">
        <v>1</v>
      </c>
    </row>
    <row r="239" spans="2:13" ht="18">
      <c r="B239" s="52"/>
      <c r="C239" s="52"/>
      <c r="D239" s="52"/>
      <c r="E239" s="52"/>
      <c r="F239" s="52"/>
      <c r="G239" s="52"/>
      <c r="H239" s="52"/>
      <c r="M239" s="21">
        <v>1</v>
      </c>
    </row>
    <row r="240" spans="2:13" ht="18">
      <c r="B240" s="52"/>
      <c r="C240" s="52"/>
      <c r="D240" s="52"/>
      <c r="E240" s="52"/>
      <c r="F240" s="52"/>
      <c r="G240" s="52"/>
      <c r="H240" s="52"/>
      <c r="M240" s="21">
        <v>1</v>
      </c>
    </row>
    <row r="241" spans="2:13" ht="18">
      <c r="B241" s="52"/>
      <c r="C241" s="52"/>
      <c r="D241" s="52"/>
      <c r="E241" s="52"/>
      <c r="F241" s="52"/>
      <c r="G241" s="52"/>
      <c r="H241" s="52"/>
      <c r="M241" s="21">
        <v>1</v>
      </c>
    </row>
    <row r="242" spans="2:13" ht="18">
      <c r="B242" s="52"/>
      <c r="C242" s="52"/>
      <c r="D242" s="52"/>
      <c r="E242" s="52"/>
      <c r="F242" s="52"/>
      <c r="G242" s="52"/>
      <c r="H242" s="52"/>
      <c r="M242" s="21">
        <v>1</v>
      </c>
    </row>
    <row r="243" spans="2:13" ht="18">
      <c r="B243" s="52"/>
      <c r="C243" s="52"/>
      <c r="D243" s="52"/>
      <c r="E243" s="52"/>
      <c r="F243" s="52"/>
      <c r="G243" s="52"/>
      <c r="H243" s="52"/>
      <c r="M243" s="21">
        <v>1</v>
      </c>
    </row>
    <row r="244" spans="2:13" ht="18">
      <c r="B244" s="52"/>
      <c r="C244" s="52"/>
      <c r="D244" s="52"/>
      <c r="E244" s="52"/>
      <c r="F244" s="52"/>
      <c r="G244" s="52"/>
      <c r="H244" s="52"/>
      <c r="M244" s="21">
        <v>1</v>
      </c>
    </row>
    <row r="245" spans="2:13" ht="18">
      <c r="B245" s="52"/>
      <c r="C245" s="52"/>
      <c r="D245" s="52"/>
      <c r="E245" s="52"/>
      <c r="F245" s="52"/>
      <c r="G245" s="52"/>
      <c r="H245" s="52"/>
      <c r="M245" s="21">
        <v>1</v>
      </c>
    </row>
    <row r="246" spans="2:13" ht="18">
      <c r="B246" s="52"/>
      <c r="C246" s="52"/>
      <c r="D246" s="52"/>
      <c r="E246" s="52"/>
      <c r="F246" s="52"/>
      <c r="G246" s="52"/>
      <c r="H246" s="52"/>
      <c r="M246" s="21">
        <v>1</v>
      </c>
    </row>
    <row r="247" spans="2:13" ht="18">
      <c r="B247" s="52"/>
      <c r="C247" s="52"/>
      <c r="D247" s="52"/>
      <c r="E247" s="52"/>
      <c r="F247" s="52"/>
      <c r="G247" s="52"/>
      <c r="H247" s="52"/>
      <c r="M247" s="21">
        <v>1</v>
      </c>
    </row>
    <row r="248" spans="2:13" ht="18">
      <c r="B248" s="52"/>
      <c r="C248" s="52"/>
      <c r="D248" s="52"/>
      <c r="E248" s="52"/>
      <c r="F248" s="52"/>
      <c r="G248" s="52"/>
      <c r="H248" s="52"/>
      <c r="M248" s="21">
        <v>1</v>
      </c>
    </row>
    <row r="249" spans="2:13" ht="18">
      <c r="B249" s="52"/>
      <c r="C249" s="52"/>
      <c r="D249" s="52"/>
      <c r="E249" s="52"/>
      <c r="F249" s="52"/>
      <c r="G249" s="52"/>
      <c r="H249" s="52"/>
      <c r="M249" s="21">
        <v>1</v>
      </c>
    </row>
    <row r="250" spans="2:13" ht="18">
      <c r="B250" s="52"/>
      <c r="C250" s="52"/>
      <c r="D250" s="52"/>
      <c r="E250" s="52"/>
      <c r="F250" s="52"/>
      <c r="G250" s="52"/>
      <c r="H250" s="52"/>
      <c r="M250" s="21">
        <v>1</v>
      </c>
    </row>
    <row r="251" spans="2:13" ht="18">
      <c r="B251" s="52"/>
      <c r="C251" s="52"/>
      <c r="D251" s="52"/>
      <c r="E251" s="52"/>
      <c r="F251" s="52"/>
      <c r="G251" s="52"/>
      <c r="H251" s="52"/>
      <c r="M251" s="21">
        <v>1</v>
      </c>
    </row>
    <row r="252" spans="2:13" ht="18">
      <c r="B252" s="52"/>
      <c r="C252" s="52"/>
      <c r="D252" s="52"/>
      <c r="E252" s="52"/>
      <c r="F252" s="52"/>
      <c r="G252" s="52"/>
      <c r="H252" s="52"/>
      <c r="M252" s="21">
        <v>1</v>
      </c>
    </row>
    <row r="253" spans="2:13" ht="18">
      <c r="B253" s="52"/>
      <c r="C253" s="52"/>
      <c r="D253" s="52"/>
      <c r="E253" s="52"/>
      <c r="F253" s="52"/>
      <c r="G253" s="52"/>
      <c r="H253" s="52"/>
      <c r="M253" s="21">
        <v>1</v>
      </c>
    </row>
    <row r="254" spans="2:13" ht="18">
      <c r="B254" s="52"/>
      <c r="C254" s="52"/>
      <c r="D254" s="52"/>
      <c r="E254" s="52"/>
      <c r="F254" s="52"/>
      <c r="G254" s="52"/>
      <c r="H254" s="52"/>
      <c r="M254" s="21">
        <v>1</v>
      </c>
    </row>
    <row r="255" spans="2:13" ht="18">
      <c r="B255" s="52"/>
      <c r="C255" s="52"/>
      <c r="D255" s="52"/>
      <c r="E255" s="52"/>
      <c r="F255" s="52"/>
      <c r="G255" s="52"/>
      <c r="H255" s="52"/>
      <c r="M255" s="21">
        <v>1</v>
      </c>
    </row>
    <row r="256" spans="2:13" ht="18">
      <c r="B256" s="52"/>
      <c r="C256" s="52"/>
      <c r="D256" s="52"/>
      <c r="E256" s="52"/>
      <c r="F256" s="52"/>
      <c r="G256" s="52"/>
      <c r="H256" s="52"/>
      <c r="M256" s="21">
        <v>1</v>
      </c>
    </row>
    <row r="257" spans="2:13" ht="18">
      <c r="B257" s="52"/>
      <c r="C257" s="52"/>
      <c r="D257" s="52"/>
      <c r="E257" s="52"/>
      <c r="F257" s="52"/>
      <c r="G257" s="52"/>
      <c r="H257" s="52"/>
      <c r="M257" s="21">
        <v>1</v>
      </c>
    </row>
    <row r="258" spans="2:13" ht="18">
      <c r="B258" s="52"/>
      <c r="C258" s="52"/>
      <c r="D258" s="52"/>
      <c r="E258" s="52"/>
      <c r="F258" s="52"/>
      <c r="G258" s="52"/>
      <c r="H258" s="52"/>
      <c r="M258" s="21">
        <v>1</v>
      </c>
    </row>
    <row r="259" spans="2:13" ht="18">
      <c r="B259" s="52"/>
      <c r="C259" s="52"/>
      <c r="D259" s="52"/>
      <c r="E259" s="52"/>
      <c r="F259" s="52"/>
      <c r="G259" s="52"/>
      <c r="H259" s="52"/>
      <c r="M259" s="21">
        <v>1</v>
      </c>
    </row>
    <row r="260" spans="2:13" ht="18">
      <c r="B260" s="52"/>
      <c r="C260" s="52"/>
      <c r="D260" s="52"/>
      <c r="E260" s="52"/>
      <c r="F260" s="52"/>
      <c r="G260" s="52"/>
      <c r="H260" s="52"/>
      <c r="M260" s="21">
        <v>1</v>
      </c>
    </row>
    <row r="261" spans="2:13" ht="18">
      <c r="B261" s="52"/>
      <c r="C261" s="52"/>
      <c r="D261" s="52"/>
      <c r="E261" s="52"/>
      <c r="F261" s="52"/>
      <c r="G261" s="52"/>
      <c r="H261" s="52"/>
      <c r="M261" s="21">
        <v>1</v>
      </c>
    </row>
    <row r="262" spans="2:13" ht="18">
      <c r="B262" s="52"/>
      <c r="C262" s="52"/>
      <c r="D262" s="52"/>
      <c r="E262" s="52"/>
      <c r="F262" s="52"/>
      <c r="G262" s="52"/>
      <c r="H262" s="52"/>
      <c r="M262" s="21">
        <v>1</v>
      </c>
    </row>
    <row r="263" spans="2:13" ht="18">
      <c r="B263" s="52"/>
      <c r="C263" s="52"/>
      <c r="D263" s="52"/>
      <c r="E263" s="52"/>
      <c r="F263" s="52"/>
      <c r="G263" s="52"/>
      <c r="H263" s="52"/>
      <c r="M263" s="21">
        <v>1</v>
      </c>
    </row>
    <row r="264" spans="2:13" ht="18">
      <c r="B264" s="52"/>
      <c r="C264" s="52"/>
      <c r="D264" s="52"/>
      <c r="E264" s="52"/>
      <c r="F264" s="52"/>
      <c r="G264" s="52"/>
      <c r="H264" s="52"/>
      <c r="M264" s="21">
        <v>1</v>
      </c>
    </row>
    <row r="265" spans="2:13" ht="18">
      <c r="B265" s="52"/>
      <c r="C265" s="52"/>
      <c r="D265" s="52"/>
      <c r="E265" s="52"/>
      <c r="F265" s="52"/>
      <c r="G265" s="52"/>
      <c r="H265" s="52"/>
      <c r="M265" s="21">
        <v>1</v>
      </c>
    </row>
    <row r="266" spans="2:13" ht="18">
      <c r="B266" s="52"/>
      <c r="C266" s="52"/>
      <c r="D266" s="52"/>
      <c r="E266" s="52"/>
      <c r="F266" s="52"/>
      <c r="G266" s="52"/>
      <c r="H266" s="52"/>
      <c r="M266" s="21">
        <v>1</v>
      </c>
    </row>
    <row r="267" spans="2:13" ht="18">
      <c r="B267" s="52"/>
      <c r="C267" s="52"/>
      <c r="D267" s="52"/>
      <c r="E267" s="52"/>
      <c r="F267" s="52"/>
      <c r="G267" s="52"/>
      <c r="H267" s="52"/>
      <c r="M267" s="21">
        <v>1</v>
      </c>
    </row>
    <row r="268" spans="2:13" ht="18">
      <c r="B268" s="52"/>
      <c r="C268" s="52"/>
      <c r="D268" s="52"/>
      <c r="E268" s="52"/>
      <c r="F268" s="52"/>
      <c r="G268" s="52"/>
      <c r="H268" s="52"/>
      <c r="M268" s="21">
        <v>1</v>
      </c>
    </row>
    <row r="269" spans="2:13" ht="18">
      <c r="B269" s="52"/>
      <c r="C269" s="52"/>
      <c r="D269" s="52"/>
      <c r="E269" s="52"/>
      <c r="F269" s="52"/>
      <c r="G269" s="52"/>
      <c r="H269" s="52"/>
      <c r="M269" s="21">
        <v>1</v>
      </c>
    </row>
    <row r="270" spans="2:13" ht="18">
      <c r="B270" s="52"/>
      <c r="C270" s="52"/>
      <c r="D270" s="52"/>
      <c r="E270" s="52"/>
      <c r="F270" s="52"/>
      <c r="G270" s="52"/>
      <c r="H270" s="52"/>
      <c r="M270" s="21">
        <v>1</v>
      </c>
    </row>
    <row r="271" spans="2:13" ht="18">
      <c r="B271" s="52"/>
      <c r="C271" s="52"/>
      <c r="D271" s="52"/>
      <c r="E271" s="52"/>
      <c r="F271" s="52"/>
      <c r="G271" s="52"/>
      <c r="H271" s="52"/>
      <c r="M271" s="21">
        <v>1</v>
      </c>
    </row>
    <row r="272" spans="2:13" ht="18">
      <c r="B272" s="52"/>
      <c r="C272" s="52"/>
      <c r="D272" s="52"/>
      <c r="E272" s="52"/>
      <c r="F272" s="52"/>
      <c r="G272" s="52"/>
      <c r="H272" s="52"/>
      <c r="M272" s="21">
        <v>1</v>
      </c>
    </row>
    <row r="273" spans="2:13" ht="18">
      <c r="B273" s="52"/>
      <c r="C273" s="52"/>
      <c r="D273" s="52"/>
      <c r="E273" s="52"/>
      <c r="F273" s="52"/>
      <c r="G273" s="52"/>
      <c r="H273" s="52"/>
      <c r="M273" s="21">
        <v>1</v>
      </c>
    </row>
    <row r="274" spans="2:13" ht="18">
      <c r="B274" s="52"/>
      <c r="C274" s="52"/>
      <c r="D274" s="52"/>
      <c r="E274" s="52"/>
      <c r="F274" s="52"/>
      <c r="G274" s="52"/>
      <c r="H274" s="52"/>
      <c r="M274" s="21">
        <v>1</v>
      </c>
    </row>
    <row r="275" spans="2:13" ht="18">
      <c r="B275" s="52"/>
      <c r="C275" s="52"/>
      <c r="D275" s="52"/>
      <c r="E275" s="52"/>
      <c r="F275" s="52"/>
      <c r="G275" s="52"/>
      <c r="H275" s="52"/>
      <c r="M275" s="21">
        <v>1</v>
      </c>
    </row>
    <row r="276" spans="2:13" ht="18">
      <c r="B276" s="52"/>
      <c r="C276" s="52"/>
      <c r="D276" s="52"/>
      <c r="E276" s="52"/>
      <c r="F276" s="52"/>
      <c r="G276" s="52"/>
      <c r="H276" s="52"/>
      <c r="M276" s="21">
        <v>1</v>
      </c>
    </row>
    <row r="277" spans="2:13" ht="18">
      <c r="B277" s="52"/>
      <c r="C277" s="52"/>
      <c r="D277" s="52"/>
      <c r="E277" s="52"/>
      <c r="F277" s="52"/>
      <c r="G277" s="52"/>
      <c r="H277" s="52"/>
      <c r="M277" s="21">
        <v>1</v>
      </c>
    </row>
    <row r="278" spans="2:13" ht="18">
      <c r="B278" s="52"/>
      <c r="C278" s="52"/>
      <c r="D278" s="52"/>
      <c r="E278" s="52"/>
      <c r="F278" s="52"/>
      <c r="G278" s="52"/>
      <c r="H278" s="52"/>
      <c r="M278" s="21">
        <v>1</v>
      </c>
    </row>
    <row r="279" spans="2:13" ht="18">
      <c r="B279" s="52"/>
      <c r="C279" s="52"/>
      <c r="D279" s="52"/>
      <c r="E279" s="52"/>
      <c r="F279" s="52"/>
      <c r="G279" s="52"/>
      <c r="H279" s="52"/>
      <c r="M279" s="21">
        <v>1</v>
      </c>
    </row>
    <row r="280" spans="2:13" ht="18">
      <c r="B280" s="52"/>
      <c r="C280" s="52"/>
      <c r="D280" s="52"/>
      <c r="E280" s="52"/>
      <c r="F280" s="52"/>
      <c r="G280" s="52"/>
      <c r="H280" s="52"/>
      <c r="M280" s="21">
        <v>1</v>
      </c>
    </row>
    <row r="281" spans="2:13" ht="18">
      <c r="B281" s="52"/>
      <c r="C281" s="52"/>
      <c r="D281" s="52"/>
      <c r="E281" s="52"/>
      <c r="F281" s="52"/>
      <c r="G281" s="52"/>
      <c r="H281" s="52"/>
      <c r="M281" s="21">
        <v>1</v>
      </c>
    </row>
    <row r="282" spans="2:13" ht="18">
      <c r="B282" s="52"/>
      <c r="C282" s="52"/>
      <c r="D282" s="52"/>
      <c r="E282" s="52"/>
      <c r="F282" s="52"/>
      <c r="G282" s="52"/>
      <c r="H282" s="52"/>
      <c r="M282" s="21">
        <v>1</v>
      </c>
    </row>
    <row r="283" spans="2:13" ht="18">
      <c r="B283" s="52"/>
      <c r="C283" s="52"/>
      <c r="D283" s="52"/>
      <c r="E283" s="52"/>
      <c r="F283" s="52"/>
      <c r="G283" s="52"/>
      <c r="H283" s="52"/>
      <c r="M283" s="21">
        <v>1</v>
      </c>
    </row>
    <row r="284" spans="2:13" ht="18">
      <c r="B284" s="52"/>
      <c r="C284" s="52"/>
      <c r="D284" s="52"/>
      <c r="E284" s="52"/>
      <c r="F284" s="52"/>
      <c r="G284" s="52"/>
      <c r="H284" s="52"/>
      <c r="M284" s="21">
        <v>1</v>
      </c>
    </row>
    <row r="285" spans="2:13" ht="18">
      <c r="B285" s="52"/>
      <c r="C285" s="52"/>
      <c r="D285" s="52"/>
      <c r="E285" s="52"/>
      <c r="F285" s="52"/>
      <c r="G285" s="52"/>
      <c r="H285" s="52"/>
      <c r="M285" s="21">
        <v>1</v>
      </c>
    </row>
    <row r="286" spans="2:13" ht="18">
      <c r="B286" s="52"/>
      <c r="C286" s="52"/>
      <c r="D286" s="52"/>
      <c r="E286" s="52"/>
      <c r="F286" s="52"/>
      <c r="G286" s="52"/>
      <c r="H286" s="52"/>
      <c r="M286" s="21">
        <v>1</v>
      </c>
    </row>
    <row r="287" spans="2:13" ht="18">
      <c r="B287" s="52"/>
      <c r="C287" s="52"/>
      <c r="D287" s="52"/>
      <c r="E287" s="52"/>
      <c r="F287" s="52"/>
      <c r="G287" s="52"/>
      <c r="H287" s="52"/>
      <c r="M287" s="21">
        <v>1</v>
      </c>
    </row>
    <row r="288" spans="2:13" ht="18">
      <c r="B288" s="52"/>
      <c r="C288" s="52"/>
      <c r="D288" s="52"/>
      <c r="E288" s="52"/>
      <c r="F288" s="52"/>
      <c r="G288" s="52"/>
      <c r="H288" s="52"/>
      <c r="M288" s="21">
        <v>1</v>
      </c>
    </row>
    <row r="289" spans="2:13" ht="18">
      <c r="B289" s="52"/>
      <c r="C289" s="52"/>
      <c r="D289" s="52"/>
      <c r="E289" s="52"/>
      <c r="F289" s="52"/>
      <c r="G289" s="52"/>
      <c r="H289" s="52"/>
      <c r="M289" s="21">
        <v>1</v>
      </c>
    </row>
    <row r="290" spans="2:13" ht="18">
      <c r="B290" s="52"/>
      <c r="C290" s="52"/>
      <c r="D290" s="52"/>
      <c r="E290" s="52"/>
      <c r="F290" s="52"/>
      <c r="G290" s="52"/>
      <c r="H290" s="52"/>
      <c r="M290" s="21">
        <v>1</v>
      </c>
    </row>
    <row r="291" spans="2:13" ht="18">
      <c r="B291" s="52"/>
      <c r="C291" s="52"/>
      <c r="D291" s="52"/>
      <c r="E291" s="52"/>
      <c r="F291" s="52"/>
      <c r="G291" s="52"/>
      <c r="H291" s="52"/>
      <c r="M291" s="21">
        <v>1</v>
      </c>
    </row>
    <row r="292" spans="2:13" ht="18">
      <c r="B292" s="52"/>
      <c r="C292" s="52"/>
      <c r="D292" s="52"/>
      <c r="E292" s="52"/>
      <c r="F292" s="52"/>
      <c r="G292" s="52"/>
      <c r="H292" s="52"/>
      <c r="M292" s="21">
        <v>1</v>
      </c>
    </row>
    <row r="293" spans="2:13" ht="18">
      <c r="B293" s="52"/>
      <c r="C293" s="52"/>
      <c r="D293" s="52"/>
      <c r="E293" s="52"/>
      <c r="F293" s="52"/>
      <c r="G293" s="52"/>
      <c r="H293" s="52"/>
      <c r="M293" s="21">
        <v>1</v>
      </c>
    </row>
    <row r="294" spans="2:13" ht="18">
      <c r="B294" s="52"/>
      <c r="C294" s="52"/>
      <c r="D294" s="52"/>
      <c r="E294" s="52"/>
      <c r="F294" s="52"/>
      <c r="G294" s="52"/>
      <c r="H294" s="52"/>
      <c r="M294" s="21">
        <v>1</v>
      </c>
    </row>
    <row r="295" spans="2:13" ht="18">
      <c r="B295" s="52"/>
      <c r="C295" s="52"/>
      <c r="D295" s="52"/>
      <c r="E295" s="52"/>
      <c r="F295" s="52"/>
      <c r="G295" s="52"/>
      <c r="H295" s="52"/>
      <c r="M295" s="21">
        <v>1</v>
      </c>
    </row>
    <row r="296" spans="2:13" ht="18">
      <c r="B296" s="52"/>
      <c r="C296" s="52"/>
      <c r="D296" s="52"/>
      <c r="E296" s="52"/>
      <c r="F296" s="52"/>
      <c r="G296" s="52"/>
      <c r="H296" s="52"/>
      <c r="M296" s="21">
        <v>1</v>
      </c>
    </row>
    <row r="297" spans="2:13" ht="18">
      <c r="B297" s="52"/>
      <c r="C297" s="52"/>
      <c r="D297" s="52"/>
      <c r="E297" s="52"/>
      <c r="F297" s="52"/>
      <c r="G297" s="52"/>
      <c r="H297" s="52"/>
      <c r="M297" s="21">
        <v>1</v>
      </c>
    </row>
    <row r="298" spans="2:13" ht="18">
      <c r="B298" s="52"/>
      <c r="C298" s="52"/>
      <c r="D298" s="52"/>
      <c r="E298" s="52"/>
      <c r="F298" s="52"/>
      <c r="G298" s="52"/>
      <c r="H298" s="52"/>
      <c r="M298" s="21">
        <v>1</v>
      </c>
    </row>
    <row r="299" spans="2:13" ht="18">
      <c r="B299" s="52"/>
      <c r="C299" s="52"/>
      <c r="D299" s="52"/>
      <c r="E299" s="52"/>
      <c r="F299" s="52"/>
      <c r="G299" s="52"/>
      <c r="H299" s="52"/>
      <c r="M299" s="21">
        <v>1</v>
      </c>
    </row>
    <row r="300" spans="2:13" ht="18">
      <c r="B300" s="52"/>
      <c r="C300" s="52"/>
      <c r="D300" s="52"/>
      <c r="E300" s="52"/>
      <c r="F300" s="52"/>
      <c r="G300" s="52"/>
      <c r="H300" s="52"/>
      <c r="M300" s="21">
        <v>1</v>
      </c>
    </row>
    <row r="301" spans="2:13" ht="18">
      <c r="B301" s="52"/>
      <c r="C301" s="52"/>
      <c r="D301" s="52"/>
      <c r="E301" s="52"/>
      <c r="F301" s="52"/>
      <c r="G301" s="52"/>
      <c r="H301" s="52"/>
      <c r="M301" s="21">
        <v>1</v>
      </c>
    </row>
    <row r="302" spans="2:13" ht="18">
      <c r="B302" s="52"/>
      <c r="C302" s="52"/>
      <c r="D302" s="52"/>
      <c r="E302" s="52"/>
      <c r="F302" s="52"/>
      <c r="G302" s="52"/>
      <c r="H302" s="52"/>
      <c r="M302" s="21">
        <v>1</v>
      </c>
    </row>
    <row r="303" spans="2:13" ht="18">
      <c r="B303" s="52"/>
      <c r="C303" s="52"/>
      <c r="D303" s="52"/>
      <c r="E303" s="52"/>
      <c r="F303" s="52"/>
      <c r="G303" s="52"/>
      <c r="H303" s="52"/>
      <c r="M303" s="21">
        <v>1</v>
      </c>
    </row>
    <row r="304" spans="2:13" ht="18">
      <c r="B304" s="52"/>
      <c r="C304" s="52"/>
      <c r="D304" s="52"/>
      <c r="E304" s="52"/>
      <c r="F304" s="52"/>
      <c r="G304" s="52"/>
      <c r="H304" s="52"/>
      <c r="M304" s="21">
        <v>1</v>
      </c>
    </row>
    <row r="305" spans="2:13" ht="18">
      <c r="B305" s="52"/>
      <c r="C305" s="52"/>
      <c r="D305" s="52"/>
      <c r="E305" s="52"/>
      <c r="F305" s="52"/>
      <c r="G305" s="52"/>
      <c r="H305" s="52"/>
      <c r="M305" s="21">
        <v>1</v>
      </c>
    </row>
    <row r="306" spans="2:13" ht="18">
      <c r="B306" s="52"/>
      <c r="C306" s="52"/>
      <c r="D306" s="52"/>
      <c r="E306" s="52"/>
      <c r="F306" s="52"/>
      <c r="G306" s="52"/>
      <c r="H306" s="52"/>
      <c r="M306" s="21">
        <v>1</v>
      </c>
    </row>
    <row r="307" spans="2:13" ht="18">
      <c r="B307" s="52"/>
      <c r="C307" s="52"/>
      <c r="D307" s="52"/>
      <c r="E307" s="52"/>
      <c r="F307" s="52"/>
      <c r="G307" s="52"/>
      <c r="H307" s="52"/>
      <c r="M307" s="21">
        <v>1</v>
      </c>
    </row>
    <row r="308" spans="2:13" ht="18">
      <c r="B308" s="52"/>
      <c r="C308" s="52"/>
      <c r="D308" s="52"/>
      <c r="E308" s="52"/>
      <c r="F308" s="52"/>
      <c r="G308" s="52"/>
      <c r="H308" s="52"/>
      <c r="M308" s="21">
        <v>1</v>
      </c>
    </row>
    <row r="309" spans="2:13" ht="18">
      <c r="B309" s="52"/>
      <c r="C309" s="52"/>
      <c r="D309" s="52"/>
      <c r="E309" s="52"/>
      <c r="F309" s="52"/>
      <c r="G309" s="52"/>
      <c r="H309" s="52"/>
      <c r="M309" s="21">
        <v>1</v>
      </c>
    </row>
    <row r="310" spans="2:13" ht="18">
      <c r="B310" s="52"/>
      <c r="C310" s="52"/>
      <c r="D310" s="52"/>
      <c r="E310" s="52"/>
      <c r="F310" s="52"/>
      <c r="G310" s="52"/>
      <c r="H310" s="52"/>
      <c r="M310" s="21">
        <v>1</v>
      </c>
    </row>
    <row r="311" spans="2:13" ht="18">
      <c r="B311" s="52"/>
      <c r="C311" s="52"/>
      <c r="D311" s="52"/>
      <c r="E311" s="52"/>
      <c r="F311" s="52"/>
      <c r="G311" s="52"/>
      <c r="H311" s="52"/>
      <c r="M311" s="21">
        <v>1</v>
      </c>
    </row>
    <row r="312" spans="2:13" ht="18">
      <c r="B312" s="52"/>
      <c r="C312" s="52"/>
      <c r="D312" s="52"/>
      <c r="E312" s="52"/>
      <c r="F312" s="52"/>
      <c r="G312" s="52"/>
      <c r="H312" s="52"/>
      <c r="M312" s="21">
        <v>1</v>
      </c>
    </row>
    <row r="313" spans="2:13" ht="18">
      <c r="B313" s="52"/>
      <c r="C313" s="52"/>
      <c r="D313" s="52"/>
      <c r="E313" s="52"/>
      <c r="F313" s="52"/>
      <c r="G313" s="52"/>
      <c r="H313" s="52"/>
      <c r="M313" s="21">
        <v>1</v>
      </c>
    </row>
    <row r="314" spans="2:13" ht="18">
      <c r="B314" s="52"/>
      <c r="C314" s="52"/>
      <c r="D314" s="52"/>
      <c r="E314" s="52"/>
      <c r="F314" s="52"/>
      <c r="G314" s="52"/>
      <c r="H314" s="52"/>
      <c r="M314" s="21">
        <v>1</v>
      </c>
    </row>
    <row r="315" spans="2:13" ht="18">
      <c r="B315" s="52"/>
      <c r="C315" s="52"/>
      <c r="D315" s="52"/>
      <c r="E315" s="52"/>
      <c r="F315" s="52"/>
      <c r="G315" s="52"/>
      <c r="H315" s="52"/>
      <c r="M315" s="21">
        <v>1</v>
      </c>
    </row>
    <row r="316" spans="2:13" ht="18">
      <c r="B316" s="52"/>
      <c r="C316" s="52"/>
      <c r="D316" s="52"/>
      <c r="E316" s="52"/>
      <c r="F316" s="52"/>
      <c r="G316" s="52"/>
      <c r="H316" s="52"/>
      <c r="M316" s="21">
        <v>1</v>
      </c>
    </row>
    <row r="317" spans="2:13" ht="18">
      <c r="B317" s="52"/>
      <c r="C317" s="52"/>
      <c r="D317" s="52"/>
      <c r="E317" s="52"/>
      <c r="F317" s="52"/>
      <c r="G317" s="52"/>
      <c r="H317" s="52"/>
      <c r="M317" s="21">
        <v>1</v>
      </c>
    </row>
    <row r="318" spans="2:13" ht="18">
      <c r="B318" s="52"/>
      <c r="C318" s="52"/>
      <c r="D318" s="52"/>
      <c r="E318" s="52"/>
      <c r="F318" s="52"/>
      <c r="G318" s="52"/>
      <c r="H318" s="52"/>
      <c r="M318" s="21">
        <v>1</v>
      </c>
    </row>
    <row r="319" spans="2:13" ht="18">
      <c r="B319" s="52"/>
      <c r="C319" s="52"/>
      <c r="D319" s="52"/>
      <c r="E319" s="52"/>
      <c r="F319" s="52"/>
      <c r="G319" s="52"/>
      <c r="H319" s="52"/>
      <c r="M319" s="21">
        <v>1</v>
      </c>
    </row>
    <row r="320" spans="2:13" ht="18">
      <c r="B320" s="52"/>
      <c r="C320" s="52"/>
      <c r="D320" s="52"/>
      <c r="E320" s="52"/>
      <c r="F320" s="52"/>
      <c r="G320" s="52"/>
      <c r="H320" s="52"/>
      <c r="M320" s="21">
        <v>1</v>
      </c>
    </row>
    <row r="321" spans="2:13" ht="18">
      <c r="B321" s="52"/>
      <c r="C321" s="52"/>
      <c r="D321" s="52"/>
      <c r="E321" s="52"/>
      <c r="F321" s="52"/>
      <c r="G321" s="52"/>
      <c r="H321" s="52"/>
      <c r="M321" s="21">
        <v>1</v>
      </c>
    </row>
    <row r="322" spans="2:13" ht="18">
      <c r="B322" s="52"/>
      <c r="C322" s="52"/>
      <c r="D322" s="52"/>
      <c r="E322" s="52"/>
      <c r="F322" s="52"/>
      <c r="G322" s="52"/>
      <c r="H322" s="52"/>
      <c r="M322" s="21">
        <v>1</v>
      </c>
    </row>
    <row r="323" spans="2:13" ht="18">
      <c r="B323" s="52"/>
      <c r="C323" s="52"/>
      <c r="D323" s="52"/>
      <c r="E323" s="52"/>
      <c r="F323" s="52"/>
      <c r="G323" s="52"/>
      <c r="H323" s="52"/>
      <c r="M323" s="21">
        <v>1</v>
      </c>
    </row>
    <row r="324" spans="2:13" ht="18">
      <c r="B324" s="52"/>
      <c r="C324" s="52"/>
      <c r="D324" s="52"/>
      <c r="E324" s="52"/>
      <c r="F324" s="52"/>
      <c r="G324" s="52"/>
      <c r="H324" s="52"/>
      <c r="M324" s="21">
        <v>1</v>
      </c>
    </row>
    <row r="325" spans="2:13" ht="18">
      <c r="B325" s="52"/>
      <c r="C325" s="52"/>
      <c r="D325" s="52"/>
      <c r="E325" s="52"/>
      <c r="F325" s="52"/>
      <c r="G325" s="52"/>
      <c r="H325" s="52"/>
      <c r="M325" s="21">
        <v>1</v>
      </c>
    </row>
    <row r="326" spans="2:13" ht="18">
      <c r="B326" s="52"/>
      <c r="C326" s="52"/>
      <c r="D326" s="52"/>
      <c r="E326" s="52"/>
      <c r="F326" s="52"/>
      <c r="G326" s="52"/>
      <c r="H326" s="52"/>
      <c r="M326" s="21">
        <v>1</v>
      </c>
    </row>
    <row r="327" spans="2:13" ht="18">
      <c r="B327" s="52"/>
      <c r="C327" s="52"/>
      <c r="D327" s="52"/>
      <c r="E327" s="52"/>
      <c r="F327" s="52"/>
      <c r="G327" s="52"/>
      <c r="H327" s="52"/>
      <c r="M327" s="21">
        <v>1</v>
      </c>
    </row>
    <row r="328" spans="2:13" ht="18">
      <c r="B328" s="52"/>
      <c r="C328" s="52"/>
      <c r="D328" s="52"/>
      <c r="E328" s="52"/>
      <c r="F328" s="52"/>
      <c r="G328" s="52"/>
      <c r="H328" s="52"/>
      <c r="M328" s="21">
        <v>1</v>
      </c>
    </row>
    <row r="329" spans="2:13" ht="18">
      <c r="B329" s="52"/>
      <c r="C329" s="52"/>
      <c r="D329" s="52"/>
      <c r="E329" s="52"/>
      <c r="F329" s="52"/>
      <c r="G329" s="52"/>
      <c r="H329" s="52"/>
      <c r="M329" s="21">
        <v>1</v>
      </c>
    </row>
    <row r="330" spans="2:13" ht="18">
      <c r="B330" s="52"/>
      <c r="C330" s="52"/>
      <c r="D330" s="52"/>
      <c r="E330" s="52"/>
      <c r="F330" s="52"/>
      <c r="G330" s="52"/>
      <c r="H330" s="52"/>
      <c r="M330" s="21">
        <v>1</v>
      </c>
    </row>
    <row r="331" spans="2:13" ht="18">
      <c r="B331" s="52"/>
      <c r="C331" s="52"/>
      <c r="D331" s="52"/>
      <c r="E331" s="52"/>
      <c r="F331" s="52"/>
      <c r="G331" s="52"/>
      <c r="H331" s="52"/>
      <c r="M331" s="21">
        <v>1</v>
      </c>
    </row>
    <row r="332" spans="2:13" ht="18">
      <c r="B332" s="52"/>
      <c r="C332" s="52"/>
      <c r="D332" s="52"/>
      <c r="E332" s="52"/>
      <c r="F332" s="52"/>
      <c r="G332" s="52"/>
      <c r="H332" s="52"/>
      <c r="M332" s="21">
        <v>1</v>
      </c>
    </row>
    <row r="333" spans="2:13" ht="18">
      <c r="B333" s="52"/>
      <c r="C333" s="52"/>
      <c r="D333" s="52"/>
      <c r="E333" s="52"/>
      <c r="F333" s="52"/>
      <c r="G333" s="52"/>
      <c r="H333" s="52"/>
      <c r="M333" s="21">
        <v>1</v>
      </c>
    </row>
    <row r="334" spans="2:13" ht="18">
      <c r="B334" s="52"/>
      <c r="C334" s="52"/>
      <c r="D334" s="52"/>
      <c r="E334" s="52"/>
      <c r="F334" s="52"/>
      <c r="G334" s="52"/>
      <c r="H334" s="52"/>
      <c r="M334" s="21">
        <v>1</v>
      </c>
    </row>
    <row r="335" spans="2:13" ht="18">
      <c r="B335" s="52"/>
      <c r="C335" s="52"/>
      <c r="D335" s="52"/>
      <c r="E335" s="52"/>
      <c r="F335" s="52"/>
      <c r="G335" s="52"/>
      <c r="H335" s="52"/>
      <c r="M335" s="21">
        <v>1</v>
      </c>
    </row>
    <row r="336" spans="2:13" ht="18">
      <c r="B336" s="52"/>
      <c r="C336" s="52"/>
      <c r="D336" s="52"/>
      <c r="E336" s="52"/>
      <c r="F336" s="52"/>
      <c r="G336" s="52"/>
      <c r="H336" s="52"/>
      <c r="M336" s="21">
        <v>1</v>
      </c>
    </row>
    <row r="337" spans="2:13" ht="18">
      <c r="B337" s="52"/>
      <c r="C337" s="52"/>
      <c r="D337" s="52"/>
      <c r="E337" s="52"/>
      <c r="F337" s="52"/>
      <c r="G337" s="52"/>
      <c r="H337" s="52"/>
      <c r="M337" s="21">
        <v>1</v>
      </c>
    </row>
    <row r="338" spans="2:13" ht="18">
      <c r="B338" s="52"/>
      <c r="C338" s="52"/>
      <c r="D338" s="52"/>
      <c r="E338" s="52"/>
      <c r="F338" s="52"/>
      <c r="G338" s="52"/>
      <c r="H338" s="52"/>
      <c r="M338" s="21">
        <v>1</v>
      </c>
    </row>
    <row r="339" spans="2:13" ht="18">
      <c r="B339" s="52"/>
      <c r="C339" s="52"/>
      <c r="D339" s="52"/>
      <c r="E339" s="52"/>
      <c r="F339" s="52"/>
      <c r="G339" s="52"/>
      <c r="H339" s="52"/>
      <c r="M339" s="21">
        <v>1</v>
      </c>
    </row>
    <row r="340" spans="2:13" ht="18">
      <c r="B340" s="52"/>
      <c r="C340" s="52"/>
      <c r="D340" s="52"/>
      <c r="E340" s="52"/>
      <c r="F340" s="52"/>
      <c r="G340" s="52"/>
      <c r="H340" s="52"/>
      <c r="M340" s="21">
        <v>1</v>
      </c>
    </row>
    <row r="341" spans="2:13" ht="18">
      <c r="B341" s="52"/>
      <c r="C341" s="52"/>
      <c r="D341" s="52"/>
      <c r="E341" s="52"/>
      <c r="F341" s="52"/>
      <c r="G341" s="52"/>
      <c r="H341" s="52"/>
      <c r="M341" s="21">
        <v>1</v>
      </c>
    </row>
    <row r="342" spans="2:13" ht="18">
      <c r="B342" s="52"/>
      <c r="C342" s="52"/>
      <c r="D342" s="52"/>
      <c r="E342" s="52"/>
      <c r="F342" s="52"/>
      <c r="G342" s="52"/>
      <c r="H342" s="52"/>
      <c r="M342" s="21">
        <v>1</v>
      </c>
    </row>
    <row r="343" spans="2:13" ht="18">
      <c r="B343" s="52"/>
      <c r="C343" s="52"/>
      <c r="D343" s="52"/>
      <c r="E343" s="52"/>
      <c r="F343" s="52"/>
      <c r="G343" s="52"/>
      <c r="H343" s="52"/>
      <c r="M343" s="21">
        <v>1</v>
      </c>
    </row>
    <row r="344" spans="2:13" ht="18">
      <c r="B344" s="52"/>
      <c r="C344" s="52"/>
      <c r="D344" s="52"/>
      <c r="E344" s="52"/>
      <c r="F344" s="52"/>
      <c r="G344" s="52"/>
      <c r="H344" s="52"/>
      <c r="M344" s="21">
        <v>1</v>
      </c>
    </row>
    <row r="345" spans="2:13" ht="18">
      <c r="B345" s="52"/>
      <c r="C345" s="52"/>
      <c r="D345" s="52"/>
      <c r="E345" s="52"/>
      <c r="F345" s="52"/>
      <c r="G345" s="52"/>
      <c r="H345" s="52"/>
      <c r="M345" s="21">
        <v>1</v>
      </c>
    </row>
    <row r="346" spans="2:13" ht="18">
      <c r="B346" s="52"/>
      <c r="C346" s="52"/>
      <c r="D346" s="52"/>
      <c r="E346" s="52"/>
      <c r="F346" s="52"/>
      <c r="G346" s="52"/>
      <c r="H346" s="52"/>
      <c r="M346" s="21">
        <v>1</v>
      </c>
    </row>
    <row r="347" spans="2:13" ht="18">
      <c r="B347" s="52"/>
      <c r="C347" s="52"/>
      <c r="D347" s="52"/>
      <c r="E347" s="52"/>
      <c r="F347" s="52"/>
      <c r="G347" s="52"/>
      <c r="H347" s="52"/>
      <c r="M347" s="21">
        <v>1</v>
      </c>
    </row>
    <row r="348" spans="2:13" ht="18">
      <c r="B348" s="52"/>
      <c r="C348" s="52"/>
      <c r="D348" s="52"/>
      <c r="E348" s="52"/>
      <c r="F348" s="52"/>
      <c r="G348" s="52"/>
      <c r="H348" s="52"/>
      <c r="M348" s="21">
        <v>1</v>
      </c>
    </row>
    <row r="349" spans="2:13" ht="27.75" thickBot="1">
      <c r="B349" s="27" t="s">
        <v>3</v>
      </c>
      <c r="C349" s="27" t="s">
        <v>3</v>
      </c>
      <c r="D349" s="27" t="s">
        <v>3</v>
      </c>
      <c r="E349" s="28" t="s">
        <v>3</v>
      </c>
      <c r="F349" s="28" t="s">
        <v>3</v>
      </c>
      <c r="G349" s="28" t="s">
        <v>3</v>
      </c>
      <c r="H349" s="28" t="s">
        <v>3</v>
      </c>
      <c r="M349" s="21" t="s">
        <v>3</v>
      </c>
    </row>
    <row r="350" spans="2:13" ht="13.5" thickTop="1"/>
  </sheetData>
  <sheetProtection sheet="1" objects="1" scenarios="1" selectLockedCells="1"/>
  <customSheetViews>
    <customSheetView guid="{2EA3A6B8-61D5-4EF1-87B1-B14945A241CD}" showGridLines="0" showRowCol="0">
      <pane ySplit="8" topLeftCell="A175" activePane="bottomLeft" state="frozen"/>
      <selection pane="bottomLeft" activeCell="I3" sqref="I3"/>
      <pageMargins left="0.7" right="0.7" top="0.75" bottom="0.75" header="0.3" footer="0.3"/>
      <pageSetup paperSize="9" orientation="portrait" r:id="rId1"/>
    </customSheetView>
    <customSheetView guid="{242CE75B-5318-4B80-8985-D15BFA50C3F5}" showGridLines="0" showRowCol="0">
      <pane ySplit="7" topLeftCell="A9" activePane="bottomLeft" state="frozen"/>
      <selection pane="bottomLeft" activeCell="I2" sqref="I2"/>
      <pageMargins left="0.7" right="0.7" top="0.75" bottom="0.75" header="0.3" footer="0.3"/>
      <pageSetup paperSize="9" orientation="portrait" r:id="rId2"/>
    </customSheetView>
    <customSheetView guid="{CA30A091-FDE4-4C31-B428-76E484062E02}" showGridLines="0" showRowCol="0">
      <pane ySplit="8" topLeftCell="A9" activePane="bottomLeft" state="frozen"/>
      <selection pane="bottomLeft" activeCell="I3" sqref="I3"/>
      <pageMargins left="0.7" right="0.7" top="0.75" bottom="0.75" header="0.3" footer="0.3"/>
      <pageSetup paperSize="9" orientation="portrait" r:id="rId3"/>
    </customSheetView>
  </customSheetViews>
  <mergeCells count="5">
    <mergeCell ref="N9:O9"/>
    <mergeCell ref="P8:R8"/>
    <mergeCell ref="S8:U8"/>
    <mergeCell ref="V8:X8"/>
    <mergeCell ref="Y8:AA8"/>
  </mergeCells>
  <dataValidations count="4">
    <dataValidation type="list" allowBlank="1" showDropDown="1" showInputMessage="1" showErrorMessage="1" sqref="D9:D348">
      <formula1>$O$10:$O$29</formula1>
    </dataValidation>
    <dataValidation type="list" allowBlank="1" showDropDown="1" showInputMessage="1" showErrorMessage="1" sqref="C9:C348">
      <formula1>$O$32:$O$48</formula1>
    </dataValidation>
    <dataValidation type="list" allowBlank="1" showDropDown="1" showInputMessage="1" showErrorMessage="1" sqref="B9:B348">
      <formula1>$C$6</formula1>
    </dataValidation>
    <dataValidation allowBlank="1" showInputMessage="1" showErrorMessage="1" errorTitle="Dato no valido" error="El valor esta fuera de rango [0,30] o No es un numero" sqref="E9:H348"/>
  </dataValidations>
  <hyperlinks>
    <hyperlink ref="I2" location="PPrincipal!A1" display="* Pagina Principal"/>
    <hyperlink ref="I3" location="Mérida!A1" display="Mérida"/>
    <hyperlink ref="I4" location="Táchira!A1" display="Táchira"/>
    <hyperlink ref="I5" location="Trujillo!A1" display="Trujillo"/>
  </hyperlinks>
  <pageMargins left="0.7" right="0.7" top="0.75" bottom="0.75" header="0.3" footer="0.3"/>
  <pageSetup paperSize="9" orientation="portrait" r:id="rId4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4" sqref="J4"/>
    </sheetView>
  </sheetViews>
  <sheetFormatPr baseColWidth="10" defaultColWidth="15.7109375" defaultRowHeight="22.5" customHeight="1"/>
  <cols>
    <col min="1" max="16384" width="15.7109375" style="53"/>
  </cols>
  <sheetData>
    <row r="1" spans="1:11" ht="15" customHeight="1">
      <c r="J1" s="77"/>
    </row>
    <row r="2" spans="1:11" ht="15" customHeight="1">
      <c r="J2" s="79" t="s">
        <v>7</v>
      </c>
      <c r="K2" s="108"/>
    </row>
    <row r="3" spans="1:11" ht="15" customHeight="1">
      <c r="J3" s="79" t="s">
        <v>81</v>
      </c>
      <c r="K3" s="108"/>
    </row>
    <row r="4" spans="1:11" ht="15" customHeight="1">
      <c r="J4" s="79" t="s">
        <v>82</v>
      </c>
      <c r="K4" s="108"/>
    </row>
    <row r="5" spans="1:11" ht="15" customHeight="1">
      <c r="G5" s="56"/>
      <c r="J5" s="79" t="s">
        <v>83</v>
      </c>
      <c r="K5" s="108"/>
    </row>
    <row r="6" spans="1:11" ht="15" customHeight="1">
      <c r="A6" s="169" t="s">
        <v>31</v>
      </c>
      <c r="B6" s="169"/>
      <c r="C6" s="169"/>
      <c r="D6" s="169"/>
      <c r="E6" s="169"/>
      <c r="F6" s="169"/>
    </row>
    <row r="25" spans="2:7" ht="22.5" customHeight="1">
      <c r="B25" s="169"/>
      <c r="C25" s="169"/>
      <c r="D25" s="169"/>
      <c r="E25" s="169"/>
      <c r="F25" s="169"/>
      <c r="G25" s="169"/>
    </row>
    <row r="44" spans="7:7" ht="22.5" customHeight="1">
      <c r="G44" s="56"/>
    </row>
  </sheetData>
  <customSheetViews>
    <customSheetView guid="{2EA3A6B8-61D5-4EF1-87B1-B14945A241CD}" showGridLines="0" showRowCol="0">
      <selection activeCell="J4" sqref="J4"/>
      <pageMargins left="0.7" right="0.7" top="0.75" bottom="0.75" header="0.3" footer="0.3"/>
    </customSheetView>
    <customSheetView guid="{242CE75B-5318-4B80-8985-D15BFA50C3F5}" scale="60" showPageBreaks="1" showGridLines="0" showRowCol="0" printArea="1" view="pageBreakPreview">
      <selection activeCell="J3" sqref="J3"/>
      <colBreaks count="1" manualBreakCount="1">
        <brk id="11" max="1048575" man="1"/>
      </colBreaks>
      <pageMargins left="0.70866141732283472" right="0.70866141732283472" top="0.74803149606299213" bottom="0.74803149606299213" header="0.31496062992125984" footer="0.31496062992125984"/>
      <pageSetup scale="53" orientation="landscape" verticalDpi="0" r:id="rId1"/>
    </customSheetView>
    <customSheetView guid="{CA30A091-FDE4-4C31-B428-76E484062E02}" showGridLines="0" showRowCol="0">
      <selection activeCell="J4" sqref="J4"/>
      <pageMargins left="0.7" right="0.7" top="0.75" bottom="0.75" header="0.3" footer="0.3"/>
    </customSheetView>
  </customSheetViews>
  <mergeCells count="2">
    <mergeCell ref="A6:F6"/>
    <mergeCell ref="B25:G25"/>
  </mergeCells>
  <hyperlinks>
    <hyperlink ref="J2" location="PPrincipal!A1" display="* Pagina Principal"/>
    <hyperlink ref="J3" location="GMérida!A1" display="Mérida"/>
    <hyperlink ref="J4" location="GTáchira!A1" display="Táchira"/>
    <hyperlink ref="J5" location="GTrujillo!A1" display="Trujillo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J33"/>
  <sheetViews>
    <sheetView showGridLines="0" showRowColHeaders="0" workbookViewId="0">
      <selection activeCell="Y2" sqref="Y2"/>
    </sheetView>
  </sheetViews>
  <sheetFormatPr baseColWidth="10" defaultRowHeight="15" customHeight="1"/>
  <cols>
    <col min="1" max="1" width="0.85546875" style="67" customWidth="1"/>
    <col min="2" max="2" width="7.7109375" style="67" customWidth="1"/>
    <col min="3" max="13" width="5.5703125" style="67" customWidth="1"/>
    <col min="14" max="14" width="5.5703125" style="68" customWidth="1"/>
    <col min="15" max="22" width="5.5703125" style="67" customWidth="1"/>
    <col min="23" max="23" width="1" style="67" customWidth="1"/>
    <col min="24" max="24" width="13.7109375" style="67" customWidth="1"/>
    <col min="25" max="25" width="11.28515625" style="67" customWidth="1"/>
    <col min="26" max="26" width="13.140625" style="67" customWidth="1"/>
    <col min="27" max="27" width="11" style="67" customWidth="1"/>
    <col min="28" max="28" width="6.5703125" style="67" customWidth="1"/>
    <col min="29" max="44" width="5" style="67" customWidth="1"/>
    <col min="45" max="45" width="3.140625" style="67" customWidth="1"/>
    <col min="46" max="48" width="11.28515625" style="67" customWidth="1"/>
    <col min="49" max="16384" width="11.42578125" style="67"/>
  </cols>
  <sheetData>
    <row r="1" spans="1:36" ht="31.5" customHeight="1">
      <c r="B1" s="170" t="s">
        <v>32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</row>
    <row r="2" spans="1:36" ht="15" customHeight="1">
      <c r="X2" s="84"/>
      <c r="Y2" s="79" t="s">
        <v>7</v>
      </c>
      <c r="Z2" s="84"/>
      <c r="AA2" s="85"/>
      <c r="AB2" s="87"/>
    </row>
    <row r="3" spans="1:36" ht="15" customHeight="1">
      <c r="X3" s="84"/>
      <c r="Y3" s="79" t="s">
        <v>81</v>
      </c>
      <c r="AA3" s="85"/>
      <c r="AB3" s="87"/>
    </row>
    <row r="4" spans="1:36" ht="15" customHeight="1">
      <c r="X4" s="84"/>
      <c r="Y4" s="79" t="s">
        <v>82</v>
      </c>
      <c r="Z4" s="84"/>
      <c r="AA4" s="85"/>
      <c r="AB4" s="87"/>
    </row>
    <row r="5" spans="1:36" ht="15" customHeight="1">
      <c r="X5" s="84"/>
      <c r="Y5" s="79" t="s">
        <v>83</v>
      </c>
      <c r="Z5" s="84"/>
      <c r="AA5" s="85"/>
      <c r="AB5" s="87"/>
    </row>
    <row r="6" spans="1:36" s="1" customFormat="1" ht="15" customHeight="1" thickBot="1">
      <c r="A6" s="57"/>
      <c r="B6" s="64"/>
      <c r="C6" s="64"/>
      <c r="E6" s="64"/>
      <c r="F6" s="64"/>
      <c r="G6" s="64"/>
      <c r="H6" s="64"/>
      <c r="I6" s="64"/>
      <c r="J6" s="64"/>
      <c r="K6" s="64"/>
      <c r="L6" s="67"/>
      <c r="M6" s="67"/>
      <c r="N6" s="68"/>
      <c r="O6" s="67"/>
      <c r="P6" s="67"/>
      <c r="Q6" s="67"/>
      <c r="R6" s="67"/>
      <c r="S6" s="67"/>
      <c r="T6" s="67"/>
      <c r="U6" s="67"/>
      <c r="V6" s="67"/>
      <c r="W6" s="67"/>
      <c r="X6" s="67"/>
      <c r="Z6" s="67"/>
      <c r="AA6" s="67"/>
      <c r="AB6" s="67"/>
      <c r="AC6" s="67"/>
      <c r="AD6" s="67"/>
      <c r="AE6" s="67"/>
    </row>
    <row r="7" spans="1:36" s="65" customFormat="1" ht="15" customHeight="1">
      <c r="A7" s="58"/>
      <c r="B7" s="115" t="s">
        <v>0</v>
      </c>
      <c r="C7" s="80">
        <v>0.3125</v>
      </c>
      <c r="D7" s="81">
        <v>0.33333333333333298</v>
      </c>
      <c r="E7" s="81">
        <v>0.35416666666666702</v>
      </c>
      <c r="F7" s="81">
        <v>0.375</v>
      </c>
      <c r="G7" s="81">
        <v>0.39583333333333298</v>
      </c>
      <c r="H7" s="81">
        <v>0.41666666666666702</v>
      </c>
      <c r="I7" s="81">
        <v>0.4375</v>
      </c>
      <c r="J7" s="81">
        <v>0.45833333333333298</v>
      </c>
      <c r="K7" s="81">
        <v>0.47916666666666702</v>
      </c>
      <c r="L7" s="81">
        <v>0.5</v>
      </c>
      <c r="M7" s="81">
        <v>0.52083333333333304</v>
      </c>
      <c r="N7" s="81">
        <v>4.1666666666666664E-2</v>
      </c>
      <c r="O7" s="81">
        <v>6.25E-2</v>
      </c>
      <c r="P7" s="81">
        <v>8.3333333333333329E-2</v>
      </c>
      <c r="Q7" s="81">
        <v>0.104166666666667</v>
      </c>
      <c r="R7" s="81">
        <v>0.125</v>
      </c>
      <c r="S7" s="81">
        <v>0.14583333333333301</v>
      </c>
      <c r="T7" s="81">
        <v>0.16666666666666599</v>
      </c>
      <c r="U7" s="81">
        <v>0.187499999999999</v>
      </c>
      <c r="V7" s="82">
        <v>0.20833333333333201</v>
      </c>
      <c r="W7" s="67"/>
      <c r="X7" s="171" t="s">
        <v>6</v>
      </c>
      <c r="Y7" s="171" t="s">
        <v>34</v>
      </c>
      <c r="Z7" s="171" t="s">
        <v>35</v>
      </c>
      <c r="AA7" s="171" t="s">
        <v>36</v>
      </c>
      <c r="AB7" s="173" t="s">
        <v>4</v>
      </c>
    </row>
    <row r="8" spans="1:36" ht="15" customHeight="1" thickBot="1">
      <c r="B8" s="149" t="s">
        <v>2</v>
      </c>
      <c r="C8" s="140">
        <v>1</v>
      </c>
      <c r="D8" s="141">
        <v>2</v>
      </c>
      <c r="E8" s="141">
        <v>3</v>
      </c>
      <c r="F8" s="141">
        <v>4</v>
      </c>
      <c r="G8" s="141">
        <v>5</v>
      </c>
      <c r="H8" s="141">
        <v>6</v>
      </c>
      <c r="I8" s="141">
        <v>7</v>
      </c>
      <c r="J8" s="141">
        <v>8</v>
      </c>
      <c r="K8" s="141">
        <v>9</v>
      </c>
      <c r="L8" s="141">
        <v>10</v>
      </c>
      <c r="M8" s="141">
        <v>11</v>
      </c>
      <c r="N8" s="141">
        <v>12</v>
      </c>
      <c r="O8" s="141">
        <v>13</v>
      </c>
      <c r="P8" s="141">
        <v>14</v>
      </c>
      <c r="Q8" s="141">
        <v>15</v>
      </c>
      <c r="R8" s="141">
        <v>16</v>
      </c>
      <c r="S8" s="141">
        <v>17</v>
      </c>
      <c r="T8" s="141">
        <v>18</v>
      </c>
      <c r="U8" s="141">
        <v>19</v>
      </c>
      <c r="V8" s="142">
        <v>20</v>
      </c>
      <c r="X8" s="172"/>
      <c r="Y8" s="172" t="s">
        <v>11</v>
      </c>
      <c r="Z8" s="172" t="s">
        <v>12</v>
      </c>
      <c r="AA8" s="172" t="s">
        <v>13</v>
      </c>
      <c r="AB8" s="174" t="s">
        <v>4</v>
      </c>
      <c r="AE8" s="68"/>
      <c r="AF8" s="68"/>
      <c r="AG8" s="68"/>
      <c r="AH8" s="68"/>
      <c r="AI8" s="68"/>
      <c r="AJ8" s="68"/>
    </row>
    <row r="9" spans="1:36" ht="15" customHeight="1">
      <c r="B9" s="150">
        <v>1</v>
      </c>
      <c r="C9" s="144">
        <f t="shared" ref="C9:L18" si="0">SUMIFS(SumaBA,CentroBA,$B9,TurnoBA,C$8)</f>
        <v>0</v>
      </c>
      <c r="D9" s="144">
        <f t="shared" si="0"/>
        <v>1</v>
      </c>
      <c r="E9" s="144">
        <f t="shared" si="0"/>
        <v>1</v>
      </c>
      <c r="F9" s="144">
        <f t="shared" si="0"/>
        <v>1</v>
      </c>
      <c r="G9" s="144">
        <f t="shared" si="0"/>
        <v>1</v>
      </c>
      <c r="H9" s="144">
        <f t="shared" si="0"/>
        <v>2</v>
      </c>
      <c r="I9" s="144">
        <f t="shared" si="0"/>
        <v>1</v>
      </c>
      <c r="J9" s="144">
        <f t="shared" si="0"/>
        <v>2</v>
      </c>
      <c r="K9" s="144">
        <f t="shared" si="0"/>
        <v>1</v>
      </c>
      <c r="L9" s="144">
        <f t="shared" si="0"/>
        <v>1</v>
      </c>
      <c r="M9" s="144">
        <f t="shared" ref="M9:V18" si="1">SUMIFS(SumaBA,CentroBA,$B9,TurnoBA,M$8)</f>
        <v>1</v>
      </c>
      <c r="N9" s="144">
        <f t="shared" si="1"/>
        <v>1</v>
      </c>
      <c r="O9" s="144">
        <f t="shared" si="1"/>
        <v>1</v>
      </c>
      <c r="P9" s="144">
        <f t="shared" si="1"/>
        <v>1</v>
      </c>
      <c r="Q9" s="144">
        <f t="shared" si="1"/>
        <v>1</v>
      </c>
      <c r="R9" s="144">
        <f t="shared" si="1"/>
        <v>0</v>
      </c>
      <c r="S9" s="144">
        <f t="shared" si="1"/>
        <v>0</v>
      </c>
      <c r="T9" s="144">
        <f t="shared" si="1"/>
        <v>0</v>
      </c>
      <c r="U9" s="144">
        <f t="shared" si="1"/>
        <v>0</v>
      </c>
      <c r="V9" s="145">
        <f t="shared" si="1"/>
        <v>0</v>
      </c>
      <c r="X9" s="133" t="s">
        <v>38</v>
      </c>
      <c r="Y9" s="116">
        <f t="shared" ref="Y9:Y25" si="2">SUMIF(CentroBA,$B9,Adan_Chavez)</f>
        <v>68</v>
      </c>
      <c r="Z9" s="116">
        <f t="shared" ref="Z9:Z25" si="3">SUMIF(CentroBA,$B9,Rafael_Simon_Jimenez)</f>
        <v>40</v>
      </c>
      <c r="AA9" s="116">
        <f t="shared" ref="AA9:AA25" si="4">SUMIF(CentroBA,$B9,Julio_Cesar_Reyes)</f>
        <v>96</v>
      </c>
      <c r="AB9" s="135">
        <f t="shared" ref="AB9:AB25" si="5">SUMIF(CentroBA,$B9,OtroBA)</f>
        <v>6</v>
      </c>
    </row>
    <row r="10" spans="1:36" ht="15" customHeight="1">
      <c r="B10" s="151">
        <v>2</v>
      </c>
      <c r="C10" s="70">
        <f t="shared" si="0"/>
        <v>1</v>
      </c>
      <c r="D10" s="70">
        <f t="shared" si="0"/>
        <v>1</v>
      </c>
      <c r="E10" s="70">
        <f t="shared" si="0"/>
        <v>1</v>
      </c>
      <c r="F10" s="70">
        <f t="shared" si="0"/>
        <v>1</v>
      </c>
      <c r="G10" s="70">
        <f t="shared" si="0"/>
        <v>1</v>
      </c>
      <c r="H10" s="70">
        <f t="shared" si="0"/>
        <v>1</v>
      </c>
      <c r="I10" s="70">
        <f t="shared" si="0"/>
        <v>1</v>
      </c>
      <c r="J10" s="70">
        <f t="shared" si="0"/>
        <v>2</v>
      </c>
      <c r="K10" s="70">
        <f t="shared" si="0"/>
        <v>2</v>
      </c>
      <c r="L10" s="70">
        <f t="shared" si="0"/>
        <v>2</v>
      </c>
      <c r="M10" s="70">
        <f t="shared" si="1"/>
        <v>2</v>
      </c>
      <c r="N10" s="70">
        <f t="shared" si="1"/>
        <v>1</v>
      </c>
      <c r="O10" s="70">
        <f t="shared" si="1"/>
        <v>1</v>
      </c>
      <c r="P10" s="70">
        <f t="shared" si="1"/>
        <v>0</v>
      </c>
      <c r="Q10" s="70">
        <f t="shared" si="1"/>
        <v>0</v>
      </c>
      <c r="R10" s="70">
        <f t="shared" si="1"/>
        <v>0</v>
      </c>
      <c r="S10" s="70">
        <f t="shared" si="1"/>
        <v>0</v>
      </c>
      <c r="T10" s="70">
        <f t="shared" si="1"/>
        <v>0</v>
      </c>
      <c r="U10" s="70">
        <f t="shared" si="1"/>
        <v>0</v>
      </c>
      <c r="V10" s="138">
        <f t="shared" si="1"/>
        <v>0</v>
      </c>
      <c r="X10" s="133" t="s">
        <v>39</v>
      </c>
      <c r="Y10" s="116">
        <f t="shared" si="2"/>
        <v>250</v>
      </c>
      <c r="Z10" s="116">
        <f t="shared" si="3"/>
        <v>247</v>
      </c>
      <c r="AA10" s="116">
        <f t="shared" si="4"/>
        <v>219</v>
      </c>
      <c r="AB10" s="135">
        <f t="shared" si="5"/>
        <v>71</v>
      </c>
    </row>
    <row r="11" spans="1:36" ht="15" customHeight="1">
      <c r="B11" s="151">
        <v>3</v>
      </c>
      <c r="C11" s="70">
        <f t="shared" si="0"/>
        <v>0</v>
      </c>
      <c r="D11" s="70">
        <f t="shared" si="0"/>
        <v>0</v>
      </c>
      <c r="E11" s="70">
        <f t="shared" si="0"/>
        <v>1</v>
      </c>
      <c r="F11" s="70">
        <f t="shared" si="0"/>
        <v>1</v>
      </c>
      <c r="G11" s="70">
        <f t="shared" si="0"/>
        <v>1</v>
      </c>
      <c r="H11" s="70">
        <f t="shared" si="0"/>
        <v>1</v>
      </c>
      <c r="I11" s="70">
        <f t="shared" si="0"/>
        <v>1</v>
      </c>
      <c r="J11" s="70">
        <f t="shared" si="0"/>
        <v>1</v>
      </c>
      <c r="K11" s="70">
        <f t="shared" si="0"/>
        <v>1</v>
      </c>
      <c r="L11" s="70">
        <f t="shared" si="0"/>
        <v>1</v>
      </c>
      <c r="M11" s="70">
        <f t="shared" si="1"/>
        <v>1</v>
      </c>
      <c r="N11" s="70">
        <f t="shared" si="1"/>
        <v>1</v>
      </c>
      <c r="O11" s="70">
        <f t="shared" si="1"/>
        <v>1</v>
      </c>
      <c r="P11" s="70">
        <f t="shared" si="1"/>
        <v>0</v>
      </c>
      <c r="Q11" s="70">
        <f t="shared" si="1"/>
        <v>0</v>
      </c>
      <c r="R11" s="70">
        <f t="shared" si="1"/>
        <v>0</v>
      </c>
      <c r="S11" s="70">
        <f t="shared" si="1"/>
        <v>0</v>
      </c>
      <c r="T11" s="70">
        <f t="shared" si="1"/>
        <v>0</v>
      </c>
      <c r="U11" s="70">
        <f t="shared" si="1"/>
        <v>0</v>
      </c>
      <c r="V11" s="138">
        <f t="shared" si="1"/>
        <v>0</v>
      </c>
      <c r="X11" s="133" t="s">
        <v>39</v>
      </c>
      <c r="Y11" s="116">
        <f t="shared" si="2"/>
        <v>20</v>
      </c>
      <c r="Z11" s="116">
        <f t="shared" si="3"/>
        <v>6</v>
      </c>
      <c r="AA11" s="116">
        <f t="shared" si="4"/>
        <v>40</v>
      </c>
      <c r="AB11" s="135">
        <f t="shared" si="5"/>
        <v>2</v>
      </c>
    </row>
    <row r="12" spans="1:36" ht="15" customHeight="1">
      <c r="B12" s="151">
        <v>4</v>
      </c>
      <c r="C12" s="70">
        <f t="shared" si="0"/>
        <v>1</v>
      </c>
      <c r="D12" s="70">
        <f t="shared" si="0"/>
        <v>1</v>
      </c>
      <c r="E12" s="70">
        <f t="shared" si="0"/>
        <v>1</v>
      </c>
      <c r="F12" s="70">
        <f t="shared" si="0"/>
        <v>1</v>
      </c>
      <c r="G12" s="70">
        <f t="shared" si="0"/>
        <v>1</v>
      </c>
      <c r="H12" s="70">
        <f t="shared" si="0"/>
        <v>1</v>
      </c>
      <c r="I12" s="70">
        <f t="shared" si="0"/>
        <v>1</v>
      </c>
      <c r="J12" s="70">
        <f t="shared" si="0"/>
        <v>1</v>
      </c>
      <c r="K12" s="70">
        <f t="shared" si="0"/>
        <v>1</v>
      </c>
      <c r="L12" s="70">
        <f t="shared" si="0"/>
        <v>1</v>
      </c>
      <c r="M12" s="70">
        <f t="shared" si="1"/>
        <v>1</v>
      </c>
      <c r="N12" s="70">
        <f t="shared" si="1"/>
        <v>1</v>
      </c>
      <c r="O12" s="70">
        <f t="shared" si="1"/>
        <v>1</v>
      </c>
      <c r="P12" s="70">
        <f t="shared" si="1"/>
        <v>1</v>
      </c>
      <c r="Q12" s="70">
        <f t="shared" si="1"/>
        <v>1</v>
      </c>
      <c r="R12" s="70">
        <f t="shared" si="1"/>
        <v>0</v>
      </c>
      <c r="S12" s="70">
        <f t="shared" si="1"/>
        <v>0</v>
      </c>
      <c r="T12" s="70">
        <f t="shared" si="1"/>
        <v>0</v>
      </c>
      <c r="U12" s="70">
        <f t="shared" si="1"/>
        <v>0</v>
      </c>
      <c r="V12" s="138">
        <f t="shared" si="1"/>
        <v>0</v>
      </c>
      <c r="X12" s="133" t="s">
        <v>32</v>
      </c>
      <c r="Y12" s="116">
        <f t="shared" si="2"/>
        <v>38</v>
      </c>
      <c r="Z12" s="116">
        <f t="shared" si="3"/>
        <v>37</v>
      </c>
      <c r="AA12" s="116">
        <f t="shared" si="4"/>
        <v>246</v>
      </c>
      <c r="AB12" s="135">
        <f t="shared" si="5"/>
        <v>2</v>
      </c>
    </row>
    <row r="13" spans="1:36" ht="15" customHeight="1">
      <c r="B13" s="151">
        <v>5</v>
      </c>
      <c r="C13" s="70">
        <f t="shared" si="0"/>
        <v>0</v>
      </c>
      <c r="D13" s="70">
        <f t="shared" si="0"/>
        <v>1</v>
      </c>
      <c r="E13" s="70">
        <f t="shared" si="0"/>
        <v>1</v>
      </c>
      <c r="F13" s="70">
        <f t="shared" si="0"/>
        <v>1</v>
      </c>
      <c r="G13" s="70">
        <f t="shared" si="0"/>
        <v>1</v>
      </c>
      <c r="H13" s="70">
        <f t="shared" si="0"/>
        <v>1</v>
      </c>
      <c r="I13" s="70">
        <f t="shared" si="0"/>
        <v>1</v>
      </c>
      <c r="J13" s="70">
        <f t="shared" si="0"/>
        <v>1</v>
      </c>
      <c r="K13" s="70">
        <f t="shared" si="0"/>
        <v>1</v>
      </c>
      <c r="L13" s="70">
        <f t="shared" si="0"/>
        <v>1</v>
      </c>
      <c r="M13" s="70">
        <f t="shared" si="1"/>
        <v>1</v>
      </c>
      <c r="N13" s="70">
        <f t="shared" si="1"/>
        <v>1</v>
      </c>
      <c r="O13" s="70">
        <f t="shared" si="1"/>
        <v>1</v>
      </c>
      <c r="P13" s="70">
        <f t="shared" si="1"/>
        <v>1</v>
      </c>
      <c r="Q13" s="70">
        <f t="shared" si="1"/>
        <v>1</v>
      </c>
      <c r="R13" s="70">
        <f t="shared" si="1"/>
        <v>1</v>
      </c>
      <c r="S13" s="70">
        <f t="shared" si="1"/>
        <v>0</v>
      </c>
      <c r="T13" s="70">
        <f t="shared" si="1"/>
        <v>0</v>
      </c>
      <c r="U13" s="70">
        <f t="shared" si="1"/>
        <v>0</v>
      </c>
      <c r="V13" s="138">
        <f t="shared" si="1"/>
        <v>0</v>
      </c>
      <c r="X13" s="133" t="s">
        <v>32</v>
      </c>
      <c r="Y13" s="116">
        <f t="shared" si="2"/>
        <v>99</v>
      </c>
      <c r="Z13" s="116">
        <f t="shared" si="3"/>
        <v>42</v>
      </c>
      <c r="AA13" s="116">
        <f t="shared" si="4"/>
        <v>125</v>
      </c>
      <c r="AB13" s="135">
        <f t="shared" si="5"/>
        <v>0</v>
      </c>
    </row>
    <row r="14" spans="1:36" ht="15" customHeight="1">
      <c r="B14" s="151">
        <v>6</v>
      </c>
      <c r="C14" s="70">
        <f t="shared" si="0"/>
        <v>1</v>
      </c>
      <c r="D14" s="70">
        <f t="shared" si="0"/>
        <v>1</v>
      </c>
      <c r="E14" s="70">
        <f t="shared" si="0"/>
        <v>0</v>
      </c>
      <c r="F14" s="70">
        <f t="shared" si="0"/>
        <v>1</v>
      </c>
      <c r="G14" s="70">
        <f t="shared" si="0"/>
        <v>2</v>
      </c>
      <c r="H14" s="70">
        <f t="shared" si="0"/>
        <v>2</v>
      </c>
      <c r="I14" s="70">
        <f t="shared" si="0"/>
        <v>1</v>
      </c>
      <c r="J14" s="70">
        <f t="shared" si="0"/>
        <v>0</v>
      </c>
      <c r="K14" s="70">
        <f t="shared" si="0"/>
        <v>1</v>
      </c>
      <c r="L14" s="70">
        <f t="shared" si="0"/>
        <v>2</v>
      </c>
      <c r="M14" s="70">
        <f t="shared" si="1"/>
        <v>2</v>
      </c>
      <c r="N14" s="70">
        <f t="shared" si="1"/>
        <v>1</v>
      </c>
      <c r="O14" s="70">
        <f t="shared" si="1"/>
        <v>2</v>
      </c>
      <c r="P14" s="70">
        <f t="shared" si="1"/>
        <v>1</v>
      </c>
      <c r="Q14" s="70">
        <f t="shared" si="1"/>
        <v>1</v>
      </c>
      <c r="R14" s="70">
        <f t="shared" si="1"/>
        <v>1</v>
      </c>
      <c r="S14" s="70">
        <f t="shared" si="1"/>
        <v>0</v>
      </c>
      <c r="T14" s="70">
        <f t="shared" si="1"/>
        <v>0</v>
      </c>
      <c r="U14" s="70">
        <f t="shared" si="1"/>
        <v>0</v>
      </c>
      <c r="V14" s="138">
        <f t="shared" si="1"/>
        <v>0</v>
      </c>
      <c r="X14" s="133" t="s">
        <v>32</v>
      </c>
      <c r="Y14" s="116">
        <f t="shared" si="2"/>
        <v>220</v>
      </c>
      <c r="Z14" s="116">
        <f t="shared" si="3"/>
        <v>18</v>
      </c>
      <c r="AA14" s="116">
        <f t="shared" si="4"/>
        <v>234</v>
      </c>
      <c r="AB14" s="135">
        <f t="shared" si="5"/>
        <v>89</v>
      </c>
    </row>
    <row r="15" spans="1:36" ht="15" customHeight="1">
      <c r="B15" s="151">
        <v>7</v>
      </c>
      <c r="C15" s="70">
        <f t="shared" si="0"/>
        <v>1</v>
      </c>
      <c r="D15" s="70">
        <f t="shared" si="0"/>
        <v>1</v>
      </c>
      <c r="E15" s="70">
        <f t="shared" si="0"/>
        <v>1</v>
      </c>
      <c r="F15" s="70">
        <f t="shared" si="0"/>
        <v>1</v>
      </c>
      <c r="G15" s="70">
        <f t="shared" si="0"/>
        <v>1</v>
      </c>
      <c r="H15" s="70">
        <f t="shared" si="0"/>
        <v>1</v>
      </c>
      <c r="I15" s="70">
        <f t="shared" si="0"/>
        <v>1</v>
      </c>
      <c r="J15" s="70">
        <f t="shared" si="0"/>
        <v>0</v>
      </c>
      <c r="K15" s="70">
        <f t="shared" si="0"/>
        <v>2</v>
      </c>
      <c r="L15" s="70">
        <f t="shared" si="0"/>
        <v>1</v>
      </c>
      <c r="M15" s="70">
        <f t="shared" si="1"/>
        <v>0</v>
      </c>
      <c r="N15" s="70">
        <f t="shared" si="1"/>
        <v>1</v>
      </c>
      <c r="O15" s="70">
        <f t="shared" si="1"/>
        <v>0</v>
      </c>
      <c r="P15" s="70">
        <f t="shared" si="1"/>
        <v>1</v>
      </c>
      <c r="Q15" s="70">
        <f t="shared" si="1"/>
        <v>0</v>
      </c>
      <c r="R15" s="70">
        <f t="shared" si="1"/>
        <v>0</v>
      </c>
      <c r="S15" s="70">
        <f t="shared" si="1"/>
        <v>0</v>
      </c>
      <c r="T15" s="70">
        <f t="shared" si="1"/>
        <v>0</v>
      </c>
      <c r="U15" s="70">
        <f t="shared" si="1"/>
        <v>0</v>
      </c>
      <c r="V15" s="138">
        <f t="shared" si="1"/>
        <v>0</v>
      </c>
      <c r="X15" s="133" t="s">
        <v>32</v>
      </c>
      <c r="Y15" s="116">
        <f t="shared" si="2"/>
        <v>138</v>
      </c>
      <c r="Z15" s="116">
        <f t="shared" si="3"/>
        <v>45</v>
      </c>
      <c r="AA15" s="116">
        <f t="shared" si="4"/>
        <v>139</v>
      </c>
      <c r="AB15" s="135">
        <f t="shared" si="5"/>
        <v>48</v>
      </c>
    </row>
    <row r="16" spans="1:36" ht="15" customHeight="1">
      <c r="B16" s="151">
        <v>8</v>
      </c>
      <c r="C16" s="70">
        <f t="shared" si="0"/>
        <v>1</v>
      </c>
      <c r="D16" s="70">
        <f t="shared" si="0"/>
        <v>1</v>
      </c>
      <c r="E16" s="70">
        <f t="shared" si="0"/>
        <v>1</v>
      </c>
      <c r="F16" s="70">
        <f t="shared" si="0"/>
        <v>1</v>
      </c>
      <c r="G16" s="70">
        <f t="shared" si="0"/>
        <v>1</v>
      </c>
      <c r="H16" s="70">
        <f t="shared" si="0"/>
        <v>1</v>
      </c>
      <c r="I16" s="70">
        <f t="shared" si="0"/>
        <v>2</v>
      </c>
      <c r="J16" s="70">
        <f t="shared" si="0"/>
        <v>1</v>
      </c>
      <c r="K16" s="70">
        <f t="shared" si="0"/>
        <v>1</v>
      </c>
      <c r="L16" s="70">
        <f t="shared" si="0"/>
        <v>1</v>
      </c>
      <c r="M16" s="70">
        <f t="shared" si="1"/>
        <v>1</v>
      </c>
      <c r="N16" s="70">
        <f t="shared" si="1"/>
        <v>1</v>
      </c>
      <c r="O16" s="70">
        <f t="shared" si="1"/>
        <v>0</v>
      </c>
      <c r="P16" s="70">
        <f t="shared" si="1"/>
        <v>0</v>
      </c>
      <c r="Q16" s="70">
        <f t="shared" si="1"/>
        <v>0</v>
      </c>
      <c r="R16" s="70">
        <f t="shared" si="1"/>
        <v>0</v>
      </c>
      <c r="S16" s="70">
        <f t="shared" si="1"/>
        <v>0</v>
      </c>
      <c r="T16" s="70">
        <f t="shared" si="1"/>
        <v>0</v>
      </c>
      <c r="U16" s="70">
        <f t="shared" si="1"/>
        <v>0</v>
      </c>
      <c r="V16" s="138">
        <f t="shared" si="1"/>
        <v>0</v>
      </c>
      <c r="X16" s="133" t="s">
        <v>32</v>
      </c>
      <c r="Y16" s="116">
        <f t="shared" si="2"/>
        <v>96</v>
      </c>
      <c r="Z16" s="116">
        <f t="shared" si="3"/>
        <v>10</v>
      </c>
      <c r="AA16" s="116">
        <f t="shared" si="4"/>
        <v>139</v>
      </c>
      <c r="AB16" s="135">
        <f t="shared" si="5"/>
        <v>2</v>
      </c>
    </row>
    <row r="17" spans="2:28" ht="15" customHeight="1">
      <c r="B17" s="151">
        <v>9</v>
      </c>
      <c r="C17" s="70">
        <f t="shared" si="0"/>
        <v>0</v>
      </c>
      <c r="D17" s="70">
        <f t="shared" si="0"/>
        <v>0</v>
      </c>
      <c r="E17" s="70">
        <f t="shared" si="0"/>
        <v>0</v>
      </c>
      <c r="F17" s="70">
        <f t="shared" si="0"/>
        <v>0</v>
      </c>
      <c r="G17" s="70">
        <f t="shared" si="0"/>
        <v>0</v>
      </c>
      <c r="H17" s="70">
        <f t="shared" si="0"/>
        <v>0</v>
      </c>
      <c r="I17" s="70">
        <f t="shared" si="0"/>
        <v>0</v>
      </c>
      <c r="J17" s="70">
        <f t="shared" si="0"/>
        <v>0</v>
      </c>
      <c r="K17" s="70">
        <f t="shared" si="0"/>
        <v>0</v>
      </c>
      <c r="L17" s="70">
        <f t="shared" si="0"/>
        <v>0</v>
      </c>
      <c r="M17" s="70">
        <f t="shared" si="1"/>
        <v>0</v>
      </c>
      <c r="N17" s="70">
        <f t="shared" si="1"/>
        <v>0</v>
      </c>
      <c r="O17" s="70">
        <f t="shared" si="1"/>
        <v>0</v>
      </c>
      <c r="P17" s="70">
        <f t="shared" si="1"/>
        <v>0</v>
      </c>
      <c r="Q17" s="70">
        <f t="shared" si="1"/>
        <v>0</v>
      </c>
      <c r="R17" s="70">
        <f t="shared" si="1"/>
        <v>0</v>
      </c>
      <c r="S17" s="70">
        <f t="shared" si="1"/>
        <v>0</v>
      </c>
      <c r="T17" s="70">
        <f t="shared" si="1"/>
        <v>0</v>
      </c>
      <c r="U17" s="70">
        <f t="shared" si="1"/>
        <v>0</v>
      </c>
      <c r="V17" s="138">
        <f t="shared" si="1"/>
        <v>0</v>
      </c>
      <c r="X17" s="133" t="s">
        <v>32</v>
      </c>
      <c r="Y17" s="116">
        <f t="shared" si="2"/>
        <v>0</v>
      </c>
      <c r="Z17" s="116">
        <f t="shared" si="3"/>
        <v>0</v>
      </c>
      <c r="AA17" s="116">
        <f t="shared" si="4"/>
        <v>0</v>
      </c>
      <c r="AB17" s="135">
        <f t="shared" si="5"/>
        <v>0</v>
      </c>
    </row>
    <row r="18" spans="2:28" ht="15" customHeight="1">
      <c r="B18" s="151">
        <v>10</v>
      </c>
      <c r="C18" s="70">
        <f t="shared" si="0"/>
        <v>1</v>
      </c>
      <c r="D18" s="70">
        <f t="shared" si="0"/>
        <v>1</v>
      </c>
      <c r="E18" s="70">
        <f t="shared" si="0"/>
        <v>1</v>
      </c>
      <c r="F18" s="70">
        <f t="shared" si="0"/>
        <v>1</v>
      </c>
      <c r="G18" s="70">
        <f t="shared" si="0"/>
        <v>2</v>
      </c>
      <c r="H18" s="70">
        <f t="shared" si="0"/>
        <v>1</v>
      </c>
      <c r="I18" s="70">
        <f t="shared" si="0"/>
        <v>1</v>
      </c>
      <c r="J18" s="70">
        <f t="shared" si="0"/>
        <v>1</v>
      </c>
      <c r="K18" s="70">
        <f t="shared" si="0"/>
        <v>1</v>
      </c>
      <c r="L18" s="70">
        <f t="shared" si="0"/>
        <v>0</v>
      </c>
      <c r="M18" s="70">
        <f t="shared" si="1"/>
        <v>0</v>
      </c>
      <c r="N18" s="70">
        <f t="shared" si="1"/>
        <v>0</v>
      </c>
      <c r="O18" s="70">
        <f t="shared" si="1"/>
        <v>0</v>
      </c>
      <c r="P18" s="70">
        <f t="shared" si="1"/>
        <v>0</v>
      </c>
      <c r="Q18" s="70">
        <f t="shared" si="1"/>
        <v>0</v>
      </c>
      <c r="R18" s="70">
        <f t="shared" si="1"/>
        <v>0</v>
      </c>
      <c r="S18" s="70">
        <f t="shared" si="1"/>
        <v>0</v>
      </c>
      <c r="T18" s="70">
        <f t="shared" si="1"/>
        <v>0</v>
      </c>
      <c r="U18" s="70">
        <f t="shared" si="1"/>
        <v>0</v>
      </c>
      <c r="V18" s="138">
        <f t="shared" si="1"/>
        <v>0</v>
      </c>
      <c r="X18" s="133" t="s">
        <v>32</v>
      </c>
      <c r="Y18" s="116">
        <f t="shared" si="2"/>
        <v>89</v>
      </c>
      <c r="Z18" s="116">
        <f t="shared" si="3"/>
        <v>53</v>
      </c>
      <c r="AA18" s="116">
        <f t="shared" si="4"/>
        <v>174</v>
      </c>
      <c r="AB18" s="135">
        <f t="shared" si="5"/>
        <v>2</v>
      </c>
    </row>
    <row r="19" spans="2:28" ht="15" customHeight="1">
      <c r="B19" s="151">
        <v>11</v>
      </c>
      <c r="C19" s="70">
        <f t="shared" ref="C19:L25" si="6">SUMIFS(SumaBA,CentroBA,$B19,TurnoBA,C$8)</f>
        <v>0</v>
      </c>
      <c r="D19" s="70">
        <f t="shared" si="6"/>
        <v>0</v>
      </c>
      <c r="E19" s="70">
        <f t="shared" si="6"/>
        <v>0</v>
      </c>
      <c r="F19" s="70">
        <f t="shared" si="6"/>
        <v>0</v>
      </c>
      <c r="G19" s="70">
        <f t="shared" si="6"/>
        <v>0</v>
      </c>
      <c r="H19" s="70">
        <f t="shared" si="6"/>
        <v>1</v>
      </c>
      <c r="I19" s="70">
        <f t="shared" si="6"/>
        <v>0</v>
      </c>
      <c r="J19" s="70">
        <f t="shared" si="6"/>
        <v>0</v>
      </c>
      <c r="K19" s="70">
        <f t="shared" si="6"/>
        <v>1</v>
      </c>
      <c r="L19" s="70">
        <f t="shared" si="6"/>
        <v>0</v>
      </c>
      <c r="M19" s="70">
        <f t="shared" ref="M19:V25" si="7">SUMIFS(SumaBA,CentroBA,$B19,TurnoBA,M$8)</f>
        <v>0</v>
      </c>
      <c r="N19" s="70">
        <f t="shared" si="7"/>
        <v>1</v>
      </c>
      <c r="O19" s="70">
        <f t="shared" si="7"/>
        <v>1</v>
      </c>
      <c r="P19" s="70">
        <f t="shared" si="7"/>
        <v>0</v>
      </c>
      <c r="Q19" s="70">
        <f t="shared" si="7"/>
        <v>0</v>
      </c>
      <c r="R19" s="70">
        <f t="shared" si="7"/>
        <v>0</v>
      </c>
      <c r="S19" s="70">
        <f t="shared" si="7"/>
        <v>0</v>
      </c>
      <c r="T19" s="70">
        <f t="shared" si="7"/>
        <v>0</v>
      </c>
      <c r="U19" s="70">
        <f t="shared" si="7"/>
        <v>0</v>
      </c>
      <c r="V19" s="138">
        <f t="shared" si="7"/>
        <v>0</v>
      </c>
      <c r="X19" s="133" t="s">
        <v>32</v>
      </c>
      <c r="Y19" s="116">
        <f t="shared" si="2"/>
        <v>50</v>
      </c>
      <c r="Z19" s="116">
        <f t="shared" si="3"/>
        <v>17</v>
      </c>
      <c r="AA19" s="116">
        <f t="shared" si="4"/>
        <v>39</v>
      </c>
      <c r="AB19" s="135">
        <f t="shared" si="5"/>
        <v>0</v>
      </c>
    </row>
    <row r="20" spans="2:28" ht="15" customHeight="1">
      <c r="B20" s="151">
        <v>12</v>
      </c>
      <c r="C20" s="70">
        <f t="shared" si="6"/>
        <v>1</v>
      </c>
      <c r="D20" s="70">
        <f t="shared" si="6"/>
        <v>1</v>
      </c>
      <c r="E20" s="70">
        <f t="shared" si="6"/>
        <v>1</v>
      </c>
      <c r="F20" s="70">
        <f t="shared" si="6"/>
        <v>2</v>
      </c>
      <c r="G20" s="70">
        <f t="shared" si="6"/>
        <v>1</v>
      </c>
      <c r="H20" s="70">
        <f t="shared" si="6"/>
        <v>1</v>
      </c>
      <c r="I20" s="70">
        <f t="shared" si="6"/>
        <v>1</v>
      </c>
      <c r="J20" s="70">
        <f t="shared" si="6"/>
        <v>1</v>
      </c>
      <c r="K20" s="70">
        <f t="shared" si="6"/>
        <v>1</v>
      </c>
      <c r="L20" s="70">
        <f t="shared" si="6"/>
        <v>1</v>
      </c>
      <c r="M20" s="70">
        <f t="shared" si="7"/>
        <v>1</v>
      </c>
      <c r="N20" s="70">
        <f t="shared" si="7"/>
        <v>1</v>
      </c>
      <c r="O20" s="70">
        <f t="shared" si="7"/>
        <v>1</v>
      </c>
      <c r="P20" s="70">
        <f t="shared" si="7"/>
        <v>1</v>
      </c>
      <c r="Q20" s="70">
        <f t="shared" si="7"/>
        <v>0</v>
      </c>
      <c r="R20" s="70">
        <f t="shared" si="7"/>
        <v>0</v>
      </c>
      <c r="S20" s="70">
        <f t="shared" si="7"/>
        <v>0</v>
      </c>
      <c r="T20" s="70">
        <f t="shared" si="7"/>
        <v>0</v>
      </c>
      <c r="U20" s="70">
        <f t="shared" si="7"/>
        <v>0</v>
      </c>
      <c r="V20" s="138">
        <f t="shared" si="7"/>
        <v>0</v>
      </c>
      <c r="X20" s="133" t="s">
        <v>32</v>
      </c>
      <c r="Y20" s="116">
        <f t="shared" si="2"/>
        <v>129</v>
      </c>
      <c r="Z20" s="116">
        <f t="shared" si="3"/>
        <v>16</v>
      </c>
      <c r="AA20" s="116">
        <f t="shared" si="4"/>
        <v>88</v>
      </c>
      <c r="AB20" s="135">
        <f t="shared" si="5"/>
        <v>0</v>
      </c>
    </row>
    <row r="21" spans="2:28" ht="15" customHeight="1">
      <c r="B21" s="151">
        <v>13</v>
      </c>
      <c r="C21" s="70">
        <f t="shared" si="6"/>
        <v>0</v>
      </c>
      <c r="D21" s="70">
        <f t="shared" si="6"/>
        <v>0</v>
      </c>
      <c r="E21" s="70">
        <f t="shared" si="6"/>
        <v>0</v>
      </c>
      <c r="F21" s="70">
        <f t="shared" si="6"/>
        <v>0</v>
      </c>
      <c r="G21" s="70">
        <f t="shared" si="6"/>
        <v>0</v>
      </c>
      <c r="H21" s="70">
        <f t="shared" si="6"/>
        <v>1</v>
      </c>
      <c r="I21" s="70">
        <f t="shared" si="6"/>
        <v>1</v>
      </c>
      <c r="J21" s="70">
        <f t="shared" si="6"/>
        <v>0</v>
      </c>
      <c r="K21" s="70">
        <f t="shared" si="6"/>
        <v>1</v>
      </c>
      <c r="L21" s="70">
        <f t="shared" si="6"/>
        <v>0</v>
      </c>
      <c r="M21" s="70">
        <f t="shared" si="7"/>
        <v>1</v>
      </c>
      <c r="N21" s="70">
        <f t="shared" si="7"/>
        <v>0</v>
      </c>
      <c r="O21" s="70">
        <f t="shared" si="7"/>
        <v>1</v>
      </c>
      <c r="P21" s="70">
        <f t="shared" si="7"/>
        <v>1</v>
      </c>
      <c r="Q21" s="70">
        <f t="shared" si="7"/>
        <v>0</v>
      </c>
      <c r="R21" s="70">
        <f t="shared" si="7"/>
        <v>1</v>
      </c>
      <c r="S21" s="70">
        <f t="shared" si="7"/>
        <v>0</v>
      </c>
      <c r="T21" s="70">
        <f t="shared" si="7"/>
        <v>0</v>
      </c>
      <c r="U21" s="70">
        <f t="shared" si="7"/>
        <v>0</v>
      </c>
      <c r="V21" s="138">
        <f t="shared" si="7"/>
        <v>0</v>
      </c>
      <c r="X21" s="133" t="s">
        <v>32</v>
      </c>
      <c r="Y21" s="116">
        <f t="shared" si="2"/>
        <v>41</v>
      </c>
      <c r="Z21" s="116">
        <f t="shared" si="3"/>
        <v>8</v>
      </c>
      <c r="AA21" s="116">
        <f t="shared" si="4"/>
        <v>49</v>
      </c>
      <c r="AB21" s="135">
        <f t="shared" si="5"/>
        <v>0</v>
      </c>
    </row>
    <row r="22" spans="2:28" ht="15" customHeight="1">
      <c r="B22" s="151">
        <v>14</v>
      </c>
      <c r="C22" s="70">
        <f t="shared" si="6"/>
        <v>1</v>
      </c>
      <c r="D22" s="70">
        <f t="shared" si="6"/>
        <v>1</v>
      </c>
      <c r="E22" s="70">
        <f t="shared" si="6"/>
        <v>1</v>
      </c>
      <c r="F22" s="70">
        <f t="shared" si="6"/>
        <v>1</v>
      </c>
      <c r="G22" s="70">
        <f t="shared" si="6"/>
        <v>2</v>
      </c>
      <c r="H22" s="70">
        <f t="shared" si="6"/>
        <v>1</v>
      </c>
      <c r="I22" s="70">
        <f t="shared" si="6"/>
        <v>1</v>
      </c>
      <c r="J22" s="70">
        <f t="shared" si="6"/>
        <v>0</v>
      </c>
      <c r="K22" s="70">
        <f t="shared" si="6"/>
        <v>0</v>
      </c>
      <c r="L22" s="70">
        <f t="shared" si="6"/>
        <v>0</v>
      </c>
      <c r="M22" s="70">
        <f t="shared" si="7"/>
        <v>0</v>
      </c>
      <c r="N22" s="70">
        <f t="shared" si="7"/>
        <v>0</v>
      </c>
      <c r="O22" s="70">
        <f t="shared" si="7"/>
        <v>0</v>
      </c>
      <c r="P22" s="70">
        <f t="shared" si="7"/>
        <v>0</v>
      </c>
      <c r="Q22" s="70">
        <f t="shared" si="7"/>
        <v>0</v>
      </c>
      <c r="R22" s="70">
        <f t="shared" si="7"/>
        <v>0</v>
      </c>
      <c r="S22" s="70">
        <f t="shared" si="7"/>
        <v>0</v>
      </c>
      <c r="T22" s="70">
        <f t="shared" si="7"/>
        <v>0</v>
      </c>
      <c r="U22" s="70">
        <f t="shared" si="7"/>
        <v>0</v>
      </c>
      <c r="V22" s="138">
        <f t="shared" si="7"/>
        <v>0</v>
      </c>
      <c r="X22" s="133" t="s">
        <v>32</v>
      </c>
      <c r="Y22" s="116">
        <f t="shared" si="2"/>
        <v>108</v>
      </c>
      <c r="Z22" s="116">
        <f t="shared" si="3"/>
        <v>27</v>
      </c>
      <c r="AA22" s="116">
        <f t="shared" si="4"/>
        <v>79</v>
      </c>
      <c r="AB22" s="135">
        <f t="shared" si="5"/>
        <v>3</v>
      </c>
    </row>
    <row r="23" spans="2:28" ht="15" customHeight="1">
      <c r="B23" s="156">
        <v>15</v>
      </c>
      <c r="C23" s="70">
        <f t="shared" si="6"/>
        <v>1</v>
      </c>
      <c r="D23" s="70">
        <f t="shared" si="6"/>
        <v>1</v>
      </c>
      <c r="E23" s="70">
        <f t="shared" si="6"/>
        <v>1</v>
      </c>
      <c r="F23" s="70">
        <f t="shared" si="6"/>
        <v>1</v>
      </c>
      <c r="G23" s="70">
        <f t="shared" si="6"/>
        <v>1</v>
      </c>
      <c r="H23" s="70">
        <f t="shared" si="6"/>
        <v>1</v>
      </c>
      <c r="I23" s="70">
        <f t="shared" si="6"/>
        <v>1</v>
      </c>
      <c r="J23" s="70">
        <f t="shared" si="6"/>
        <v>1</v>
      </c>
      <c r="K23" s="70">
        <f t="shared" si="6"/>
        <v>1</v>
      </c>
      <c r="L23" s="70">
        <f t="shared" si="6"/>
        <v>1</v>
      </c>
      <c r="M23" s="70">
        <f t="shared" si="7"/>
        <v>1</v>
      </c>
      <c r="N23" s="70">
        <f t="shared" si="7"/>
        <v>1</v>
      </c>
      <c r="O23" s="70">
        <f t="shared" si="7"/>
        <v>1</v>
      </c>
      <c r="P23" s="70">
        <f t="shared" si="7"/>
        <v>1</v>
      </c>
      <c r="Q23" s="70">
        <f t="shared" si="7"/>
        <v>0</v>
      </c>
      <c r="R23" s="70">
        <f t="shared" si="7"/>
        <v>0</v>
      </c>
      <c r="S23" s="70">
        <f t="shared" si="7"/>
        <v>0</v>
      </c>
      <c r="T23" s="70">
        <f t="shared" si="7"/>
        <v>0</v>
      </c>
      <c r="U23" s="70">
        <f t="shared" si="7"/>
        <v>0</v>
      </c>
      <c r="V23" s="138">
        <f t="shared" si="7"/>
        <v>0</v>
      </c>
      <c r="X23" s="133" t="s">
        <v>40</v>
      </c>
      <c r="Y23" s="116">
        <f t="shared" si="2"/>
        <v>45</v>
      </c>
      <c r="Z23" s="116">
        <f t="shared" si="3"/>
        <v>35</v>
      </c>
      <c r="AA23" s="116">
        <f t="shared" si="4"/>
        <v>95</v>
      </c>
      <c r="AB23" s="135">
        <f t="shared" si="5"/>
        <v>6</v>
      </c>
    </row>
    <row r="24" spans="2:28" ht="15" customHeight="1">
      <c r="B24" s="156">
        <v>16</v>
      </c>
      <c r="C24" s="70">
        <f t="shared" si="6"/>
        <v>0</v>
      </c>
      <c r="D24" s="70">
        <f t="shared" si="6"/>
        <v>0</v>
      </c>
      <c r="E24" s="70">
        <f t="shared" si="6"/>
        <v>0</v>
      </c>
      <c r="F24" s="70">
        <f t="shared" si="6"/>
        <v>0</v>
      </c>
      <c r="G24" s="70">
        <f t="shared" si="6"/>
        <v>0</v>
      </c>
      <c r="H24" s="70">
        <f t="shared" si="6"/>
        <v>0</v>
      </c>
      <c r="I24" s="70">
        <f t="shared" si="6"/>
        <v>0</v>
      </c>
      <c r="J24" s="70">
        <f t="shared" si="6"/>
        <v>0</v>
      </c>
      <c r="K24" s="70">
        <f t="shared" si="6"/>
        <v>0</v>
      </c>
      <c r="L24" s="70">
        <f t="shared" si="6"/>
        <v>0</v>
      </c>
      <c r="M24" s="70">
        <f t="shared" si="7"/>
        <v>0</v>
      </c>
      <c r="N24" s="70">
        <f t="shared" si="7"/>
        <v>0</v>
      </c>
      <c r="O24" s="70">
        <f t="shared" si="7"/>
        <v>0</v>
      </c>
      <c r="P24" s="70">
        <f t="shared" si="7"/>
        <v>0</v>
      </c>
      <c r="Q24" s="70">
        <f t="shared" si="7"/>
        <v>0</v>
      </c>
      <c r="R24" s="70">
        <f t="shared" si="7"/>
        <v>0</v>
      </c>
      <c r="S24" s="70">
        <f t="shared" si="7"/>
        <v>0</v>
      </c>
      <c r="T24" s="70">
        <f t="shared" si="7"/>
        <v>0</v>
      </c>
      <c r="U24" s="70">
        <f t="shared" si="7"/>
        <v>0</v>
      </c>
      <c r="V24" s="138">
        <f t="shared" si="7"/>
        <v>0</v>
      </c>
      <c r="X24" s="133" t="s">
        <v>41</v>
      </c>
      <c r="Y24" s="116">
        <f t="shared" si="2"/>
        <v>0</v>
      </c>
      <c r="Z24" s="116">
        <f t="shared" si="3"/>
        <v>0</v>
      </c>
      <c r="AA24" s="116">
        <f t="shared" si="4"/>
        <v>0</v>
      </c>
      <c r="AB24" s="135">
        <f t="shared" si="5"/>
        <v>0</v>
      </c>
    </row>
    <row r="25" spans="2:28" ht="15" customHeight="1" thickBot="1">
      <c r="B25" s="157">
        <v>17</v>
      </c>
      <c r="C25" s="70">
        <f t="shared" si="6"/>
        <v>0</v>
      </c>
      <c r="D25" s="70">
        <f t="shared" si="6"/>
        <v>1</v>
      </c>
      <c r="E25" s="70">
        <f t="shared" si="6"/>
        <v>1</v>
      </c>
      <c r="F25" s="70">
        <f t="shared" si="6"/>
        <v>1</v>
      </c>
      <c r="G25" s="70">
        <f t="shared" si="6"/>
        <v>1</v>
      </c>
      <c r="H25" s="70">
        <f t="shared" si="6"/>
        <v>1</v>
      </c>
      <c r="I25" s="70">
        <f t="shared" si="6"/>
        <v>1</v>
      </c>
      <c r="J25" s="70">
        <f t="shared" si="6"/>
        <v>0</v>
      </c>
      <c r="K25" s="70">
        <f t="shared" si="6"/>
        <v>0</v>
      </c>
      <c r="L25" s="70">
        <f t="shared" si="6"/>
        <v>0</v>
      </c>
      <c r="M25" s="70">
        <f t="shared" si="7"/>
        <v>0</v>
      </c>
      <c r="N25" s="70">
        <f t="shared" si="7"/>
        <v>0</v>
      </c>
      <c r="O25" s="70">
        <f t="shared" si="7"/>
        <v>0</v>
      </c>
      <c r="P25" s="70">
        <f t="shared" si="7"/>
        <v>0</v>
      </c>
      <c r="Q25" s="70">
        <f t="shared" si="7"/>
        <v>0</v>
      </c>
      <c r="R25" s="70">
        <f t="shared" si="7"/>
        <v>0</v>
      </c>
      <c r="S25" s="70">
        <f t="shared" si="7"/>
        <v>0</v>
      </c>
      <c r="T25" s="70">
        <f t="shared" si="7"/>
        <v>0</v>
      </c>
      <c r="U25" s="70">
        <f t="shared" si="7"/>
        <v>0</v>
      </c>
      <c r="V25" s="138">
        <f t="shared" si="7"/>
        <v>0</v>
      </c>
      <c r="X25" s="133" t="s">
        <v>10</v>
      </c>
      <c r="Y25" s="116">
        <f t="shared" si="2"/>
        <v>35</v>
      </c>
      <c r="Z25" s="116">
        <f t="shared" si="3"/>
        <v>15</v>
      </c>
      <c r="AA25" s="116">
        <f t="shared" si="4"/>
        <v>50</v>
      </c>
      <c r="AB25" s="135">
        <f t="shared" si="5"/>
        <v>0</v>
      </c>
    </row>
    <row r="27" spans="2:28" ht="15" customHeight="1" thickBot="1"/>
    <row r="28" spans="2:28" ht="15" customHeight="1">
      <c r="X28" s="136" t="s">
        <v>38</v>
      </c>
      <c r="Y28" s="109">
        <f t="shared" ref="Y28:AB33" si="8">SUMIF(MunicipioBA,$X28,Y$9:Y$25)</f>
        <v>68</v>
      </c>
      <c r="Z28" s="109">
        <f t="shared" si="8"/>
        <v>40</v>
      </c>
      <c r="AA28" s="109">
        <f t="shared" si="8"/>
        <v>96</v>
      </c>
      <c r="AB28" s="110">
        <f t="shared" si="8"/>
        <v>6</v>
      </c>
    </row>
    <row r="29" spans="2:28" ht="15" customHeight="1">
      <c r="X29" s="133" t="s">
        <v>39</v>
      </c>
      <c r="Y29" s="69">
        <f t="shared" si="8"/>
        <v>270</v>
      </c>
      <c r="Z29" s="69">
        <f t="shared" si="8"/>
        <v>253</v>
      </c>
      <c r="AA29" s="69">
        <f t="shared" si="8"/>
        <v>259</v>
      </c>
      <c r="AB29" s="83">
        <f t="shared" si="8"/>
        <v>73</v>
      </c>
    </row>
    <row r="30" spans="2:28" ht="15" customHeight="1">
      <c r="X30" s="133" t="s">
        <v>32</v>
      </c>
      <c r="Y30" s="69">
        <f t="shared" si="8"/>
        <v>1008</v>
      </c>
      <c r="Z30" s="69">
        <f t="shared" si="8"/>
        <v>273</v>
      </c>
      <c r="AA30" s="69">
        <f t="shared" si="8"/>
        <v>1312</v>
      </c>
      <c r="AB30" s="83">
        <f t="shared" si="8"/>
        <v>146</v>
      </c>
    </row>
    <row r="31" spans="2:28" ht="15" customHeight="1">
      <c r="X31" s="133" t="s">
        <v>40</v>
      </c>
      <c r="Y31" s="69">
        <f t="shared" si="8"/>
        <v>45</v>
      </c>
      <c r="Z31" s="69">
        <f t="shared" si="8"/>
        <v>35</v>
      </c>
      <c r="AA31" s="69">
        <f t="shared" si="8"/>
        <v>95</v>
      </c>
      <c r="AB31" s="83">
        <f t="shared" si="8"/>
        <v>6</v>
      </c>
    </row>
    <row r="32" spans="2:28" ht="15" customHeight="1">
      <c r="X32" s="133" t="s">
        <v>41</v>
      </c>
      <c r="Y32" s="69">
        <f t="shared" si="8"/>
        <v>0</v>
      </c>
      <c r="Z32" s="69">
        <f t="shared" si="8"/>
        <v>0</v>
      </c>
      <c r="AA32" s="69">
        <f t="shared" si="8"/>
        <v>0</v>
      </c>
      <c r="AB32" s="83">
        <f t="shared" si="8"/>
        <v>0</v>
      </c>
    </row>
    <row r="33" spans="24:28" ht="15" customHeight="1" thickBot="1">
      <c r="X33" s="134" t="s">
        <v>10</v>
      </c>
      <c r="Y33" s="89">
        <f t="shared" si="8"/>
        <v>35</v>
      </c>
      <c r="Z33" s="89">
        <f t="shared" si="8"/>
        <v>15</v>
      </c>
      <c r="AA33" s="89">
        <f t="shared" si="8"/>
        <v>50</v>
      </c>
      <c r="AB33" s="90">
        <f t="shared" si="8"/>
        <v>0</v>
      </c>
    </row>
  </sheetData>
  <customSheetViews>
    <customSheetView guid="{2EA3A6B8-61D5-4EF1-87B1-B14945A241CD}" showGridLines="0" showRowCol="0">
      <selection activeCell="Y2" sqref="Y2"/>
      <pageMargins left="0.7" right="0.7" top="0.75" bottom="0.75" header="0.3" footer="0.3"/>
    </customSheetView>
    <customSheetView guid="{242CE75B-5318-4B80-8985-D15BFA50C3F5}" showGridLines="0" showRowCol="0" topLeftCell="O1">
      <selection activeCell="Y2" sqref="Y2"/>
      <pageMargins left="0.7" right="0.7" top="0.75" bottom="0.75" header="0.3" footer="0.3"/>
    </customSheetView>
    <customSheetView guid="{CA30A091-FDE4-4C31-B428-76E484062E02}" showGridLines="0" showRowCol="0">
      <selection activeCell="Y2" sqref="Y2"/>
      <pageMargins left="0.7" right="0.7" top="0.75" bottom="0.75" header="0.3" footer="0.3"/>
    </customSheetView>
  </customSheetViews>
  <mergeCells count="6">
    <mergeCell ref="AA7:AA8"/>
    <mergeCell ref="AB7:AB8"/>
    <mergeCell ref="B1:V1"/>
    <mergeCell ref="X7:X8"/>
    <mergeCell ref="Y7:Y8"/>
    <mergeCell ref="Z7:Z8"/>
  </mergeCells>
  <conditionalFormatting sqref="C8:V8 B6:C6 E6:K6">
    <cfRule type="cellIs" dxfId="5" priority="4" stopIfTrue="1" operator="equal">
      <formula>"F"</formula>
    </cfRule>
    <cfRule type="cellIs" dxfId="4" priority="5" stopIfTrue="1" operator="equal">
      <formula>"C"</formula>
    </cfRule>
    <cfRule type="cellIs" dxfId="3" priority="6" stopIfTrue="1" operator="equal">
      <formula>"C"</formula>
    </cfRule>
  </conditionalFormatting>
  <conditionalFormatting sqref="C9:V25">
    <cfRule type="cellIs" dxfId="2" priority="1" stopIfTrue="1" operator="equal">
      <formula>0</formula>
    </cfRule>
    <cfRule type="cellIs" dxfId="1" priority="2" stopIfTrue="1" operator="equal">
      <formula>1</formula>
    </cfRule>
    <cfRule type="cellIs" dxfId="0" priority="3" stopIfTrue="1" operator="greaterThan">
      <formula>1</formula>
    </cfRule>
  </conditionalFormatting>
  <hyperlinks>
    <hyperlink ref="Y2" location="PPrincipal!A1" display="* Pagina Principal"/>
    <hyperlink ref="Y3" location="CMérida!A1" display="Mérida"/>
    <hyperlink ref="Y4" location="CTáchira!A1" display="Táchira"/>
    <hyperlink ref="Y5" location="CTrujillo!A1" display="Trujillo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29</vt:i4>
      </vt:variant>
    </vt:vector>
  </HeadingPairs>
  <TitlesOfParts>
    <vt:vector size="42" baseType="lpstr">
      <vt:lpstr>PPrincipal</vt:lpstr>
      <vt:lpstr>Trujillo</vt:lpstr>
      <vt:lpstr>GTrujillo</vt:lpstr>
      <vt:lpstr>CTrujillo</vt:lpstr>
      <vt:lpstr>Táchira</vt:lpstr>
      <vt:lpstr>GTáchira</vt:lpstr>
      <vt:lpstr>CTáchira</vt:lpstr>
      <vt:lpstr>Mérida</vt:lpstr>
      <vt:lpstr>GMérida</vt:lpstr>
      <vt:lpstr>CMérida</vt:lpstr>
      <vt:lpstr>Barinas</vt:lpstr>
      <vt:lpstr>GBarinas</vt:lpstr>
      <vt:lpstr>CBarinas</vt:lpstr>
      <vt:lpstr>Adan_Chavez</vt:lpstr>
      <vt:lpstr>CentroBA</vt:lpstr>
      <vt:lpstr>CentroME</vt:lpstr>
      <vt:lpstr>CentroTA</vt:lpstr>
      <vt:lpstr>CentroTU</vt:lpstr>
      <vt:lpstr>Cesar_Perez_Vivas</vt:lpstr>
      <vt:lpstr>Enrique_Catalan</vt:lpstr>
      <vt:lpstr>Hugo_Cabezas</vt:lpstr>
      <vt:lpstr>Julio_Cesar_Reyes</vt:lpstr>
      <vt:lpstr>Leonardo_Salcedo</vt:lpstr>
      <vt:lpstr>Marcos_Diaz_Orellana</vt:lpstr>
      <vt:lpstr>MunicipioBA</vt:lpstr>
      <vt:lpstr>MunicipiosME</vt:lpstr>
      <vt:lpstr>MunicipiosTU</vt:lpstr>
      <vt:lpstr>MunicipioTA</vt:lpstr>
      <vt:lpstr>OtroBA</vt:lpstr>
      <vt:lpstr>OtroME</vt:lpstr>
      <vt:lpstr>OtroTA</vt:lpstr>
      <vt:lpstr>OtroTU</vt:lpstr>
      <vt:lpstr>Rafael_Simon_Jimenez</vt:lpstr>
      <vt:lpstr>SumaBA</vt:lpstr>
      <vt:lpstr>SumaME</vt:lpstr>
      <vt:lpstr>SumaTA</vt:lpstr>
      <vt:lpstr>SumaTU</vt:lpstr>
      <vt:lpstr>TurnoBA</vt:lpstr>
      <vt:lpstr>TurnoME</vt:lpstr>
      <vt:lpstr>TurnoTA</vt:lpstr>
      <vt:lpstr>TurnoTU</vt:lpstr>
      <vt:lpstr>Williams_Davila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 </cp:lastModifiedBy>
  <cp:lastPrinted>2008-11-15T23:58:31Z</cp:lastPrinted>
  <dcterms:created xsi:type="dcterms:W3CDTF">2007-11-27T23:12:28Z</dcterms:created>
  <dcterms:modified xsi:type="dcterms:W3CDTF">2008-11-23T02:21:42Z</dcterms:modified>
</cp:coreProperties>
</file>